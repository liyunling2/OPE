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i_data" sheetId="1" r:id="rId5"/>
  </sheets>
  <definedNames/>
  <calcPr/>
</workbook>
</file>

<file path=xl/sharedStrings.xml><?xml version="1.0" encoding="utf-8"?>
<sst xmlns="http://schemas.openxmlformats.org/spreadsheetml/2006/main" count="19699" uniqueCount="6662">
  <si>
    <t>Campaign Id</t>
  </si>
  <si>
    <t>Campaign Name</t>
  </si>
  <si>
    <t>Status</t>
  </si>
  <si>
    <t>Subject line or Title</t>
  </si>
  <si>
    <t>Desc.</t>
  </si>
  <si>
    <t>Sent Date</t>
  </si>
  <si>
    <t>Published</t>
  </si>
  <si>
    <t>Sent</t>
  </si>
  <si>
    <t>Delivered</t>
  </si>
  <si>
    <t>Total Clicked</t>
  </si>
  <si>
    <t>Unique Clicked</t>
  </si>
  <si>
    <t>Unique Conversions</t>
  </si>
  <si>
    <t>Revenue</t>
  </si>
  <si>
    <t>Segment Names</t>
  </si>
  <si>
    <t>Segment IDs</t>
  </si>
  <si>
    <t>OS</t>
  </si>
  <si>
    <t>Rich Type</t>
  </si>
  <si>
    <t>character count</t>
  </si>
  <si>
    <t>is under</t>
  </si>
  <si>
    <t>Come x Pay</t>
  </si>
  <si>
    <t>Come X PAy X</t>
  </si>
  <si>
    <t>CTR</t>
  </si>
  <si>
    <t>Click_to_purchase</t>
  </si>
  <si>
    <t>delivered_to_purchase</t>
  </si>
  <si>
    <t>Rev_per_click</t>
  </si>
  <si>
    <t>rest_id</t>
  </si>
  <si>
    <t>Country</t>
  </si>
  <si>
    <t>Template ID</t>
  </si>
  <si>
    <t>TH_BKK_ctnoti_netcore_group_N_N_active_20241231_1100_mall-restaurants-dec24</t>
  </si>
  <si>
    <t>🔥 ร้านในห้างเด็ด ที่ต้องไปก่อนเคาท์ดาวน์</t>
  </si>
  <si>
    <t>Language TH</t>
  </si>
  <si>
    <t>Android</t>
  </si>
  <si>
    <t>Simple</t>
  </si>
  <si>
    <t>Thailand</t>
  </si>
  <si>
    <t>EN_BKK_ctnoti_netcore_group_N_N_active_20241231_1100_mall-restaurants-dec24</t>
  </si>
  <si>
    <t>🔥 Must-Try Mall Restaurants Before Countdown!</t>
  </si>
  <si>
    <t>Language EN</t>
  </si>
  <si>
    <t>I cannot determine if the subject line implies a "Come X Pay X" offer without the actual content of the promotion. The subject line "🔥 Must-Try Mall Restaurants Before Countdown!" suggests a time-sensitive promotion or a list of recommendations, but it does not specify a pricing structure like "Come X Pay X."</t>
  </si>
  <si>
    <t>EN_BKK_ctnoti_netcore_group_N_N_active_20241231_1500_oishi-grand-dec24</t>
  </si>
  <si>
    <t>🍣 Oishi Grand – Year-End Feast!</t>
  </si>
  <si>
    <t>TH_BKK_ctnoti_netcore_group_N_N_active_20241231_1500_oishi-grand-dec24</t>
  </si>
  <si>
    <t>🍣 โออิชิแกรนด์ คุ้มส่งท้ายปี</t>
  </si>
  <si>
    <t>I am unable to determine the specific type of offer from the provided subject line or search results. The subject line translates to "Oishi Grand Worth it to end the year."</t>
  </si>
  <si>
    <t>EN_BKK_ctnoti_netcore_group_N_N_active_20241231_1700_final-chance-nydeal-dec24</t>
  </si>
  <si>
    <t>💥 Just a Few Hours Left!</t>
  </si>
  <si>
    <t>TH_BKK_ctnoti_netcore_group_N_N_active_20241231_1700_final-chance-nydeal-dec24</t>
  </si>
  <si>
    <t>💥 อีกไม่กี่ชั่วโมงเท่านั้น</t>
  </si>
  <si>
    <t>No</t>
  </si>
  <si>
    <t>HNY2025</t>
  </si>
  <si>
    <t>Happy New Year 2025</t>
  </si>
  <si>
    <t>HNY2025 EN</t>
  </si>
  <si>
    <t>🎉 Happy New Year 2025</t>
  </si>
  <si>
    <t>TH_BKK_ctnoti_netcore_group_N_N_active_20250102_1100_weekly-new-week1-jan25</t>
  </si>
  <si>
    <t>🟢 ปีใหม่ โปรเด็ด กับร้านใหม่ประจำสัปดาห์</t>
  </si>
  <si>
    <t>อิ่มสุดคุ้มเริ่มต้น 2568 เมื่อจองพร้อมรีวิวเป็น 5 คนแรก ของร้านใหม่แต่ละร้าน รับฟรี! ส่วนลดสูงสุด 200 บาท จองเลย 👉</t>
  </si>
  <si>
    <t>EN_BKK_ctnoti_netcore_group_N_N_active_20250102_1100_weekly-new-week1-jan25</t>
  </si>
  <si>
    <t>🟢 New Year New Deals with Weekly Picks!</t>
  </si>
  <si>
    <t>Start 2025 right! Be one of the first 5 to book and review new restaurants this week and get up to 200 THB off. Book now 👉</t>
  </si>
  <si>
    <t>Yes</t>
  </si>
  <si>
    <t>TH_BKK_ctnoti_netcore_single_N_N_active_20250102_1500_stock-room-jan25</t>
  </si>
  <si>
    <t>🌊 Stock.Room บุฟเฟต์ซีฟู้ด พิเศษ 990 บาท!</t>
  </si>
  <si>
    <t>ดื่มด่ำกับบุฟเฟต์นานาชาติ อาหารทะเลสด เนื้อย่างพรีเมียม และของหวานสุดฟิน ในบรรยากาศสุดชิคที่ Kimpton Maa-Lai Bangkok จองเลย! 👉</t>
  </si>
  <si>
    <t>EN_BKK_ctnoti_netcore_single_N_N_active_20250102_1500_stock-room-jan25</t>
  </si>
  <si>
    <t>🌊 Stock.Room Sea &amp; Land Buffet – From 990 THB!</t>
  </si>
  <si>
    <t>Indulge in fresh seafood, premium grilled meats, and delightful desserts in a chic setting at Kimpton Maa-Lai Bangkok. Book now via Hungry Hub! 👉</t>
  </si>
  <si>
    <t>EN_BKK_ctnoti_netcore_group_N_N_active_20250102_1700_see-fah-jan25</t>
  </si>
  <si>
    <t>🍴 See Fah – Feast for Only 283 THB!</t>
  </si>
  <si>
    <t>Enjoy a Thai set meal with drinks at a special price starting from 283 THB. Book now on Hungry Hub 👉</t>
  </si>
  <si>
    <t>TH_BKK_ctnoti_netcore_group_N_N_active_20250102_1700_see-fah-jan25</t>
  </si>
  <si>
    <t>🍴 สีฟ้า อิ่มสุดคุ้ม เริ่มเพียง 283 บาท!</t>
  </si>
  <si>
    <t>เติมท้องให้อิ่มรับยามเย็น กับเซ้ตอาหารไทย พร้อมน้ำดืื่มในราคาสุดพิเศษ เริ่มต้นเพียง 283 บาท จองเลยที่ Hungry Hub 👉</t>
  </si>
  <si>
    <t>2449, 2452, 2454, 2457, 2460, 2462, 2463, 2465, 2466, 2468, 2469, 2723, 4121</t>
  </si>
  <si>
    <t>TH_BKK_ctnoti_netcore_mkt_N_N_active_20250103_1100_new-feature-jan25</t>
  </si>
  <si>
    <t>ฟีเจอร์ใหม่ Hungry Hub มาแล้ว 🎉</t>
  </si>
  <si>
    <t>คุณ รู้หรือยัง? ว่าสามารถจองล่วงหน้า โดยการเลือกจำนวนคน วันที่ และเวลาที่ต้องการ จากหน้าหลักได้แล้วโดยไม่จำเป็นที่จะต้องไปเช็คในแต่ละร้าน ลองเลย 👉</t>
  </si>
  <si>
    <t>EN_BKK_ctnoti_netcore_mkt_N_N_active_20250103_1100_new-feature-jan25</t>
  </si>
  <si>
    <t>🎉 New Feature Alert on Hungry Hub!</t>
  </si>
  <si>
    <t>Did you know? You can now pre-book by selecting the number of guests, date, and time directly from the homepage—no need to check each restaurant. Try it now 👉</t>
  </si>
  <si>
    <t>EN_BKK_ctnoti_netcore_group_N_N_active_20250103_1500_nuatair-4pay3-jan25</t>
  </si>
  <si>
    <t>‼️ 4 Pay 3 at Nuatair is Here! 🥩</t>
  </si>
  <si>
    <t>Tag your friends now! First Time Ever with the famous steak buffet starting at just 577 THB/person. Available until Mar 31, 2025. Book now!</t>
  </si>
  <si>
    <t>TH_BKK_ctnoti_netcore_group_N_N_active_20250103_1500_nuatair-4pay3-jan25</t>
  </si>
  <si>
    <t>ด่วน‼️ เนื้อแท้ มา 4 จ่าย 3 มาแล้ว</t>
  </si>
  <si>
    <t>🥩 รีบแท็กเพื่อนมาด่วนๆ ครั้งแรกของบุฟเฟต์สเต็กเนื้อเจ้าดัง เริ่มต้นคนละ 577 บาทเท่านั้น จองเลยวันนี้ - 31 มี.ค. 68 เท่านั้น</t>
  </si>
  <si>
    <t>3314, 3315, 3316, 3317, 3662, 4031, 4872, 4873, 4874, 4875, 5314</t>
  </si>
  <si>
    <t>EN_BKK_ctnoti_netcore_single_N_N_active_20250103_1700_streats-cafe-jan25</t>
  </si>
  <si>
    <t>⚡️ Come 4 Pay 3 at Streats Cafe 🦀</t>
  </si>
  <si>
    <t>Enjoy a seafood feast with premium crab and over 10+ stations! Special price 750 THB (from 999 THB). Offer valid until Jan 31, 2025. Book now 👉</t>
  </si>
  <si>
    <t>TH_BKK_ctnoti_netcore_single_N_N_active_20250103_1700_streats-cafe-jan25</t>
  </si>
  <si>
    <t>⚡️ มา 4 จ่าย 3 กับ Streats Cafe</t>
  </si>
  <si>
    <t>อิ่มอร่อยกับปูทะเลเนื้อแน่น พร้อมเมนูเด็ดกว่า 10+ สเตชั่น ในราคาสุดพิเศษ 750 บาท จากปกติ 999 บาท วันนี้ - 31 ม.ค. 68 เท่านั้น</t>
  </si>
  <si>
    <t>EN_BKK_ctnoti_netcore_mkt_N_N_active_20250104_1000_kcc-hh-jan25</t>
  </si>
  <si>
    <t>🏆 Get 150 THB Off Instantly</t>
  </si>
  <si>
    <t>Use code KCCREDTABLE2024 when booking Award Winner restaurants and prepay at least 1,500 THB with Krungsri credit card. Valid until Jan 31, 2024!</t>
  </si>
  <si>
    <t>TH_BKK_ctnoti_netcore_mkt_N_N_active_20250104_1000_kcc-hh-jan25</t>
  </si>
  <si>
    <t>🏆 รับส่วนลดทันที 150 บาท</t>
  </si>
  <si>
    <t>ใช้โค้ต KCCREDTABLE2024 เมื่อจองร้านอาหาร Award Winner และใช้บัตรเครดิต กรุงศรีจ่ายค่าบริการล่วงหน้าขั้นต่ำ 1,500 บาท วันนี้ - 31 ม.ค. 68</t>
  </si>
  <si>
    <t>Offer
Come X: Not specified
Pay X: Not specified</t>
  </si>
  <si>
    <t>EN_BKK_ctnoti_netcore_group_N_N_active_20250104_1300_best-beef-jan25</t>
  </si>
  <si>
    <t>🥩 Best Beef BBQ Feast from 294.-</t>
  </si>
  <si>
    <t>Grill to your heart’s content with unlimited beef, pork, and more at a special buffet price starting at 294 THB. Book now on Hungry Hub!</t>
  </si>
  <si>
    <t>TH_BKK_ctnoti_netcore_group_N_N_active_20250104_1300_best-beef-jan25</t>
  </si>
  <si>
    <t>🥩 Best Beef ปิ้งย่าง เจ้าดัง เริ่มต้น 294.-</t>
  </si>
  <si>
    <t>ปิ้งย่างเต็มพิกัด กับโปรบุฟเฟต์สุดคุ้ม อิ่มครบทั้งเนื้อ หมู และอีกมากมาย ในราคาสุดพิเศษ เริ่มต้น 294.- จองเลยที่ Hungry Hub</t>
  </si>
  <si>
    <t>EN_BKK_ctnoti_netcore_single_N_N_active_20250104_1600_chon-som-jan25</t>
  </si>
  <si>
    <t>🔥 4 Pay 3 at Chon Som!</t>
  </si>
  <si>
    <t>Enjoy unlimited international buffet—lunch (Mon-Sat) and dinner (Sun-Thu)—with free-flow drinks starting at 562 THB. Available until Mar 29.</t>
  </si>
  <si>
    <t>TH_BKK_ctnoti_netcore_single_N_N_active_20250104_1600_chon-som-jan25</t>
  </si>
  <si>
    <t>🔥 มา 4 จ่าย 3 กับช้อนส้อม</t>
  </si>
  <si>
    <t>อิ่มไม่อั้นทุกมื้อเที่ยงจันทร์-เสาร์ และ ดินเนอร์อาทิตย์ถึงพฤหัสบดี กับไลน์บุฟเฟต์นานาชาติ พร้อมเครื่องดื่มไม่อั้น เริ่มต้น 562.- ถึง 29 มี.ค. เท่านั้น</t>
  </si>
  <si>
    <t>EN_BKK_ctnoti_netcore_single_N_N_active_20250105_1000_dynasty-jan25</t>
  </si>
  <si>
    <t>🥢 Dynasty All-You-Can-Eat Dim Sum</t>
  </si>
  <si>
    <t>Enjoy 2 hours of unlimited dim sum and 1 exclusive menu for Hungry Hub customers at just 1,090 THB. Book now 👉</t>
  </si>
  <si>
    <t>TH_BKK_ctnoti_netcore_single_N_N_active_20250105_1000_dynasty-jan25</t>
  </si>
  <si>
    <t>🥢 Dynasty บุฟเฟต์ติ่มซำสุดคุ้ม</t>
  </si>
  <si>
    <t>อิ่มไม่อั้น 2 ชั่วโมง พร้อมเมนูพิเศษเพิ่ม 1 รายการ สำหรับลูกค้าจองผ่าน Hungry Hub ในราคา 1,090 บาท จองเลย 👉</t>
  </si>
  <si>
    <t>EN_BKK_ctnoti_netcore_group_N_N_active_20250105_1300_you-i-premium-suki-buffet-jan25</t>
  </si>
  <si>
    <t>⚡️ You &amp; I Buffet Come More Discount More</t>
  </si>
  <si>
    <t>Enjoy premium buffet starting at just 507 THB/person (from 587 THB). Save up to 15% for groups of 4! Book now 👉</t>
  </si>
  <si>
    <t>TH_BKK_ctnoti_netcore_group_N_N_active_20250105_1300_you-i-premium-suki-buffet-jan25</t>
  </si>
  <si>
    <t>⚡️ You &amp; I Buffet ยิ่งชวนเพื่อน ยิ่งคุ้ม</t>
  </si>
  <si>
    <t>บุฟเฟต์พรีเมียมเริ่มต้นเพียง 507 บาทต่อคน จากปกติ 587 บาท พร้อมส่วนลดสูงสุด 15% เมื่อมาครบ 4 ท่าน จองเลย 👉</t>
  </si>
  <si>
    <t>1235, 1236, 1238, 1239, 1336, 1337, 1363, 1364, 1365, 1410, 2884, 3111, 3409, 3543, 3659, 3660, 3908, 3935</t>
  </si>
  <si>
    <t>EN_BKK_ctnoti_netcore_single_N_N_active_20250105_1600_the-dining-room-jan25</t>
  </si>
  <si>
    <t>✨ New Price, Better Value!</t>
  </si>
  <si>
    <t>Enjoy unlimited buffet selections at The Dining Room and choose 1 special dish—starting at just 1,450 THB. Book now on Hungry Hub!</t>
  </si>
  <si>
    <t>TH_BKK_ctnoti_netcore_single_N_N_active_20250105_1600_the-dining-room-jan25</t>
  </si>
  <si>
    <t>✨ ราคาใหม่ คุ้มกว่าเดิม</t>
  </si>
  <si>
    <t>อิ่มอร่อยกับบุฟเฟ่ต์ไลน์ไม่อั้น จาก เดอะ ไดนิ่ง รูม พร้อมเลือก 1 เมนูสุดพิเศษ เริ่มต้น 1,450 บาท จองเลยที่ Hungry Hub</t>
  </si>
  <si>
    <t>Not specified</t>
  </si>
  <si>
    <t>TH_BKK_ctnoti_netcore_group_N_N_active_20250106_1100_the-coffee-club-jan25</t>
  </si>
  <si>
    <t>🔋 ชาร์จหลังหยุดยาว กับ The Coffee Club</t>
  </si>
  <si>
    <t>☕ ชาร์จพลังงาน ให้พร้อมลุยงาน กับบุฟเฟต์เครื่องดื่ม เมนูนานาชาติ จาก The Coffee Club เริ่มต้นเพียง 189 บาท จองเลย 👉</t>
  </si>
  <si>
    <t>1666, 1667, 1671, 1682, 1683, 1684, 1685, 1686, 1831, 1834, 1836, 1837, 2201, 2810, 2811, 3076, 3928, 6109, 6111, 6112, 6113, 6115, 6116</t>
  </si>
  <si>
    <t>EN_BKK_ctnoti_netcore_group_N_N_active_20250106_1100_the-coffee-club-jan25</t>
  </si>
  <si>
    <t>🔋 Recharge After the Holidays at The Coffee Club</t>
  </si>
  <si>
    <t>☕ Power up for work with unlimited drinks and international dishes starting at just 189 THB. Book now 👉</t>
  </si>
  <si>
    <t>EN_BKK_ctnoti_netcore_group_N_N_active_20250106_1500_fuku-in-town-jan25</t>
  </si>
  <si>
    <t>🍣 Come 4 Pay 3 at Fuku Intown!</t>
  </si>
  <si>
    <t>Enjoy unlimited sashimi, yaki, and more with the GOLD buffet package. Starting at just 481 THB! Available until Jan 31, 2025. Book now 👉</t>
  </si>
  <si>
    <t>TH_BKK_ctnoti_netcore_group_N_N_active_20250106_1500_fuku-in-town-jan25</t>
  </si>
  <si>
    <t>🍣 มา 4 จ่าย 3 กับ Fuku Intown!</t>
  </si>
  <si>
    <t>อิ่มไม่อั้นกับบุฟเฟต์ซาซิมิ ยากิ และอีกเพียบ ในแพ็กเกจ GOLD เริ่มต้นเพียง 481 บาท วันนี้ - 31 ม.ค. 68 เท่านั้น จองเลย 👉</t>
  </si>
  <si>
    <t>Come 4 Pay 3</t>
  </si>
  <si>
    <t>EN_BKK_ctnoti_netcore_single_N_N_active_20250106_1700_cutts-sathorn-omakase-jan25</t>
  </si>
  <si>
    <t>🍣 CUTTS Omakase – Up to 20% Off!</t>
  </si>
  <si>
    <t>Enjoy a premium omakase experience with 13 and 15 exquisite courses. Starting at just 1,399 THB (from 1,766 THB). Book now 👉</t>
  </si>
  <si>
    <t>TH_BKK_ctnoti_netcore_single_N_N_active_20250106_1700_cutts-sathorn-omakase-jan25</t>
  </si>
  <si>
    <t>🍣 CUTTS Omakase ลดสูงสุด 20%!</t>
  </si>
  <si>
    <t>สัมผัสประสบการณ์โอมากาเสะ 13 และ 15 คอร์สสุดพรีเมียม เริ่มต้นเพียง 1,399 บาท จากปกติ 1,766 บาท จองเลย 👉</t>
  </si>
  <si>
    <t>TH_BKK_ctnoti_netcore_group_N_N_active_20250107_1100_prince-cafe-jan25</t>
  </si>
  <si>
    <t>🥩 บุฟเฟต์กลางวันสุดคุ้มที่ ปริ๊นซ์คาเฟ่</t>
  </si>
  <si>
    <t>อิ่มอร่อยกับบุฟเฟต์มื้อกลางวัน พร้อมเครื่องดื่ม เริ่มต้นเพียง 375 บาท! เฉพาะวันจันทร์-ศุกร์ วันนี้ - 6 มี.ค. 68 👉</t>
  </si>
  <si>
    <t>EN_BKK_ctnoti_netcore_group_N_N_active_20250107_1100_prince-cafe-jan25</t>
  </si>
  <si>
    <t>🥩 Weekday Buffet Lunch at Prince Cafe!</t>
  </si>
  <si>
    <t>Enjoy a delicious lunch buffet with soft drinks starting at just 375 THB! Mon-Fri only, book now until Mar 6, 2025 👉</t>
  </si>
  <si>
    <t>TH_BKK_ctnoti_netcore_group_N_N_active_20250107_1500_kam-s-roast-jan25</t>
  </si>
  <si>
    <t>🔥 Kam's Roast กลับมาแล้ว!!</t>
  </si>
  <si>
    <t>สัมผัสรสชาติเป็ดย่างและหมูกรอบการันตีความอร่อยจากร้านดังฮ่องกง ที่คว้ารางวัลมิชลินสตาร์ 10 ปีซ้อน เริ่มต้นเพียง 425.- จองเลย 👉</t>
  </si>
  <si>
    <t>EN_BKK_ctnoti_netcore_group_N_N_active_20250107_1500_kam-s-roast-jan25</t>
  </si>
  <si>
    <t>🔥 Kam's Roast is Back!!</t>
  </si>
  <si>
    <t>Savor the famous roast duck and crispy pork from Hong Kong’s Michelin-starred restaurant—10 years in a row! Starting at just 425 THB. Book now 👉</t>
  </si>
  <si>
    <t>no</t>
  </si>
  <si>
    <t>EN_BKK_ctnoti_netcore_single_N_N_active_20250107_1700_fest-at-public-house-jan25</t>
  </si>
  <si>
    <t>🍕 Pizza &amp; Wine Bliss at Fest Sukhumvit 31!</t>
  </si>
  <si>
    <t>Savor signature pizza and unlimited classic wine for 2 hours at just 999 THB! Book now until April 5, 2025 👉</t>
  </si>
  <si>
    <t>TH_BKK_ctnoti_netcore_single_N_N_active_20250107_1700_fest-at-public-house-jan25</t>
  </si>
  <si>
    <t>🍕 อร่อยสุดฟิน! Pizza &amp; Wine ที่ Fest สุขุมวิท 31</t>
  </si>
  <si>
    <t>ลิ้มรสพิซซ่าแสนอร่อย พร้อมไวน์คลาสสิกไม่อั้น 2 ชั่วโมง ในราคาเพียง 999 บาท! จองเลย วันนี้ - 5 เม.ย. 68 👉</t>
  </si>
  <si>
    <t>TH_BKK_ctnoti_netcore_group_N_N_active_20250108_1100_weekly-new-week2-jan25_</t>
  </si>
  <si>
    <t>🟢 ดีลดีมาใหม่ แฮปปี้ทุกพุธ</t>
  </si>
  <si>
    <t>EN_BKK_ctnoti_netcore_group_N_N_active_20250108_1100_weekly-new-week2-jan25_</t>
  </si>
  <si>
    <t>🟢 Happy Wednesday Deals</t>
  </si>
  <si>
    <t>EN_BKK_ctnoti_netcore_single_N_N_active_20250108_1500_the-square-at-novotel-suvarnabhumi-jan25_</t>
  </si>
  <si>
    <t>🎉 Kids’ Day Buffet – 4 Pay 3!</t>
  </si>
  <si>
    <t>TH_BKK_ctnoti_netcore_single_N_N_active_20250108_1500_the-square-at-novotel-suvarnabhumi-jan25_</t>
  </si>
  <si>
    <t>🎉 วันเด็กนี้ กินบุฟเฟต์มา 4 จ่ายแค่ 3</t>
  </si>
  <si>
    <t>EN_BKK_ctnoti_netcore_group_N_N_active_20250108_1700_copper-beyond-buffet-jan25</t>
  </si>
  <si>
    <t>✨ The Ultimate New Beginning!</t>
  </si>
  <si>
    <t>Start the year in style with Copper Beyond Buffet—new booking slots available Jan 16-31 from 10 AM. Enjoy Michelin-starred dishes and exclusive menus.</t>
  </si>
  <si>
    <t>TH_BKK_ctnoti_netcore_group_N_N_active_20250108_1700_copper-beyond-buffet-jan25</t>
  </si>
  <si>
    <t>Copper Beyond Buffet เริ่มต้นปีใหม่อย่างยิ่งใหญ่ กับรอบจองใหม่ 16-31 ม.ค. ตั้งแต่ 10 ไมงเช้าเป็นต้นไป พร้อมเมนูสุดพิเศษระดับเชฟมิชลินสตาร์</t>
  </si>
  <si>
    <t>837, 4503</t>
  </si>
  <si>
    <t>EN_BKK_ctnoti_netcore_group_N_N_active_20250109_900_copper-beyond-buffet-jan25</t>
  </si>
  <si>
    <t>⏰ One Hour to Go! Are You Ready?</t>
  </si>
  <si>
    <t>Get set to book with Copper Beyond Buffet at both branches! Slots from Dec 16-31 with world-class buffet packages and exclusive dishes await!</t>
  </si>
  <si>
    <t>TH_BKK_ctnoti_netcore_group_N_N_active_20250109_900_copper-beyond-buffet-jan25</t>
  </si>
  <si>
    <t>อีก 1 ชั่วโมงพร้อมหรือยัง? ⏰</t>
  </si>
  <si>
    <t>เตรียมจองกับ Copper Beyond Buffet ทั้ง 2 สาขา รอบ 16-31 ม.ค. พร้อมแพ็กเกจบุฟเฟต์ระดับเวิลด์คลาส และเมนูพิเศษอีกมากมาย</t>
  </si>
  <si>
    <t>iOS</t>
  </si>
  <si>
    <t>EN_BKK_ctnoti_netcore_single_N_N_active_20250109_1500_vana-nava-water-jungle-jan25</t>
  </si>
  <si>
    <t>🌊 Splash &amp; Savor!</t>
  </si>
  <si>
    <t>Enjoy a fun day at Vana Nava Water Jungle with a lunch buffet included, starting at just 810 THB. Book now! 🏞️✨</t>
  </si>
  <si>
    <t>TH_BKK_ctnoti_netcore_single_N_N_active_20250109_1500_vana-nava-water-jungle-jan25</t>
  </si>
  <si>
    <t>🌊 เล่นน้ำสุดฟินพร้อมอิ่มอร่อย!</t>
  </si>
  <si>
    <t>สนุกกับ Vana Nava Water Jungle พร้อมบุฟเฟต์อาหารกลางวันสุดคุ้ม เริ่มต้นเพียง 810 บาท จองเลย! 🏞️✨</t>
  </si>
  <si>
    <t>EN_BKK_ctnoti_netcore_single_N_N_active_20250108_1700_madison-steak-avenue-jan25</t>
  </si>
  <si>
    <t>🥩 Indulge at Madison Steak Avenue</t>
  </si>
  <si>
    <t>TH_BKK_ctnoti_netcore_single_N_N_active_20250108_1700_madison-steak-avenue-jan25</t>
  </si>
  <si>
    <t>🥩 สัมผัสความอร่อยกับ Madison Steak Avenue</t>
  </si>
  <si>
    <t>Yes, the subject line "🥩 สัมผัสความอร่อยกับ Madison Steak Avenue" is an offer and is related to X Pay.</t>
  </si>
  <si>
    <t>EN_BKK_ctnoti_netcore_group_N_N_active_20250110_1700_try-out-singapore-jan25</t>
  </si>
  <si>
    <t>🇸🇬 Tried Singapore’s Top Restaurants Yet?</t>
  </si>
  <si>
    <t>If you frequent Singapore, don’t miss its finest dining spots, including Michelin-starred venues, Thai cuisine, and more. Explore now 👉</t>
  </si>
  <si>
    <t>TH_BKK_ctnoti_netcore_group_N_N_active_20250110_1700_try-out-singapore-jan25</t>
  </si>
  <si>
    <t>🇸🇬 ลองร้านอาหารในสิงค์โปรหรือยัง?</t>
  </si>
  <si>
    <t>ไปเที่ยงสิงค์โปรบ่อยๆ อยากให้ลองดูกับร้านอาหารชั้นนำจจากสิงค์โปร มาครบทั้งไฟน์ไดนิ่ง มิชลิน อาหารไทย และอีกเพียบ ลองเลย 👉</t>
  </si>
  <si>
    <t>EN_BKK_ctnoti_netcore_single_N_N_active_20250110_1900_nama-japanese-and-seafood-jan25</t>
  </si>
  <si>
    <t>💥 Nama Buffet: Unlimited Salmon Roe!</t>
  </si>
  <si>
    <t>Indulge in unlimited Japanese and seafood buffet, plus 1 exclusive dish and premium set menu. Available only via Hungry Hub. Book now! 🍣✨</t>
  </si>
  <si>
    <t>TH_BKK_ctnoti_netcore_single_N_N_active_20250110_1900_nama-japanese-and-seafood-jan25</t>
  </si>
  <si>
    <t>💥 นามะ บุฟเฟต์ ไข่ปลาแซลมอนไม่อั้น</t>
  </si>
  <si>
    <t>อิ่มอร่อยกับบุฟเฟต์อาหารญี่ปุ่นและซีฟู้ดไม่อั้น พร้อมเลือกรับ 1 เมนูสุดเอ็กซ์คลูซีฟ และเซ็ตเมนูพรีเมียม เฉพาะจองผ่าน Hungry Hub เท่านั้น</t>
  </si>
  <si>
    <t>EN_BKK_ctnoti_netcore_single_N_N_active_20250111_1100_top-golf-jan25</t>
  </si>
  <si>
    <t>⛳️ Family Fun at Topgolf!</t>
  </si>
  <si>
    <t>Enjoy exciting golf games for all ages, plus mini-games like Angry Birds, Diamond Match, or F1 racing. Savor delicious value meals starting at just 175 THB. Book now 👉</t>
  </si>
  <si>
    <t>TH_BKK_ctnoti_netcore_single_N_N_active_20250111_1100_top-golf-jan25</t>
  </si>
  <si>
    <t>⛳️ สนุกทั้งครอบครัว กับ Topgolf</t>
  </si>
  <si>
    <t>เล่นได้ทั้งครอบครัวกับเกมกอล์ฟแสนสนุก พร้อมมินิเกมทั้ง Angry Bird เรียงเพชร หรือจะขับ F1 และอิ่มอร่อยกับเมนูสุดคุ้ม เริ่มต้น 175.- จองเลย 👉</t>
  </si>
  <si>
    <t>3474, 3828, 3870</t>
  </si>
  <si>
    <t>EN_BKK_ctnoti_netcore_single_N_N_active_20250111_1300_streats-cafe-jan25</t>
  </si>
  <si>
    <t>📣 4 Pay 3 at Streats Cafe</t>
  </si>
  <si>
    <t>Bring your friends for an international buffet featuring Wellington, crab, sushi, and more for just 750.- (down from 999.-). Offer ends Jan 31, 2025. Book now! 🍣✨</t>
  </si>
  <si>
    <t>TH_BKK_ctnoti_netcore_single_N_N_active_20250111_1300_streats-cafe-jan25</t>
  </si>
  <si>
    <t>📣 มา 4 จ่าย 3 กับ Streats Cafe</t>
  </si>
  <si>
    <t>ชวนเพื่อนมาด่วน! กับบุฟเฟ่ต์นานาชาติ เต็มอิ่มทั้งเวลลิงตัน ปูทะเล ซูชิ และอีกมากมาย ในราคาพิเศษเพียง 750.- จากปกติ 999.- ถึง 31 ม.ค. 68</t>
  </si>
  <si>
    <t>EN_BKK_ctnoti_netcore_single_N_N_active_20250111_1500_chon-som-at-courtyard-jan25</t>
  </si>
  <si>
    <t>🎉 Celebrate Chinese New Year in Style!</t>
  </si>
  <si>
    <t>Enjoy the Happy Chinese New Year Dinner Buffet at Chon Som Suvarnabhumi, starting at 1,288 THB. Book now! 🧧🐉</t>
  </si>
  <si>
    <t>TH_BKK_ctnoti_netcore_single_N_N_active_20250111_1500_chon-som-at-courtyard-jan25</t>
  </si>
  <si>
    <t>🎉 ฉลองตรุษจีนอย่างมีสไตล์!</t>
  </si>
  <si>
    <t>อิ่มอร่อยกับบุฟเฟต์ Happy Chinese New Year Dinner Buffet เริ่มเพียง 1,288 บาท ที่ Chon Som สุวรรณภูมิ จองเลย! 🧧🐉</t>
  </si>
  <si>
    <t>EN_BKK_ctnoti_netcore_single_N_N_active_20250112_1100_red-oven-so-bangkok-jan25</t>
  </si>
  <si>
    <t>🌟 The Best Sunday Brunch!</t>
  </si>
  <si>
    <t>Indulge in So Sunday Brunch at Red Oven SO/Bangkok with unlimited Foie Gras and premium seafood, starting at 1,999 THB. Book now! 🦀🍣</t>
  </si>
  <si>
    <t>TH_BKK_ctnoti_netcore_single_N_N_active_20250112_1100_red-oven-so-bangkok-jan25</t>
  </si>
  <si>
    <t>🌟 บุฟเฟต์วันอาทิตย์ที่ดีที่สุด!</t>
  </si>
  <si>
    <t>สัมผัส So Sunday Brunch ที่ Red Oven SO/Bangkok กับ Foie Gras และซีฟู้ดชั้นเลิศ เริ่มเพียง 1,999 บาท จองเลย! 🦀🍣</t>
  </si>
  <si>
    <t>EN_BKK_ctnoti_netcore_single_N_N_active_20250112_1300_suan-bua-jan25</t>
  </si>
  <si>
    <t>🔥 Unlimited Thai Feast for 90 Minutes!</t>
  </si>
  <si>
    <t>Enjoy premium Thai buffet at Suan Bua Centara Grand for only 799 THB, including free-flow water. Book now! 🍽️</t>
  </si>
  <si>
    <t>TH_BKK_ctnoti_netcore_single_N_N_active_20250112_1300_suan-bua-jan25</t>
  </si>
  <si>
    <t>🔥 อิ่มไม่อั้น 90 นาที!</t>
  </si>
  <si>
    <t>บุฟเฟต์ไทยสุดพรีเมียมที่ Suan Bua Centara Grand เริ่มเพียง 799 บาทเท่านั้น น้ำดื่มฟรีไม่อั้น จองด่วน! 🍽️</t>
  </si>
  <si>
    <t>EN_BKK_ctnoti_netcore_single_N_N_active_20250112_1500_flavors-at-renaissance-jan25</t>
  </si>
  <si>
    <t>🦀 4 Pay for 3 at Flavors</t>
  </si>
  <si>
    <t>🔥 Indulge in the Ultimate Crab Dinner Buffet, unlimited every Thursday to Sunday. Special price: just 1,490 THB! Book now 👉</t>
  </si>
  <si>
    <t>TH_BKK_ctnoti_netcore_single_N_N_active_20250112_1500_flavors-at-renaissance-jan25</t>
  </si>
  <si>
    <t>🦀 มา 4 จ่าย 3 กับ Flavors</t>
  </si>
  <si>
    <t>🔥 อิ่มไม่อั้นกับที่สุดของบุฟเฟต์ปู Ultimate Crab Dinner Buffet เฉพาะวันพฤหัสถึงอาทิตย์ ในราคาพิเศษเพียง 1,490 บาท เท่านั้น จองเลย 👉</t>
  </si>
  <si>
    <t>TH_BKK_ctnoti_netcore_group_N_N_active_20250113_1100_the-coffee-club-jan25</t>
  </si>
  <si>
    <t>☕ หนาวๆแบบนี้ ต้องมาจิบกาแฟ</t>
  </si>
  <si>
    <t>ดื่มด่ำไปกับเมนูเครื่องดื่มจาก The Coffee Club พร้อมกับเมนูนานาชาติไม่อั้น ในราคาสุดพิเศษ เริ่มต้นเพียง 189.- เฉพาะที่ Hungry Hub เท่านั้น</t>
  </si>
  <si>
    <t>EN_BKK_ctnoti_netcore_group_N_N_active_20250113_1100_the-coffee-club-jan25</t>
  </si>
  <si>
    <t>☕ Warm Up with a Coffee Break!</t>
  </si>
  <si>
    <t>Enjoy unlimited drinks and international dishes at The Coffee Club starting at just 189 THB, exclusively on Hungry Hub. Book now! 🌟</t>
  </si>
  <si>
    <t>EN_BKK_ctnoti_netcore_group_N_N_active_20250113_1500_mookrata-jan25</t>
  </si>
  <si>
    <t>🥩🔥 Craving BBQ Tonight?</t>
  </si>
  <si>
    <t>Enjoy grilled pork under the cool breeze with budget-friendly options! Choose from buffet, à la carte, and special promotions. Book now 👉</t>
  </si>
  <si>
    <t>TH_BKK_ctnoti_netcore_group_N_N_active_20250113_1500_mookrata-jan25</t>
  </si>
  <si>
    <t>🥩🔥 เย็นนี้หมูกระทะกันไหม?</t>
  </si>
  <si>
    <t>มาย่างหมูรับลมหนาว กับร้านหมูกระทะในราคาสบายกระเป๋า รวมครบทั้งบุฟเฟต์ อลาคาส พร้อมโปรโมชั่นสุดพิเศษมากมาย จองเลย 👉</t>
  </si>
  <si>
    <t>EN_BKK_ctnoti_netcore_single_N_N_active_20250113_1700_dynasty-jan25</t>
  </si>
  <si>
    <t>🥟 Unlimited Feast at Dynasty Centara Ladprao</t>
  </si>
  <si>
    <t>Enjoy a 2-hour dim sum buffet! Exclusive for Hungry Hub customers: get 1 extra special dish per person. Don’t miss out! 🍴✨</t>
  </si>
  <si>
    <t>The search results mention a 15% discount on the All-You-Can-Eat Dim Sum, and a set price offer, but do not explicitly state a "Come X Pay X" promotion.</t>
  </si>
  <si>
    <t>TH_BKK_ctnoti_netcore_single_N_N_active_20250113_1700_dynasty-jan25</t>
  </si>
  <si>
    <t>🥟 อิ่มไม่อั้นกับ Dynasty Centara Ladprao</t>
  </si>
  <si>
    <t>บุฟเฟต์ติ่มซำทานได้ไม่ได้อั้น 2 ชั่วโมงเต็ม! พิเศษสำหรับลูกค้าที่จองผ่าน HH รับเมนูพิเศษเพิ่มท่านละ 1 รายการ!!</t>
  </si>
  <si>
    <t>EN_BKK_ctnoti_netcore_partner_N_N_active_20250114_1100_audition-jan25</t>
  </si>
  <si>
    <t>🎮🌹 Date &amp; Get Audition Exclusive Items!</t>
  </si>
  <si>
    <t>Book the Romantic Set via Hungry Hub and receive special in-game items worth 590 THB from Audition Dance&amp;Date until 15 Feb 25</t>
  </si>
  <si>
    <t>TH_BKK_ctnoti_netcore_partner_N_N_active_20250114_1100_audition-jan25</t>
  </si>
  <si>
    <t>🎮🌹 เติมความหวาน จองปุ๊บ รับไอเทม Audition ฟรี!</t>
  </si>
  <si>
    <t>Hungry Hub จัดให้! เมื่อจองแพ็กเกจ Romantic Set รับไอเทมสุดพิเศษจาก Audition Dance&amp;Date มูลค่า 590 บาท จนถึง 15 ก.พ. 68 เท่านั้น</t>
  </si>
  <si>
    <t>EN_BKK_ctnoti_netcore_single_N_N_active_20250114_1500_suisian-jan25</t>
  </si>
  <si>
    <t>🥢 Sui Sian Premium Chinese Buffet!</t>
  </si>
  <si>
    <t>Enjoy unlimited dim sum with 1 premium dish like Peking Duck or Braised Goose in Clay Pot for only 1,499 THB/person. Book now!</t>
  </si>
  <si>
    <t>TH_BKK_ctnoti_netcore_single_N_N_active_20250114_1500_suisian-jan25</t>
  </si>
  <si>
    <t>🥢 ซุย เซียน บุฟเฟต์อาหารจีนสุดหรู!</t>
  </si>
  <si>
    <t>อิ่มไม่อั้นกับติ่มซำ พร้อมเมนูพรีเมี่ยม 1 จาน อาทิ เป็ดปักกิ่ง หรือ ขาห่านอบหม้อดิน เพียง 1,499 บาท/ท่าน จองเลย!</t>
  </si>
  <si>
    <t>EN_BKK_ctnoti_netcore_single_N_N_active_20250114_1700_sabu-yakiniku-bangkok-jan25</t>
  </si>
  <si>
    <t>🥩 Authentic Japanese Yakiniku is Here!</t>
  </si>
  <si>
    <t>Experience Sabu Yakiniku, a 20-year tradition from Kanda, Japan. Indulge in premium dishes at a special price starting from 1,112 THB. Book now! 🍖✨</t>
  </si>
  <si>
    <t>TH_BKK_ctnoti_netcore_single_N_N_active_20250114_1700_sabu-yakiniku-bangkok-jan25</t>
  </si>
  <si>
    <t>🥩 เนื้อย่างต้นตำรับ ส่งตรงจากญี่ปุ่น</t>
  </si>
  <si>
    <t>บินมาถึงเมืองไทยแล้วกับ Sabu Yakiniku เนื้อย่างต้นตำรับกว่า 20 ปี จากเมืองคันดะ พร้อมเมนูพรีเมียมในราคาพิเศษ เริ่มต้น 1,112 บาท</t>
  </si>
  <si>
    <t>TH_BKK_ctnoti_netcore_group_N_N_active_20250115_1100_weekly-new-week3-jan25</t>
  </si>
  <si>
    <t>คุ้มทุกวันพุธ กับร้านมาใหม่ประจำสัปดาห์ พิเศษ! เมื่อจองพร้อมรีวิวเป็น 5 คนแรก ของร้านใหม่แต่ละร้าน รับฟรี! ส่วนลดสูงสุด 200 บาท</t>
  </si>
  <si>
    <t>EN_BKK_ctnoti_netcore_group_N_N_active_20250115_1100_weekly-new-week3-jan25</t>
  </si>
  <si>
    <t>Enjoy weekly new arrivals! 🎉 Be among the first 5 to book and review a new restaurant to get up to 200 THB off!</t>
  </si>
  <si>
    <t>No, but it implies a deal or offer.</t>
  </si>
  <si>
    <t>EN_BKK_ctnoti_netcore_single_N_N_active_20250115_1500_sushi-den-jan25</t>
  </si>
  <si>
    <t>🍣 Sushi Den Buffet is Back!</t>
  </si>
  <si>
    <t>Indulge in over 90 premium Japanese dishes for just 898 THB. Special offer: book for 2 and get a free Hamachi dish! Book now 👉</t>
  </si>
  <si>
    <t>TH_BKK_ctnoti_netcore_single_N_N_active_20250115_1500_sushi-den-jan25</t>
  </si>
  <si>
    <t>🍣 Sushi Den บุฟเฟต์กลับมาแล้ว!</t>
  </si>
  <si>
    <t>สัมผัสรสชาติอาหารญี่ปุ่นระดับพรีเมียม กว่า 90 เมนูไม่อั้น เพียง 898 บาท พิเศษ! จองครบ 2 ท่าน รับเมนูฮามาจิฟรี! จองเลย 👉</t>
  </si>
  <si>
    <t>EN_BKK_ctnoti_netcore_group_N_N_active_20250115_1700_ads-novotel-suvarnabhumi-jan25</t>
  </si>
  <si>
    <t>🎉 Celebrate Chinese New Year at Novotel Suvarnabhumi</t>
  </si>
  <si>
    <t>Enjoy unlimited buffet deals at a special price with The Square and Golden Village starting from just 660 THB. Book now on Hungry Hub! 🥢✨</t>
  </si>
  <si>
    <t>TH_BKK_ctnoti_netcore_group_N_N_active_20250115_1700_ads-novotel-suvarnabhumi-jan25</t>
  </si>
  <si>
    <t>🎉 ฉลองตรุษจีน กับ Novotel Suvarnabhumi</t>
  </si>
  <si>
    <t>อิ่มไม่อั้นกับโปรบุฟเฟต์สุดพิเศษจาก The Square และ Golden Village เริ่มต้นเพียง 660 บาท จองเลยที่ Hungry Hub</t>
  </si>
  <si>
    <t>TH_BKK_ctnoti_netcore_group_N_N_active_20250116_1100_rooftop-jan25</t>
  </si>
  <si>
    <t>❄️ ลมหนาวแบบนี้ ต้องหารูฟท็อปดีๆสักที่</t>
  </si>
  <si>
    <t>ชวนเพื่อน คนรู้ใจ ไปนั่งชิวๆ กับรูฟท็อปบรรยากาศดี รับลมหนาว คัดสรรมาให้แล้วในราคาสุดพิเศษ เริ่มต้น 4XX บาท จองเลย 👉</t>
  </si>
  <si>
    <t>#SPILL!</t>
  </si>
  <si>
    <t>EN_BKK_ctnoti_netcore_group_N_N_active_20250116_1100_rooftop-jan25</t>
  </si>
  <si>
    <t>❄️ Chill Winter Breeze? Find a Rooftop Spot!</t>
  </si>
  <si>
    <t>Invite friends or loved ones to enjoy the cool weather at handpicked rooftop venues with great vibes. Starting at just 4XX THB. Book now 👉</t>
  </si>
  <si>
    <t>EN_BKK_ctnoti_netcore_single_N_N_active_20250116_1500_man-fu-yuan-qsncc-jan25</t>
  </si>
  <si>
    <t>🥢 Unlimited Feast at Man Fu Yuan!</t>
  </si>
  <si>
    <t>Indulge in over 50 premium Chinese dishes for only 1,056 THB/person (inclusive of drinks). Book now!</t>
  </si>
  <si>
    <t>TH_BKK_ctnoti_netcore_single_N_N_active_20250116_1500_man-fu-yuan-qsncc-jan25</t>
  </si>
  <si>
    <t>🥢 อิ่มอร่อยไม่อั้นที่ Man Fu Yuan!</t>
  </si>
  <si>
    <t>เพลิดเพลินกับบุฟเฟ่ต์อาหารจีนสุดพิเศษกว่า 50 เมนู ในราคาเพียง 1,056 บาท/ท่าน (รวมเครื่องดื่ม) จองเลย!</t>
  </si>
  <si>
    <t>EN_BKK_ctnoti_netcore_single_N_N_active_20250116_1700_sm168-restaurant-bar-jan25</t>
  </si>
  <si>
    <t>🔥 Legendary Buffet Deal is Back!</t>
  </si>
  <si>
    <t>2 Pay 1 at SM168 Restaurant &amp; Bar with unlimited Thai-Japanese buffet for just 490 THB/person. Available until Feb 28, 2025. Book now 👉</t>
  </si>
  <si>
    <t>TH_BKK_ctnoti_netcore_single_N_N_active_20250116_1700_sm168-restaurant-bar-jan25</t>
  </si>
  <si>
    <t>🔥 โปรบุฟเฟต์ในตำนาน กลับมาอีกแล้ว!!</t>
  </si>
  <si>
    <t>มา 2 จ่าย 1 ที่ SM168 Restaurant &amp; Bar อิ่มไม่อั้นกับบุฟเฟ่ต์อาหารไทย-ญี่ปุ่น เหลือคนละ 490 บาท จนถึง 28 ก.พ. 68 เท่านั้น จองเลย 👉</t>
  </si>
  <si>
    <t>TH_BKK_ctnoti_netcore_group_N_N_active_20250117_1100_kunshine-hotpot-jan25</t>
  </si>
  <si>
    <t>🔥 มา 4 จ่าย 3 กับ Kunshine Hotpot</t>
  </si>
  <si>
    <t>บุฟเฟ่ต์ชาบูทานได้ไม่อั้น เลือกได้ทั้ง Standard, Deluxe และ Platinum ในราคาพิเศษเริ่มต้น 402 บาท จนถึง 31 ม.ค. เท่านั้น</t>
  </si>
  <si>
    <t>4088, 4089, 5207</t>
  </si>
  <si>
    <t>EN_BKK_ctnoti_netcore_group_N_N_active_20250117_1100_kunshine-hotpot-jan25</t>
  </si>
  <si>
    <t>🔥 4 Pay for 3 at Kunshine Hotpot</t>
  </si>
  <si>
    <t>Enjoy unlimited shabu buffet with choices of Standard, Deluxe, or Platinum packages starting at just 402 THB. Available until Jan 31 only. Book now! 🍲✨</t>
  </si>
  <si>
    <t>TH_BKK_ctnoti_netcore_group_N_N_active_20250117_1500_kingkong-jan25</t>
  </si>
  <si>
    <t>🥩 KingKong Buffet อิ่มไม่อั้น เริ่ม 599 บาท</t>
  </si>
  <si>
    <t>จุใจ 2 ชั่วโมงเต็มทั้งกุ้งแม่น้ำเผาผ่าหลัง ลิ้นวัว เนื้อแกะ และอีกมากมาย เริ่มต้นเพียง 599 บาท พร้อมรับเมนูพิเศษเฉพาะที่ Hungry Hub เท่านั้น</t>
  </si>
  <si>
    <t>1382, 1384, 4329</t>
  </si>
  <si>
    <t>EN_BKK_ctnoti_netcore_group_N_N_active_20250117_1500_kingkong-jan25</t>
  </si>
  <si>
    <t>🥩 KingKong Buffet Starts from 599 THB</t>
  </si>
  <si>
    <t>Enjoy 2 full hours of delights, including grilled river prawns, ox tongue, lamb, and more, starting at just 599 THB. Exclusive special dishes available only on Hungry Hub. Book now! 🍤✨</t>
  </si>
  <si>
    <t>EN_BKK_ctnoti_netcore_single_N_N_active_20250117_1700_loong-foong-jan25</t>
  </si>
  <si>
    <t>🥟 Get Special Dish at Loong Foong!</t>
  </si>
  <si>
    <t>Enjoy an unlimited dim sum buffet for just 1,399 THB and get 1 special dish. Available only from Jan 27-29. Book now 👉!</t>
  </si>
  <si>
    <t>TH_BKK_ctnoti_netcore_single_N_N_active_20250117_1700_loong-foong-jan25</t>
  </si>
  <si>
    <t>🥟 รับเมนูพิเศษ จาก หลงฟ่ง</t>
  </si>
  <si>
    <t>อิ่มอร่อยกับบุฟเฟต์ติ่มซำ เพียง 1,399 บาท และรับเมนูพิเศษ 1 รายการ เฉพาะ 27-29 ม.ค. เท่านั้น จองเลย 👉</t>
  </si>
  <si>
    <t>EN_BKK_ctnoti_netcore_single_N_N_active_20250118_1100_deja-brew-lifestyle-cafe-jan25</t>
  </si>
  <si>
    <t>⚡️ 50% Off Until Month-End!</t>
  </si>
  <si>
    <t>Hurry and book the buffet at Deja Brew Lifestyle Cafe—now just 384 THB/person (down from 899 THB). Offer ends Jan 31. Don’t miss out! 🍴✨</t>
  </si>
  <si>
    <t>TH_BKK_ctnoti_netcore_single_N_N_active_20250118_1100_deja-brew-lifestyle-cafe-jan25</t>
  </si>
  <si>
    <t>⚡️ บุฟเฟต์ดัง ลด 50% ถึงสิ้นเดือนนี้</t>
  </si>
  <si>
    <t>จองด่วนๆ กับโปรบุฟเฟต์จาก Deja Brew Lifestyle Cafe จากปกติราคา 899 บาท เหลือคนละ 384 บาท ถึง 31 ม.ค. เท่านั้น</t>
  </si>
  <si>
    <t>EN_BKK_ctnoti_netcore_single_N_N_active_20250118_1500_the-mulberry-chinese-jan25</t>
  </si>
  <si>
    <t>🦆 Unlimited Chinese Buffet!</t>
  </si>
  <si>
    <t>Savor unlimited Peking duck and crispy pork with free-flow tea for just 899 THB! Book now at The Mulberry Cuisine.</t>
  </si>
  <si>
    <t>TH_BKK_ctnoti_netcore_single_N_N_active_20250118_1500_the-mulberry-chinese-jan25</t>
  </si>
  <si>
    <t>🦆 บุฟเฟต์อาหารจีนสุดคุ้ม!</t>
  </si>
  <si>
    <t>จองเลย The Mulberry Cuisine เต็มอิ่มกับเป็ดปักกิ่งและหมูกรอบแบบไม่อั้น พร้อมชารีฟิล ในราคาเพียง 899 บาท!</t>
  </si>
  <si>
    <t>EN_BKK_ctnoti_netcore_single_N_N_active_20250118_1700_red-sky-restaurant-jan25</t>
  </si>
  <si>
    <t>🌇 The Ultimate Dining at CentralWorld</t>
  </si>
  <si>
    <t>Enjoy the cool breeze and stunning views at Red Sky Restaurant, a rooftop bar on the 55th floor. Don’t miss out on exclusive discounts. Book now 👉!</t>
  </si>
  <si>
    <t>TH_BKK_ctnoti_netcore_single_N_N_active_20250118_1700_red-sky-restaurant-jan25</t>
  </si>
  <si>
    <t>🌇 ที่สุดของดินเนอร์หรู ใจกลางเซ็นทรัลเวิลด์</t>
  </si>
  <si>
    <t>อากาศเย็นแบบนี้ ชวนคนรู้ใจมาลอง Red Sky Restaurant รูฟท็อปบาร์ใจกลางเมือง ชั้น 55 พร้อมส่วนลดสุดพิเศษ จองเลย 👉</t>
  </si>
  <si>
    <t>EN_BKK_ctnoti_netcore_single_N_N_active_20250119_1100_savio-at-chatrium-grand-jan25</t>
  </si>
  <si>
    <t>🧧 Celebrate Chinese New Year with Savio</t>
  </si>
  <si>
    <t>Enjoy a grand Chinese New Year celebration with lunch and dinner buffets at a special price starting from just 990 THB. Available until Feb 2 only. Book now! 🎉</t>
  </si>
  <si>
    <t>TH_BKK_ctnoti_netcore_single_N_N_active_20250119_1100_savio-at-chatrium-grand-jan25</t>
  </si>
  <si>
    <t>🧧 ฉลองตรุษจีนกับ Savio</t>
  </si>
  <si>
    <t>ฉลองเทศกาลตรุษจีนอย่างอลังการกับ บุฟเฟต์มืื้อกลางวัน และ ดินเนอร์ ในราคาสุดพิเศษ เริ่มต้นเพียง 990 บาท วันนี้ถึง 2 ก.พ. เท่านั้น</t>
  </si>
  <si>
    <t>EN_BKK_ctnoti_netcore_single_N_N_active_20250119_1500_romsai-jan25</t>
  </si>
  <si>
    <t>⚡️ 4 Pay for 3 at Romsai</t>
  </si>
  <si>
    <t>Indulge in an international buffet with free-flow sparkling wine and half a lobster per person for just 1,275 THB. Available until Mar 13 only. Book now! 🥂✨</t>
  </si>
  <si>
    <t>TH_BKK_ctnoti_netcore_single_N_N_active_20250119_1500_romsai-jan25</t>
  </si>
  <si>
    <t>⚡️ มา 4 จ่าย 3 กับ ร่มไทร</t>
  </si>
  <si>
    <t>อิ่มจุใจกับบุฟเฟต์นานาชาติพร้อมสปาร์กลิงไวน์ไม่อั้น พร้อมล็อบสเตอร์ครึ่งตัวต่อท่าน ในราคาพิเศษ 1,275 บาท วันนี้ - 13 มี.ค. เท่านั้น</t>
  </si>
  <si>
    <t>EN_BKK_ctnoti_netcore_single_N_N_active_20250119_1700_meng-pu-dong-talat-phlu-jan25</t>
  </si>
  <si>
    <t>🦀 Meng Pu Dong Has a Rooftop Too!</t>
  </si>
  <si>
    <t>Savor legendary marinated crab dishes while enjoying the cool breeze on the rooftop. Special prices start at just 323 THB. Book now 👉!</t>
  </si>
  <si>
    <t>TH_BKK_ctnoti_netcore_single_N_N_active_20250119_1700_meng-pu-dong-talat-phlu-jan25</t>
  </si>
  <si>
    <t>เม้งปูดอง ก็มีรูฟท็อปด้วยนะ</t>
  </si>
  <si>
    <t>ลิ้มลองเมนูปูดองในตำนาน พร้อมกับบรรยากาศรูฟท็อปรับลมหนาว ในราคาสุดพิเศษ เริ่มต้นเพียง 323 บาท จองเลย 👉</t>
  </si>
  <si>
    <t>TH_BKK_ctnoti_netcore_group_N_N_active_20250120_1100_chinese-new-year-jan25</t>
  </si>
  <si>
    <t>🏮 เฮงรับตรุษจีน อร่อยจัดเต็ม</t>
  </si>
  <si>
    <t>ฉลองเทศกาลตรุษจีน กับโปรโมชั่นสุดพิเศษ คัดสรรจากร้านอาหารจีนชั้นนำ เฉพาะที่ Hungry Hub จองเลย 👉</t>
  </si>
  <si>
    <t>EN_BKK_ctnoti_netcore_group_N_N_active_20250120_1100_chinese-new-year-jan25</t>
  </si>
  <si>
    <t>🏮 Celebrate Chinese New Year in Style!</t>
  </si>
  <si>
    <t>Indulge in special promotions handpicked from top Chinese restaurants, exclusively on Hungry Hub. Book now 👉</t>
  </si>
  <si>
    <t>EN_BKK_ctnoti_netcore_single_N_N_active_20250120_1500_wagyu-yakiniku-ken-jan25</t>
  </si>
  <si>
    <t>🥩 New Wagyu Buffet with Premium Japanese Beef</t>
  </si>
  <si>
    <t>Try Waygu Yakiniku Ken and enjoy a 7-type premium Wagyu buffet along with a variety of Japanese dishes for just 1,461 THB. Book now 👉!</t>
  </si>
  <si>
    <t>TH_BKK_ctnoti_netcore_single_N_N_active_20250120_1500_wagyu-yakiniku-ken-jan25</t>
  </si>
  <si>
    <t>🥩 บุฟเฟต์วากิวน้องใหม่ เนื้อส่งตรงจากญี่ปุ่น</t>
  </si>
  <si>
    <t>ลองเลย Waygu Yakiniku Ken พรีเมี่ยมวากิวบุฟเฟต์ 7 ชนิด และเมนูอาหารญี่ปุ่นอีกมากมาย ในราคาเพียง 1,461 บาท จองเลย 👉</t>
  </si>
  <si>
    <t>EN_BKK_ctnoti_netcore_single_N_N_active_20250120_1700_na-klongwan-vibhavadi-20-jan25</t>
  </si>
  <si>
    <t>🐳 Na Klong Whales Premium Buffet is Here!</t>
  </si>
  <si>
    <t>Enjoy a 2-hour premium seafood buffet featuring grilled river prawns with cheese, garlic-fried soft-shell crab, and more for just 1,111 THB. Available until Jan 31 only. Book now! 🦐✨</t>
  </si>
  <si>
    <t>The context does not contain enough information to determine if there is a "Come X Pay X" offer.</t>
  </si>
  <si>
    <t>TH_BKK_ctnoti_netcore_single_N_N_active_20250120_1700_na-klongwan-vibhavadi-20-jan25</t>
  </si>
  <si>
    <t>🐳 มาแล้ว! ณ คลองวาฬ พรีเมียมบุฟเฟต์</t>
  </si>
  <si>
    <t>อิ่มอร่อยกับพรีเมี่ยมบุฟเฟต์ซีฟู้ด 2 ชั่วโมง ทั้งกุ้งแม่น้ำอบซีส ปูนิ่มทอดกระเทียม และอีกมากมาย เพียง 1,111.- ถึง 31 ม.ค. เท่านั้น</t>
  </si>
  <si>
    <t>No, the subject line "🐳 มาแล้ว! ณ คลองวาฬ พรีเมียมบุฟเฟต์" translates to a premium buffet announcement and does not contain a "Come X Pay X" offer.</t>
  </si>
  <si>
    <t>TH_BKK_ctnoti_netcore_single_N_N_active_20250121_1100_open-at-doubletree-jan25</t>
  </si>
  <si>
    <t>⚡️ มา 2 จ่าย 1 กับ Open at DoubleTree</t>
  </si>
  <si>
    <t>อิ่มมงคลรับปีมังกร กับบุฟเฟต์สุดพิเศษทั้งมื้อกลางวัน และ ดินเนอร์ ในราคาพิเศษเพียง 582 บาท จากปกติ 1,163 บาท เฉพาะ 28-29 ม.ค. เท่านั้น</t>
  </si>
  <si>
    <t>EN_BKK_ctnoti_netcore_single_N_N_active_20250121_1100_open-at-doubletree-jan25</t>
  </si>
  <si>
    <t>⚡️ 2 Pay for 1 at Open at DoubleTree</t>
  </si>
  <si>
    <t>Celebrate the Year of the Dragon with a special lunch and dinner buffet for just 582 THB (down from 1,163 THB). Available only on Jan 28-29. Book now! 🐉✨</t>
  </si>
  <si>
    <t>Come 2 Pay 1</t>
  </si>
  <si>
    <t>TH_BKK_ctnoti_netcore_mkt_N_N_active_20250121_1500_points-exp-jan25</t>
  </si>
  <si>
    <t>📢 แต้มของคุณกำลังจะหมดอายุสิ้นเดือนนี้!</t>
  </si>
  <si>
    <t>Hungry Point Exp End of month TH</t>
  </si>
  <si>
    <t>EN_BKK_ctnoti_netcore_mkt_N_N_active_20250121_1500_points-exp-jan25</t>
  </si>
  <si>
    <t>📢 Your Points Are Expiring This Month!</t>
  </si>
  <si>
    <t>Hungry Point Exp End of month EN</t>
  </si>
  <si>
    <t>EN_BKK_ctnoti_netcore_single_N_N_active_20250121_1700_redsquare-rooftop-bar-jan25</t>
  </si>
  <si>
    <t>🔥 60% Off at RedSquare Rooftop</t>
  </si>
  <si>
    <t>Enjoy 2 dishes plus unlimited non-alcoholic drinks for 90 minutes at just 790 THB (down from 2,447 THB). Book now 👉! 🌇🍴</t>
  </si>
  <si>
    <t>TH_BKK_ctnoti_netcore_single_N_N_active_20250121_1700_redsquare-rooftop-bar-jan25</t>
  </si>
  <si>
    <t>🔥 ลด 60% กับ RedSquare Rooftop</t>
  </si>
  <si>
    <t>อิ่มอร่อยกับมื้ออาหาร 2 เมนู พร้อมเครื่องดื่มไม่มีแอลกอฮอล์ไม่อั้น 90 นาที ในราคาพิเศษเพียง 790.- จากปกติ 2,447.- จองเลย 👉</t>
  </si>
  <si>
    <t>TH_BKK_ctnoti_netcore_group_N_N_active_20250122_1100_weekly-new-week3-jan25</t>
  </si>
  <si>
    <t>EN_BKK_ctnoti_netcore_group_N_N_active_20250122_1100_weekly-new-week3-jan25</t>
  </si>
  <si>
    <t>SG_BKK_ctnoti_netcore_single_N_N_active_20250122_1200_sg-the-spot-jan25</t>
  </si>
  <si>
    <t>🥂 Exclusive Downtown Dining!</t>
  </si>
  <si>
    <t>Enjoy a 2-course meal for S$54 or 3-course feast for just S$66 at The Spot. Book your table now!</t>
  </si>
  <si>
    <t>Singapore</t>
  </si>
  <si>
    <t>EN_BKK_ctnoti_netcore_group_N_N_active_20250122_1500_ads-zaap-classic-jan25</t>
  </si>
  <si>
    <t>🍲🔥 Jaew Hon Buffet is Here!</t>
  </si>
  <si>
    <t>Spice things up with the new Zaab Classic promo! Indulge in premium meats and a variety of Isaan dishes starting at just 399 THB. Book now 👉! 🌶️✨</t>
  </si>
  <si>
    <t>TH_BKK_ctnoti_netcore_group_N_N_active_20250122_1500_ads-zaap-classic-jan25</t>
  </si>
  <si>
    <t>🍲🔥 แจ่วอ้อนบุฟเฟต์ มาแล้ว</t>
  </si>
  <si>
    <t>เดือดให้สุดกับโปรใหม่จาก แซ่บ คลาสสิก เต็มอิ่มกับเนื้อพรีเมียม และสารพัดเมนูอีสาน เริ่มต้นเพียง 399 บาท เท่านั้น จองเลย 👉</t>
  </si>
  <si>
    <t>SG_BKK_ctnoti_netcore_single_N_N_active_20250122_1500_sg-imbue-jan25</t>
  </si>
  <si>
    <t>🌟 Michelin-Starred Dining Experience!</t>
  </si>
  <si>
    <t>Delight in a 5-course meal from S$189 or indulge in an 8-course feast for S$237 at Imbue. Reserve now!</t>
  </si>
  <si>
    <t>EN_BKK_ctnoti_netcore_group_N_N_active_20250122_1700_copper-buffet1028feb-jan25</t>
  </si>
  <si>
    <t>💞 Copper Buffet: The Loving Celebration</t>
  </si>
  <si>
    <t>Celebrate the month of love with booking slots open from Feb 10-28. Reservations start at 10 AM on Jan 23. Enjoy a special meal and exclusive activities on Valentine’s Day.</t>
  </si>
  <si>
    <t>TH_BKK_ctnoti_netcore_group_N_N_active_20250122_1700_copper-buffet1028feb-jan25</t>
  </si>
  <si>
    <t>ฉลองเดือนแห่งความรัก กับรอบจอง 10-28 ก.พ. เปิดพร้อมกับ 10 โมงเช้า 23 ม.ค. พร้อมเต็มอิ่มมื้อสุดพิเศษ และกิจกรรมเฉพาะวันวาเลนไทน์เท่านั้น</t>
  </si>
  <si>
    <t>EN_BKK_ctnoti_netcore_group_N_N_active_20250123_900_copper-buffet1028feb-jan25</t>
  </si>
  <si>
    <t>1 Hour Left Are you ready? ⏰</t>
  </si>
  <si>
    <t>Prepare to book Copper Beyond Buffet 2 Branches for Feb 10-28 with an exclusive world-class buffet package and special dishes!</t>
  </si>
  <si>
    <t>TH_BKK_ctnoti_netcore_group_N_N_active_20250123_900_copper-buffet1028feb-jan25</t>
  </si>
  <si>
    <t>เตรียมจองพร้อมกัน Copper Beyond Buffet ทั้ง 2 สาขา รอบ 10-28 ก.พ. พร้อมแพ็กเกจบุฟเฟต์ระดับเวิลด์คลาส และเมนูพิเศษอีกมากมาย</t>
  </si>
  <si>
    <t>EN_BKK_ctnoti_netcore_single_N_N_active_20250123_1500_gyu-en-siam-yakiniku-jan25</t>
  </si>
  <si>
    <t>🔥 4 Pay for 3 at Gyu En Siam Yakiniku</t>
  </si>
  <si>
    <t>Enjoy unlimited special buffet packages starting at just 300 THB. Available now until Jan 31, 2025. Book now 👉! 🥩🔥</t>
  </si>
  <si>
    <t>TH_BKK_ctnoti_netcore_single_N_N_active_20250123_1500_gyu-en-siam-yakiniku-jan25</t>
  </si>
  <si>
    <t>🔥 มา 4 จ่าย 3 กับ Gyu En Siam Yakiniku</t>
  </si>
  <si>
    <t>ปิ้งย่างแบบไม่อั้น กับแพ็กเกจบุฟเฟต์ในราคาสุดพิเศษ เริ่มต้นเพียง 300 บาท วันนี้-31 ม.ค. 68 เท่านั้น จองเลย 👉</t>
  </si>
  <si>
    <t>EN_BKK_ctnoti_netcore_single_N_N_active_20250123_1700_spice-barley-jan25</t>
  </si>
  <si>
    <t>🎉 Chinese New Year Dim Sum Buffet!</t>
  </si>
  <si>
    <t>Celebrate with a premium dim sum buffet for just ฿1,199 at Spice &amp; Barley. Available only on Jan 29th. Book now! 🧧🐉</t>
  </si>
  <si>
    <t>TH_BKK_ctnoti_netcore_single_N_N_active_20250123_1700_spice-barley-jan25</t>
  </si>
  <si>
    <t>🎉 บุฟเฟ่ต์ติ่มซำฉลองตรุษจีน!</t>
  </si>
  <si>
    <t>อิ่มอร่อยกับบุฟเฟ่ต์ติ่มซำระดับพรีเมียมในราคาเพียง 1,199 บาท ที่ Spice &amp; Barley เฉพาะวันที่ 29 ม.ค. นี้เท่านั้น จองเลย! 🧧🐉</t>
  </si>
  <si>
    <t>Yes, one of the search results shows a "Buy 4 Pay 3" offer.</t>
  </si>
  <si>
    <t>TH_BKK_ctnoti_netcore_single_N_N_active_20250124_1100_river-barge-jan25</t>
  </si>
  <si>
    <t>✨ บุฟเฟ่ต์ติ่มซำสุดคุ้ม! เพียง 850.-</t>
  </si>
  <si>
    <t>อิ่มอร่อยไม่อั้นกับติ่มซำหลากหลายเมนู จาก River Barge at Chatrium Hotel Riverside รวมทั้งชาจีนและน้ำดื่ม (ศ.-อา.) จองเลย! 🥢</t>
  </si>
  <si>
    <t>EN_BKK_ctnoti_netcore_single_N_N_active_20250124_1100_river-barge-jan25</t>
  </si>
  <si>
    <t>✨ Unlimited Dim Sum Feast Only 850.-</t>
  </si>
  <si>
    <t>Indulge in all-you-can-eat dim sum with free-flow tea and drinks at River Barge, Chatrium Riverside Bangkok (Fri-Sun). Book now! 🥢</t>
  </si>
  <si>
    <t>TH_BKK_ctnoti_netcore_mkt_N_N_active_20250124_1500_chnese-new-year-buffet-jan25</t>
  </si>
  <si>
    <t>🐉 ตรุษจีนปีนี้ มีโปรไหนเด็ดๆบ้าง?</t>
  </si>
  <si>
    <t>👉 มัดรวม โปรโมชั่นบุฟเฟ่ต์ ต้อนรับตรุษจีน 2568 ที่คัดสรรร้านเด็ดๆจากในโรมแรมดังมากมาย ว่าแต่จะมีร้านไหนกันบ้างมาลองดูกันเลย</t>
  </si>
  <si>
    <t>EN_BKK_ctnoti_netcore_mkt_N_N_active_20250124_1500_chnese-new-year-buffet-jan25</t>
  </si>
  <si>
    <t>🐉 This Chinese New Year, What’s Hot?</t>
  </si>
  <si>
    <t>👉 Check out exclusive buffet promotions handpicked from top hotels to celebrate Chinese New Year 2025. Discover the best spots now—let’s take a look! 🥢🎉</t>
  </si>
  <si>
    <t>EN_BKK_ctnoti_netcore_single_N_N_active_20250124_1700_ads-chatuchak-cafe-jan25</t>
  </si>
  <si>
    <t>✨ The Taste of 7 Culinary Wonders</t>
  </si>
  <si>
    <t>Experience a new kind of buffet at Chatuchak Cafe featuring 7 renowned restaurants with over 100+ unlimited premium dishes. at a special price of just 999 THB. Book now 👉</t>
  </si>
  <si>
    <t>TH_BKK_ctnoti_netcore_single_N_N_active_20250124_1700_ads-chatuchak-cafe-jan25</t>
  </si>
  <si>
    <t>เปิดประสบการณ์บุฟเฟต์แบบใหม่ ที่ Chatuchak Cafe จากการรวมตัว 7 ห้องอาหารชื่อดังกว่า 100+ เมนูพรีเมียม สั่งได้ไม่อั้น ในราคาพิเศษเพียง 999.- จองเลย 👉</t>
  </si>
  <si>
    <t>TH_BKK_ctnoti_netcore_single_N_N_active_20250127_1100_riverside-terrace-jan25</t>
  </si>
  <si>
    <t>🎆 ฉลองตรุษจีนกับ Riverside Terrace</t>
  </si>
  <si>
    <t>อิ่มอร่อยกับ BBQ &amp; Seafood Buffet พร้อมเครื่องดื่มไม่อั้น เริ่มต้นเพียง 2,269 บาท! เฉพาะวันที่ 29 ม.ค. 68 เท่านั้น จองเลยที่ Hungry Hub 👉</t>
  </si>
  <si>
    <t>EN_BKK_ctnoti_netcore_single_N_N_active_20250127_1100_riverside-terrace-jan25</t>
  </si>
  <si>
    <t>🎆 Celebrate Lunar New Year at Riverside Terrace</t>
  </si>
  <si>
    <t>Enjoy BBQ &amp; Seafood Buffet with free-flow drinks for just 2,269 THB! Available on Jan 29th, 2025 only. Book now via Hungry Hub 👉</t>
  </si>
  <si>
    <t>TH_BKK_ctnoti_netcore_group_N_N_active_20250127_1500_versailles-palace-jan25</t>
  </si>
  <si>
    <t>บุฟเฟต์ติ่มซำในตำนาน เจ้าดังกว่า 40 ปี</t>
  </si>
  <si>
    <t>ลองเลย แวร์ซาย พาเลซ สั่งได้ไม่อั้นขนมจีบ หมูแดง และอาหารอีกมากมายกว่า 50 เมนู ในราคาสุดพิเศษเริ่มต้นเพียง 439 บาท จองเลย</t>
  </si>
  <si>
    <t>4741, 4742</t>
  </si>
  <si>
    <t>EN_BKK_ctnoti_netcore_group_N_N_active_20250127_1500_versailles-palace-jan25</t>
  </si>
  <si>
    <t>🥟 Legendary Dim Sum Buffet for Over 40 Years!</t>
  </si>
  <si>
    <t>Try Versailles Palace and enjoy unlimited siu mai, BBQ pork, and over 50 dishes at a special price starting from just 439 THB. Book now! 🥢✨</t>
  </si>
  <si>
    <t>EN_BKK_ctnoti_netcore_single_N_N_active_20250127_1700_ads-bistro-m-jan25</t>
  </si>
  <si>
    <t>🍽️ Feast Unlimit at Bistro M</t>
  </si>
  <si>
    <t>Enjoy All You Can Eat Buffet starting at just 790 THB, including drinks! Upgrade to premium menu for only 890 THB.Book now at Hungry Hub 👉</t>
  </si>
  <si>
    <t>TH_BKK_ctnoti_netcore_single_N_N_active_20250127_1700_ads-bistro-m-jan25</t>
  </si>
  <si>
    <t>🍽️ อิ่มไม่อั้นที่ Bistro M</t>
  </si>
  <si>
    <t>พบกับ All You Can Eat Buffet เริ่มเพียง 790 บาท รวมเครื่องดื่ม! หรือเพิ่มพรีเมียมเมนูในราคา 890 บาทเท่านั้น จองเลยที่ Hungry Hub 👉</t>
  </si>
  <si>
    <t>TH_BKK_ctnoti_netcore_single_N_N_active_20250128_1100_krungsri-jan25</t>
  </si>
  <si>
    <t>📢 โอกาสสุดท้าย รับพอยต์คืนคุ้ม</t>
  </si>
  <si>
    <t>รับเครดิตเงินคืน 13%  เมื่อจองและใช้จ่ายบน Hungry Hub ผ่านบัตรเครดิตกรุงศรี แลกรับเครดิตเงินคืนสูงสุด 13% วันนี้ – 31 ม.ค. 68 ดูเพิ่มเติม คลิก 👉</t>
  </si>
  <si>
    <t>EN_BKK_ctnoti_netcore_single_N_N_active_20250128_1100_krungsri-jan25</t>
  </si>
  <si>
    <t>📢 Last Chance to Get 13% Cashback!</t>
  </si>
  <si>
    <t>Book and pay with your Krungsri credit card on Hungry Hub to get up to 13% cashback. Offer valid until Jan 31, 2024. Learn more 👉</t>
  </si>
  <si>
    <t>EN_BKK_ctnoti_netcore_single_N_N_active_20250128_1500_stock-room-jan25</t>
  </si>
  <si>
    <t>🎉 Welcome the Year of the Dragon at Stock.Room</t>
  </si>
  <si>
    <t>Enjoy the Sea + Land Dinner Buffet featuring authentic Chinese and international dishes with unlimited drinks. Starting at 1,788 THB/person, available until Feb 2. Book now! 🐉✨</t>
  </si>
  <si>
    <t>TH_BKK_ctnoti_netcore_single_N_N_active_20250128_1500_stock-room-jan25</t>
  </si>
  <si>
    <t>🎉 ต้อนรับปีมังกรกับ Stock.Room</t>
  </si>
  <si>
    <t>อิ่มอร่อยกับ Sea + Land Dinner Buffet เมนูพิเศษทั้งจีนต้นตำรับและนานาชาติ รวมเครื่องดื่มไม่อั้น เริ่มต้น 1,788 บาท/คน ถึง 2 ก.พ. เท่านั้น</t>
  </si>
  <si>
    <t>EN_BKK_ctnoti_netcore_group_N_N_active_20250128_1700_hongmin-jan25</t>
  </si>
  <si>
    <t>🥢 Hongmin Buffet: Unlimited Feast from 790 THB</t>
  </si>
  <si>
    <t>Enjoy over 50+ Chinese dishes, including dim sum, roast duck, and more. Starting at just 790 THB. Book now on Hungry Hub! 🥟✨</t>
  </si>
  <si>
    <t>TH_BKK_ctnoti_netcore_group_N_N_active_20250128_1700_hongmin-jan25</t>
  </si>
  <si>
    <t>🥢 ฮองมินบุฟเฟต์ อิ่มไม่อั้นเริ่มต้น 790 บาท</t>
  </si>
  <si>
    <t>สั่งได้ไม่อั้นกับเมนูอาหารจีนกว่า 50+ รายการ ทั้งติ่มซำ เป็ดย่าง และอีกมากมาย เริ่มต้นเพียง 790 บาท จองเลยที่ Hungry Hub</t>
  </si>
  <si>
    <t>740, 741, 742, 743, 745, 746</t>
  </si>
  <si>
    <t>TH_BKK_ctnoti_netcore_group_N_N_active_20250129_1100_happy-lunar-new-year-jan25</t>
  </si>
  <si>
    <t>🧧 ซินเจียยู่อี่ ซินนี้ฮวดไช้</t>
  </si>
  <si>
    <t>ขอให้ตรุษจีนปีนี้ ร่ำรวยเงินทอง สุขภาพแข้งแรง และมาอิ่มอร่อยกับโปรโมชั่นสุดพิเศษจากร้านอาหารมากมาย จนถึง 31 ม.ค. นี้เท่านั้น</t>
  </si>
  <si>
    <t>EN_BKK_ctnoti_netcore_group_N_N_active_20250129_1100_happy-lunar-new-year-jan25</t>
  </si>
  <si>
    <t>🧧 Happy Chinese New Year</t>
  </si>
  <si>
    <t>Wishing you prosperity and good health this Chinese New Year! Celebrate with exclusive dining deals from top restaurants—available until Jan 31 only. 🥢🎊</t>
  </si>
  <si>
    <t>EN_BKK_ctnoti_netcore_group_N_N_active_20250129_1500_weekly-new-week4-jan25</t>
  </si>
  <si>
    <t>TH_BKK_ctnoti_netcore_group_N_N_active_20250129_1500_weekly-new-week4-jan25</t>
  </si>
  <si>
    <t>EN_BKK_ctnoti_netcore_single_N_N_active_20250129_1700_cuisine-unplugged-jan25</t>
  </si>
  <si>
    <t>⚡️ 4 Pay for 3 at Cuisine Unplugged</t>
  </si>
  <si>
    <t>Indulge in a premium seafood buffet with unlimited river prawns and King Crab at a special price starting from 1,343 THB. Available until Feb 18 only. Book now! 🦀🍤✨</t>
  </si>
  <si>
    <t>TH_BKK_ctnoti_netcore_single_N_N_active_20250129_1700_cuisine-unplugged-jan25</t>
  </si>
  <si>
    <t>⚡️ มา 4 จ่าย 3 Cuisine Unplugged</t>
  </si>
  <si>
    <t>เต็มอิ่มกับบุฟเฟตซีฟู้ดชั้นเลิศ ทั้งกุ้งแม่น้ำ หรือ King Crab แบบไม่อั้น ในราคาสุดพิเศษเริ่มต้นเพียง 1,343 บาท จนถึง 18 ก.พ. เท่านั้น</t>
  </si>
  <si>
    <t>TH_BKK_ctnoti_netcore_partner_N_N_active_20250130_1100_krungsri-jan25</t>
  </si>
  <si>
    <t>⏳ โอกาสสุดท้าย รับส่วนลด 150 บาท</t>
  </si>
  <si>
    <t>เพียงใช้โค้ด KCCREDTABLE2024 เมื่อใช้บัตรเครดิต กรุงศรี จองร้านอาหารจาก Red Table Award 2024 Winner วันนี้ถึง 31 ม.ค. 68</t>
  </si>
  <si>
    <t>EN_BKK_ctnoti_netcore_partner_N_N_active_20250130_1100_krungsri-jan25</t>
  </si>
  <si>
    <t>⏳ Last Chance! Get 150 THB Off</t>
  </si>
  <si>
    <t>Use code KCCREDTABLE2024 when booking Red Table Award 2024 Winner restaurants with your Krungsri credit card. Offer valid until Jan 31, 2025. Don't miss out! 🔥</t>
  </si>
  <si>
    <t>EN_BKK_ctnoti_netcore_single_N_N_active_20250130_1500_greenhouse-jan25</t>
  </si>
  <si>
    <t>⚡️ 4 Pay for 3 at Greenhouse</t>
  </si>
  <si>
    <t>Enjoy a lunch and dinner buffet at a special price, starting from 668 THB/person. Offer valid until March 31, 2025. Book now! 🍽️✨</t>
  </si>
  <si>
    <t>TH_BKK_ctnoti_netcore_single_N_N_active_20250130_1500_greenhouse-jan25</t>
  </si>
  <si>
    <t>⚡️ มา 4 จ่าย 3 กับ Greenhouse</t>
  </si>
  <si>
    <t>เต็มอิ่มกับบุฟเฟต์สำหรับมื้อเที่ยง และ ดินเนอร์ในราคาสุดพิเศษ ในราคาเริ่มต้นเพียง 668 บาท/ท่าน จนถึง 31 มี.ค. 68 เท่านั้น</t>
  </si>
  <si>
    <t>EN_BKK_ctnoti_netcore_group_N_N_active_20250130_1700_ads-jubang-jan25</t>
  </si>
  <si>
    <t>🥩 First in Thailand! Water-Aged Korean BBQ</t>
  </si>
  <si>
    <t>JUBANG Premium Aged BBQ is here! Enjoy premium cuts aged for 3 days using Water-aging for ultimate tenderness. Starting at just 425 THB</t>
  </si>
  <si>
    <t>TH_BKK_ctnoti_netcore_group_N_N_active_20250130_1700_ads-jubang-jan25</t>
  </si>
  <si>
    <t>🥩 ปิ้งย่างเกาหลี Water-aged เจ้าแรกในไทย</t>
  </si>
  <si>
    <t>มาแล้ว JUBANG Premium Aged BBQ ปิ้งย่างเกาหลีระดับพรีเมียม พร้อมเมนูเนื้อชั้นเลิศบ่มด้วย Water-aged 3 วัน ในราคาสุดพิเศษเริ่มต้น 425 บาท</t>
  </si>
  <si>
    <t>TH_BKK_ctnoti_netcore_single_N_N_active_20250131_1100_vday-greatharbour-jan25</t>
  </si>
  <si>
    <t>💖 ฉลองวาเลนไทน์สุดโรแมนติกกับ Great Harbour!</t>
  </si>
  <si>
    <t>ดินเนอร์บุฟเฟ่ต์สุดพิเศษ พร้อมรับไวน์ฟรีคนละ 1 แก้ว 🍷 จองผ่าน Hungry Hub เพียง 2,588 บาท/คู่ ที่ ICONSIAM ชั้น 6 เฉพาะวันที่ 14 ก.พ. 68 เท่านั้น!</t>
  </si>
  <si>
    <t>EN_BKK_ctnoti_netcore_single_N_N_active_20250131_1100_vday-greatharbour-jan25</t>
  </si>
  <si>
    <t>💖 Celebrate a Romantic Valentine’s Night at Great Harbour!</t>
  </si>
  <si>
    <t>Enjoy a special dinner buffet with 1 free glass of wine per person 🍷 Book via Hungry Hub for only 2,588 THB per couple at ICONSIAM, 6th Floor. Available only on Feb 14, 2025!</t>
  </si>
  <si>
    <t>TH_BKK_ctnoti_netcore_single_N_N_active_20250131_1500_flow-at-millennium-jan25</t>
  </si>
  <si>
    <t>Seafood Dinner Buffet กับ FLOW</t>
  </si>
  <si>
    <t>อิ่มไม่อั้นกับบุฟเฟ่ต์ซีฟู้ดสุดพรีเมียม ที่เสิร์ฟทั้งปูทะเล, กุ้งเผา, ซูชิ, ซาชิมิ และอีกมากมาย พร้อมเครื่องดื่ม Soft Drink แบบ Free-Flow เติมได้ไม่อั้น!</t>
  </si>
  <si>
    <t>EN_BKK_ctnoti_netcore_single_N_N_active_20250131_1500_flow-at-millennium-jan25</t>
  </si>
  <si>
    <t>Seafood Dinner Buffet at FLOW</t>
  </si>
  <si>
    <t>Enjoy an unlimited premium seafood buffet featuring fresh crab, grilled prawns, scallops, sushi, sashimi, and more. Plus, free-flow soft drinks</t>
  </si>
  <si>
    <t>The offer details are not available in the provided context.</t>
  </si>
  <si>
    <t>EN_BKK_ctnoti_netcore_single_N_N_active_20250131_1700_florae-at-valia-hotel-jan25</t>
  </si>
  <si>
    <t>❤️ Romantic Dinner at Florae</t>
  </si>
  <si>
    <t>Celebrate love with a luxurious 5-course dinner for only 2,599 THB (was 5,920 THB)! 💝 Includes special table decorations &amp; complimentary chocolate truffles 🍫✨</t>
  </si>
  <si>
    <t>TH_BKK_ctnoti_netcore_single_N_N_active_20250131_1700_florae-at-valia-hotel-jan25</t>
  </si>
  <si>
    <t>❤️ ดินเนอร์สุดโรแมนติกที่ Florae</t>
  </si>
  <si>
    <t>ฉลองความรักกับมื้อค่ำ 5 คอร์สสุดหรู เพียง 2,599 บาท (จากปกติ 5,920 บาท) พร้อม ตกแต่งโต๊ะสุดพิเศษ &amp; ช็อกโกแลตทรัฟเฟิลของขวัญ 🍫✨</t>
  </si>
  <si>
    <t>EN_BKK_ctnoti_netcore_group_N_N_active_20250201_1100_valentine-s-deal-2025-feb25</t>
  </si>
  <si>
    <t>❤️ Celebrate Love with Hungry Hub!</t>
  </si>
  <si>
    <t>Enjoy exclusive Valentine’s deals until Feb 14! 💖 Indulge in romantic dinners with luxury buffets or specially curated set menus for this special occasion!</t>
  </si>
  <si>
    <t>TH_BKK_ctnoti_netcore_group_N_N_active_20250201_1100_valentine-s-deal-2025-feb25</t>
  </si>
  <si>
    <t>❤️ วาเลนไทน์นี้ เติมเต็มความรักกับ Hungry Hub!</t>
  </si>
  <si>
    <t>ฉลองวันแห่งความรักด้วย ดีลสุดพิเศษถึง 14 ก.พ. 💖 ดินเนอร์สุดโรแมนติกกับบุฟเฟต์หรู หรือเซ็ตเมนูสุดพิเศษ ที่คัดสรรมาเพื่อค่ำคืนนี้เท่านั้น!</t>
  </si>
  <si>
    <t>EN_BKK_ctnoti_netcore_single_N_N_active_20250201_1300_stock-room-feb25</t>
  </si>
  <si>
    <t>🎉 Come 3 Pay 2 at Stock.Room!</t>
  </si>
  <si>
    <t>Enjoy premium Sea+Land Dinner Buffet 🦞🥩 normally 1,471 THB/person, now just 981 THB/person! Offer valid until March 31.</t>
  </si>
  <si>
    <t>TH_BKK_ctnoti_netcore_single_N_N_active_20250201_1300_stock-room-feb25</t>
  </si>
  <si>
    <t>🎉 มา 3 จ่าย 2 กับ Stock.Room!</t>
  </si>
  <si>
    <t>บุฟเฟต์ซีฟู้ด &amp; เนื้อพรีเมียม 🦞🥩 ปกติ 1,471 บ./คน พิเศษเฉลี่ยเพียง 981 บ./ท่าน เท่านั้น! คุ้มสุดถึง 31 มี.ค.</t>
  </si>
  <si>
    <t>EN_BKK_ctnoti_netcore_single_N_N_active_20250201_1500_dark-waters-rooftop-bar-feb25</t>
  </si>
  <si>
    <t>🌊 Valentine’s Night at Dark Waters!</t>
  </si>
  <si>
    <t>Treat your special one to an exclusive 4-course dinner 💖 paired with a Kir Royal toast 🥂 by the riverside. Only on Feb 14!</t>
  </si>
  <si>
    <t>TH_BKK_ctnoti_netcore_single_N_N_active_20250201_1500_dark-waters-rooftop-bar-feb25</t>
  </si>
  <si>
    <t>🌊 วาเลนไทน์สุดโรแมนติกที่ Dark Waters!</t>
  </si>
  <si>
    <t>จูงมือคนรักมาสัมผัสค่ำคืนสุดพิเศษ 💖 4 คอร์สหรู + Kir Royal 🥂 ท่ามกลางวิวแม่น้ำสุดโรแมนติก 14 ก.พ. เท่านั้น!</t>
  </si>
  <si>
    <t>EN_BKK_ctnoti_netcore_single_N_N_active_20250202_1100_feast-at-royal-orchid-sheraton-feb25</t>
  </si>
  <si>
    <t>🦞 Come 2 Pay 1 at Feast</t>
  </si>
  <si>
    <t>Pick your feast! Weekday Buffet (Asian Flavors) for 824 THB/person, Weekend Seafood BBQ for 1,060 THB/person, or Sunday Brunch with Lobster at 1,250 THB/person! Until Feb 28 only!</t>
  </si>
  <si>
    <t>TH_BKK_ctnoti_netcore_single_N_N_active_20250202_1100_feast-at-royal-orchid-sheraton-feb25</t>
  </si>
  <si>
    <t>🦞 มา 2 จ่าย 1 กับบุฟเฟต์สุดคุ้มที่ Feast!</t>
  </si>
  <si>
    <t>เลือกฟินได้ทุกวัน! Weekday Buffet อาหารเอเชียเพียง 824 บ./ท่าน, Weekend Seafood BBQ แค่ 1,060 บ./ท่าน, หรือ Sunday Brunch พร้อมล็อบสเตอร์ เพียง 1,250 บ./ท่าน! ถึง 28 ก.พ. เท่านั้น!</t>
  </si>
  <si>
    <t>EN_BKK_ctnoti_netcore_group_N_N_active_20250202_1300_red-lobster-feb25</t>
  </si>
  <si>
    <t>🦞💖 Valentine’s Lobster Dinner at Red Lobster!</t>
  </si>
  <si>
    <t>Pick your perfect date night! Standard Set at 2,139 THB/couple or Premium Set at 3,440 THB/couple 🍷 Plus, enjoy 2 complimentary glasses of red or white wine! Available Feb 7-16 only!</t>
  </si>
  <si>
    <t>TH_BKK_ctnoti_netcore_group_N_N_active_20250202_1300_red-lobster-feb25</t>
  </si>
  <si>
    <t>🦞💖 วาเลนไทน์นี้ ชวนกินล็อบสเตอร์ กับ Red Lobster!</t>
  </si>
  <si>
    <t>เลือกความพิเศษได้! Standard Set เพียง 2,139 บ./คู่ หรือ Premium Set แค่ 3,440 บ./คู่ 🍷 พร้อมรับฟรี! ไวน์แดงหรือขาว 2 แก้ว เฉพาะ 7-16 ก.พ. เท่านั้น!</t>
  </si>
  <si>
    <t>Promotional</t>
  </si>
  <si>
    <t>EN_BKK_ctnoti_netcore_group_N_N_active_20250202_1500_rim-rooftop-feb25</t>
  </si>
  <si>
    <t>🌆 Romantic Valentine’s at Rim Rooftop!</t>
  </si>
  <si>
    <t>Indulge in an exclusive 5-course dinner 💖 under the dazzling skyline, plus a complimentary Cocktail or Mocktail per person! Available Feb 14 only!</t>
  </si>
  <si>
    <t>TH_BKK_ctnoti_netcore_group_N_N_active_20250202_1500_rim-rooftop-feb25</t>
  </si>
  <si>
    <t>🌆 วาเลนไทน์สุดโรแมนติกที่ Rim Rooftop!</t>
  </si>
  <si>
    <t>ฉลองค่ำคืนพิเศษกับ 5 คอร์สดินเนอร์สุดหรู 💖 ชมวิวเมืองสุดโรแมนติก พร้อมรับ Cocktail หรือ Mocktail ฟรี 1 แก้ว/ท่าน! เฉพาะ 14 ก.พ. นี้!</t>
  </si>
  <si>
    <t>TH_BKK_ctnoti_netcore_single_N_N_active_20250203_1100_vday-chon-som-at-courtyard-feb25</t>
  </si>
  <si>
    <t>❤️ ดินเนอร์วาเลนไทน์ กับ Chon Som!</t>
  </si>
  <si>
    <t>บุฟเฟต์สุดหรู ลดพิเศษเหลือ 1,288 บ./ท่าน! 🍽️ เพลิดเพลินกับเมนูสุดโรแมนติก ในบรรยากาศอันแสนอบอุ่น เฉพาะ 14-15 ก.พ. นี้เท่านั้น!</t>
  </si>
  <si>
    <t>EN_BKK_ctnoti_netcore_single_N_N_active_20250203_1100_vday-chon-som-at-courtyard-feb25</t>
  </si>
  <si>
    <t>❤️ Valentine’s Special Dinner Buffet at Chon Som!</t>
  </si>
  <si>
    <t>Indulge in a luxury buffet for only 1,288 THB/person! 🍽️ Celebrate love with exquisite flavors in a romantic setting. Available only on Feb 14-15!</t>
  </si>
  <si>
    <t>EN_BKK_ctnoti_netcore_single_N_N_active_20250203_1500_sundance-dayclub-hua-hin-feb25</t>
  </si>
  <si>
    <t>🌊 A Romantic Seaside at Sundance!</t>
  </si>
  <si>
    <t>Enjoy a special Valentine’s Festive Set with Set A or Set B options 🍽️ plus a complimentary welcome drink (Mocktail or Cocktail)! 🥂 Available Feb 1-28 only!</t>
  </si>
  <si>
    <t>TH_BKK_ctnoti_netcore_single_N_N_active_20250203_1500_sundance-dayclub-hua-hin-feb25</t>
  </si>
  <si>
    <t>🌊 วาเลนไทน์สุดชิลริมทะเลที่ Sundance!</t>
  </si>
  <si>
    <t>เลือกอิ่มอร่อยกับ Set A หรือ Set B 🍽️ พร้อม เครื่องดื่มต้อนรับฟรี! (Mocktail หรือ Cocktail) 🥂 ดื่มด่ำบรรยากาศโรแมนติก เฉพาะ 1-28 ก.พ. นี้!</t>
  </si>
  <si>
    <t>EN_BKK_ctnoti_netcore_single_N_N_active_20250203_1700_san-aroi-pochana-bangkok-feb25</t>
  </si>
  <si>
    <t>San Aroi Pochana is Here!</t>
  </si>
  <si>
    <t>Enjoy authentic Cantonese set meals featuring favorites like steamed sea bass with soy sauce, drunken chicken, and Hong Kong-style prawn ham noodles. Starting from just 206 THB. Book now!</t>
  </si>
  <si>
    <t>TH_BKK_ctnoti_netcore_single_N_N_active_20250203_1700_san-aroi-pochana-bangkok-feb25</t>
  </si>
  <si>
    <t>เเสนอร่อยโภชนา มาแล้ว!</t>
  </si>
  <si>
    <t>อิ่ิ่มอร่อยกับเซ็ตอาหารจีนกวางตุ้ง พร้อมเมนูยอดฮิต ปลากะพงนึ่งซีอิ้ว ไก่แช่เหล้า  ผัดหมี่ฮ่องกงแฮมกุ้ง และอีกมากมาย เริ่มต้นเพียง 206 บาท จองเลย</t>
  </si>
  <si>
    <t>TH_BKK_ctnoti_netcore_single_N_N_active_20250204_1100_deja-brew-lifestyle-cafe-feb25</t>
  </si>
  <si>
    <t>🍽️ มา 2 จ่าย 1! กับ เดจา บริว</t>
  </si>
  <si>
    <t>อิ่มไม่อั้นกับ บุฟเฟต์นานาชาติ + เมนูพรีเมียม 1 จาน 🥩 พร้อม Soft Drinks ไม่อั้น &amp; เครื่องดื่มแอลกอฮอล์ 3 แก้ว 🍹 จองเลยก่อนหมดเขต 28 ก.พ. นี้!</t>
  </si>
  <si>
    <t>EN_BKK_ctnoti_netcore_single_N_N_active_20250204_1100_deja-brew-lifestyle-cafe-feb25</t>
  </si>
  <si>
    <t>🍽️ Come 2 Pay 1! with Deja Brew</t>
  </si>
  <si>
    <t>Enjoy an International Buffet + 1 Premium Dish 🥩 with Free Flow Soft Drinks &amp; 3 Alcoholic Beverages 🍹 Offer ends Feb 28!</t>
  </si>
  <si>
    <t>EN_BKK_ctnoti_netcore_single_N_N_active_20250204_1500_redsquare-rooftop-bar-feb25</t>
  </si>
  <si>
    <t>🥂 Valentine’s Night at RedSquare Rooftop!</t>
  </si>
  <si>
    <t>Celebrate love with a 4-course gourmet dinner 💖 including a bottle of Prosecco &amp; a romantic rose bouquet 🌹 Only on Feb 14!</t>
  </si>
  <si>
    <t>TH_BKK_ctnoti_netcore_single_N_N_active_20250204_1500_redsquare-rooftop-bar-feb25</t>
  </si>
  <si>
    <t>🥂 ดินเนอร์โรแมนติกกับ RedSquare Rooftop!</t>
  </si>
  <si>
    <t>ฉลองค่ำคืนแห่งความรักด้วย 4 คอร์สเมนูสุดพิเศษ 💖 พร้อม Prosecco 1 ขวด &amp; ช่อกุหลาบแสนสวย 🌹 เฉพาะ 14 ก.พ. เท่านั้น!</t>
  </si>
  <si>
    <t>EN_BKK_ctnoti_netcore_single_N_N_active_20250204_1700_vertigo-too-banyan-tree-feb25</t>
  </si>
  <si>
    <t>🌹 A Luxurious Valentine’s Night at Vertigo Rooftop!</t>
  </si>
  <si>
    <t>Savor an exclusive 4-course dinner 🥂 with a complimentary Mocktail per person 🍹 under the sparkling city lights! Feb 14 only!</t>
  </si>
  <si>
    <t>TH_BKK_ctnoti_netcore_single_N_N_active_20250204_1700_vertigo-too-banyan-tree-feb25</t>
  </si>
  <si>
    <t>🌹 ค่ำคืนวาเลนไทน์สุดหรู ที่ Vertigo Rooftop!</t>
  </si>
  <si>
    <t>อิ่มเอมกับ 4 คอร์สดินเนอร์สุดพิเศษ 🥂 พร้อมรับ Mocktail ฟรี 1 แก้ว/ท่าน 🍹 ดื่มด่ำวิวเมืองสุดโรแมนติก เฉพาะ 14 ก.พ. เท่านั้น!</t>
  </si>
  <si>
    <t>TH_BKK_ctnoti_netcore_group_N_N_active_20250205_1100_weekly-new-week1-feb25</t>
  </si>
  <si>
    <t>EN_BKK_ctnoti_netcore_group_N_N_active_20250205_1100_weekly-new-week1-feb25</t>
  </si>
  <si>
    <t>SG_BKK_ctnoti_netcore_single_N_N_active_20250205_1100_oh-ho-thai-bbq-feb25_</t>
  </si>
  <si>
    <t>🔥 Enjoy Halal Thai BBQ at Oh Ho Thai BBQ!</t>
  </si>
  <si>
    <t>Sharing sets start from just S$16 per person! Indulge in authentic Thai BBQ 📍 Book now via Hungry Hub!</t>
  </si>
  <si>
    <t>TH_BKK_ctnoti_netcore_single_N_N_active_20250205_1500_vana-nava-sky-bar-rooftop-feb25</t>
  </si>
  <si>
    <t>💖 Love Duet สุดหรูกับ Vana Nava Sky Bar Rooftop</t>
  </si>
  <si>
    <t>สัมผัสความโรแมนติกเหนือระดับกับดินเนอร์ 4 คอร์ส สุดพิเศษ เคล้าด้วยวิวสวย พร้อมสปาร์คกลิ้งไวน์ 1 แก้ว/ท่าน 🥂 จองเลย!</t>
  </si>
  <si>
    <t>EN_BKK_ctnoti_netcore_single_N_N_active_20250205_1500_vana-nava-sky-bar-rooftop-feb25</t>
  </si>
  <si>
    <t>💖 Love Duet Dinner at Vana Nava Sky Bar Rooftop</t>
  </si>
  <si>
    <t>Indulge in an intimate 4-course dining experience with breathtaking views &amp; a glass of sparkling wine per person! 🥂 Book now!</t>
  </si>
  <si>
    <t>EN_BKK_ctnoti_netcore_single_N_N_active_20250205_1700_savelberg-thailand-feb25</t>
  </si>
  <si>
    <t>🍷Savelberg Valentine's Dinner is here</t>
  </si>
  <si>
    <t>Indulge in a Michelin-starred 6-course experience 🌹 with a special Valentine's Day gift 🎁 for an unforgettable evening. Feb 14 only!</t>
  </si>
  <si>
    <t>TH_BKK_ctnoti_netcore_single_N_N_active_20250205_1700_savelberg-thailand-feb25</t>
  </si>
  <si>
    <t>💖 ดินเนอร์ระดับมิชลินสตาร์ ที่ Savelberg!</t>
  </si>
  <si>
    <t>ลิ้มรสเมนู 6 คอร์สสุดพรีเมียม 🌟 พร้อมของขวัญวันวาเลนไทน์สุดพิเศษ 💐✨ จัดเต็มความโรแมนติก 14 ก.พ. เท่านั้น!</t>
  </si>
  <si>
    <t>TH_BKK_ctnoti_netcore_single_N_N_active_20250206_1100_koko-japanese-omakase-feb25</t>
  </si>
  <si>
    <t>❤️ Koko ลดพิเศษ วาเลนไทน์นี้!</t>
  </si>
  <si>
    <t>วาเลนไทน์นี้จอง Koko Omakase รับฟรี! Ebi Ikura Heart (เมื่อจอง 2 ท่าน)! 7-15 กพ นี้เท่านั้น! เพียง 2,222 บาท!</t>
  </si>
  <si>
    <t>EN_BKK_ctnoti_netcore_single_N_N_active_20250206_1100_koko-japanese-omakase-feb25</t>
  </si>
  <si>
    <t>❤️ Koko: Book V-Day, Get Free Ebi Ikura!</t>
  </si>
  <si>
    <t>Book Koko Omakase &amp; get FREE Ebi Ikura Heart (for 2)! 7-15 Feb only! Just 2,222 THB!</t>
  </si>
  <si>
    <t>EN_BKK_ctnoti_netcore_single_N_N_active_20250206_1500_copper-aquarium-bangkok-feb25</t>
  </si>
  <si>
    <t>⚡️ Come 4 Pay 3 at Copper Aquarium!</t>
  </si>
  <si>
    <t>Enjoy a premium international buffet with fresh seafood selections and unlimited free-flow drinks. Even better—Come 4 Pay 3! Book now before the deal ends! 📅 Until Feb 28 only!</t>
  </si>
  <si>
    <t>TH_BKK_ctnoti_netcore_single_N_N_active_20250206_1500_copper-aquarium-bangkok-feb25</t>
  </si>
  <si>
    <t>⚡️ มา 4 จ่าย 3 ที่ Copper Aquarium</t>
  </si>
  <si>
    <t>อิ่มไม่อั้นกับบุฟเฟต์นานาชาติ พร้อมเมนูซีฟู้ดระดับพรีเมียม และเครื่องดื่ม Free Flow คุ้มยิ่งกว่าด้วยโปร มา 4 จ่าย 3 รีบจองด่วนก่อนหมดโปร! 📅 วันนี้ – 28 ก.พ. เท่านั้น!</t>
  </si>
  <si>
    <t>EN_BKK_ctnoti_netcore_group_N_N_active_20250206_1700_eat-at-ozo-north-pattaya-feb25</t>
  </si>
  <si>
    <t>🍷 Valentine’s Buffet by the Beach at OZO Pattaya!</t>
  </si>
  <si>
    <t>Enjoy a grill &amp; seafood buffet from 599 THB 💕 Plus, 1 free Mocktail per person when booking via Hungry Hub! 📅 Available Feb 14-15 only!</t>
  </si>
  <si>
    <t>TH_BKK_ctnoti_netcore_group_N_N_active_20250206_1700_eat-at-ozo-north-pattaya-feb25</t>
  </si>
  <si>
    <t>🍽️ บุฟเฟต์วาเลนไทน์ ริมทะเลที่ OZO North Pattaya!</t>
  </si>
  <si>
    <t>อิ่มไม่อั้นกับบุฟเฟต์ปิ้งย่าง &amp; ซีฟู้ด เริ่มเพียง 599 บาท 💕 รับฟรี Mocktail 1 แก้ว/ท่าน เมื่อจองผ่าน Hungry Hub! 📅 เฉพาะ 14-15 ก.พ. เท่านั้น!</t>
  </si>
  <si>
    <t>EN_BKK_ctnoti_netcore_single_N_N_active_20250207_1500_neta-omakase-feb25</t>
  </si>
  <si>
    <t>🍣 Indulge in a 14-Course Valentine’s Omakase!</t>
  </si>
  <si>
    <t>Experience premium flavors with Neta Omakase  🥢 plus 1 free Mocktail or Cocktail and a beautiful rose 🌹 when booking via Hungry Hub!</t>
  </si>
  <si>
    <t>TH_BKK_ctnoti_netcore_single_N_N_active_20250207_1500_neta-omakase-feb25</t>
  </si>
  <si>
    <t>🍣 ดื่มด่ำกับโอมากาเสะ ต้อนรับวาเลนไทน์นี้</t>
  </si>
  <si>
    <t>สัมผัสรสชาติระดับพรีเมียม กับ Neta Omakase 🥢 พร้อมรับฟรี Mocktail หรือ Cocktail 1 แก้ว และกุหลาบ 1 ดอก 🌹 เฉพาะจองผ่าน Hungry Hub!</t>
  </si>
  <si>
    <t>EN_BKK_ctnoti_netcore_single_N_N_active_20250207_1700_spectrum-rooftop-feb25</t>
  </si>
  <si>
    <t>🌹 Romantic Valentine’s Dinner at Spectrum Rooftop!</t>
  </si>
  <si>
    <t>Enjoy a 5-course set dinner 🍽 with a bottle of Paul Dangin &amp; Fils and a beautiful flower bouquet 💐. Book now for an unforgettable night!</t>
  </si>
  <si>
    <t>TH_BKK_ctnoti_netcore_single_N_N_active_20250207_1700_spectrum-rooftop-feb25</t>
  </si>
  <si>
    <t>🌹 ฉลองค่ำคืนสุดโรแมนติกที่ Spectrum Rooftop!</t>
  </si>
  <si>
    <t>ดินเนอร์ 5 คอร์สสุดหรู 🍽 พร้อมดื่ม Paul Dangin &amp; Fils 1 ขวด และช่อดอกไม้สวยๆ 💐 จองผ่าน Hungry Hub เท่านั้น!</t>
  </si>
  <si>
    <t>EN_BKK_ctnoti_netcore_single_N_N_active_20250207_1900_market-cafe-by-khao-feb25</t>
  </si>
  <si>
    <t>🌹 Celebrate Love at Market Café by Khao!</t>
  </si>
  <si>
    <t>Enjoy a 5-course set dinner 🍽 with a welcome drink and a flower bouquet 💐. Book now for a truly special evening!</t>
  </si>
  <si>
    <t>TH_BKK_ctnoti_netcore_single_N_N_active_20250207_1900_market-cafe-by-khao-feb25</t>
  </si>
  <si>
    <t>🌹 วาเลนไทน์สุดพิเศษที่ Market Café by Khao!</t>
  </si>
  <si>
    <t>สัมผัส ดินเนอร์ 5 คอร์สสุดหรู 🍽 พร้อมเครื่องดื่มต้อนรับและช่อดอกไม้ 💐 เสริมบรรยากาศสุดโรแมนติก</t>
  </si>
  <si>
    <t>EN_BKK_ctnoti_netcore_single_N_N_active_20250208_1100_saffron-contemporary-feb25</t>
  </si>
  <si>
    <t>💖 A Romantic 4-Course Dinner at Saffron Sky Garden!</t>
  </si>
  <si>
    <t>Indulge in a 4-course Valentine’s dinner 🍽 with 1 glass of wine per person 🍷 and breathtaking rooftop views!</t>
  </si>
  <si>
    <t>TH_BKK_ctnoti_netcore_single_N_N_active_20250208_1100_saffron-contemporary-feb25</t>
  </si>
  <si>
    <t>💖 ดินเนอร์ 4 คอร์สสุดโรแมนติก ที่ Saffron Sky Garden!</t>
  </si>
  <si>
    <t>สัมผัสค่ำคืนวาเลนไทน์สุดพิเศษ 🌆 ดินเนอร์สุดหรู 4 คอร์ส 🍽 พร้อม ไวน์ 1 แก้วต่อท่าน 🍷 บรรยากาศสุดโรแมนติก</t>
  </si>
  <si>
    <t>EN_BKK_ctnoti_netcore_single_N_N_active_20250208_1300_giorgio-s-riverside-feb25</t>
  </si>
  <si>
    <t>💖 A Romantic Italian Dinner at Giorgio’s Riverside!</t>
  </si>
  <si>
    <t>Enjoy a 5-course Italian dinner 🍽 with a glass of sparkling wine per person 🥂 and live music in a breathtaking riverside setting!</t>
  </si>
  <si>
    <t>TH_BKK_ctnoti_netcore_single_N_N_active_20250208_1300_giorgio-s-riverside-feb25</t>
  </si>
  <si>
    <t>💖 ดินเนอร์อิตาเลียนสุดหรู กับ Giorgio’s Riverside!</t>
  </si>
  <si>
    <t>สัมผัสค่ำคืนสุดโรแมนติก ดินเนอร์ 5 คอร์ส 🍽 พร้อม สปาร์คกลิ้งไวน์ 1 แก้วต่อท่าน 🥂 และดนตรีสดขับกล่อมบรรยากาศ ริมแม่น้ำเจ้าพระยา</t>
  </si>
  <si>
    <t>EN_BKK_ctnoti_netcore_group_N_N_active_20250208_1500_greenhouse-restaurant-feb25</t>
  </si>
  <si>
    <t>🍷 Romantic BBQ Buffet at Greenhouse!</t>
  </si>
  <si>
    <t>Savor a special Surf &amp; Turf BBQ buffet with a variety of premium meats &amp; seafood. Includes 1 glass of wine! Only on Feb 14.</t>
  </si>
  <si>
    <t>TH_BKK_ctnoti_netcore_group_N_N_active_20250208_1500_greenhouse-restaurant-feb25</t>
  </si>
  <si>
    <t>🌹 ดินเนอร์บาร์บีคิวสุดโรแมนติกที่ Greenhouse!</t>
  </si>
  <si>
    <t>อิ่มอร่อยกับบุฟเฟต์บาร์บีคิวสุดพิเศษ พร้อมเมนู Surf &amp; Turf หลากหลาย และปิดท้ายด้วยไวน์ 1 แก้ว! เฉพาะ 14 ก.พ. เท่านั้น</t>
  </si>
  <si>
    <t>EN_BKK_ctnoti_netcore_single_N_N_active_20250209_1100_tapas-vino-feb25</t>
  </si>
  <si>
    <t>❤️ Exclusive Valentine's Dinner at Tapas Vino!</t>
  </si>
  <si>
    <t>Celebrate love with a 5-course gourmet dinner 🍽️ plus 2 complimentary glasses of sparkling wine 🍾. Available only on Feb 14!</t>
  </si>
  <si>
    <t>TH_BKK_ctnoti_netcore_single_N_N_active_20250209_1100_tapas-vino-feb25</t>
  </si>
  <si>
    <t>🍷 ดินเนอร์สุดโรแมนติกที่ Tapas Vino!</t>
  </si>
  <si>
    <t>สัมผัสค่ำคืนแสนพิเศษกับ 5 คอร์สสุดหรู 💖 พร้อมรับฟรี! สปาร์คกลิ้งไวน์ 2 แก้ว 🍾✨ เฉพาะวันวาเลนไทน์นี้เท่านั้น!</t>
  </si>
  <si>
    <t>EN_BKK_ctnoti_netcore_single_N_N_active_20250209_1300_zeta-cafe-holiday-inn-feb25</t>
  </si>
  <si>
    <t>🥂 Celebrate Love at Zeta Café</t>
  </si>
  <si>
    <t>Enjoy a romantic buffet with 2 glasses of Sparkling Wine 🍷 plus an exclusive Valentine's gift! Available only on Feb 14!</t>
  </si>
  <si>
    <t>Offer: Yes
Come X Pay X: No</t>
  </si>
  <si>
    <t>TH_BKK_ctnoti_netcore_single_N_N_active_20250209_1300_zeta-cafe-holiday-inn-feb25</t>
  </si>
  <si>
    <t>❤️ ฉลองค่ำคืนแห่งความรักที่ เซต้า คาเฟ่</t>
  </si>
  <si>
    <t>สัมผัสบุฟเฟต์มื้อค่ำสุดโรแมนติก พร้อมเสิร์ฟ Sparkling Wine 2 แก้ว 💖 พร้อมของขวัญพิเศษสุดเอ็กซ์คลูซีฟ! เฉพาะ 14 ก.พ. เท่านั้น!</t>
  </si>
  <si>
    <t>No, the subject line does not contain the phrase "Come X Pay X."</t>
  </si>
  <si>
    <t>EN_BKK_ctnoti_netcore_single_N_N_active_20250209_1500_cielo-sky-bar-restaurant-feb25</t>
  </si>
  <si>
    <t>🌹 Valentine's 5-Course Dinner at Cielo Sky Bar!</t>
  </si>
  <si>
    <t>Celebrate love with a 5-course gourmet dinner for one, paired with a glass of wine 🍷✨. Enjoy breathtaking city views at Cielo Rooftop this Valentine’s!</t>
  </si>
  <si>
    <t>TH_BKK_ctnoti_netcore_single_N_N_active_20250209_1500_cielo-sky-bar-restaurant-feb25</t>
  </si>
  <si>
    <t>❤️ สัมผัสค่ำคืนสุดโรแมนติกที่ Cielo Rooftop!</t>
  </si>
  <si>
    <t>ดื่มด่ำกับวิวเมืองสุดอลังการ พร้อมดินเนอร์ 5 คอร์สสุดพิเศษสำหรับ 1 ท่าน 🌆✨ แพ็กเกจนี้รวมไวน์ 1 แก้ว ให้คุณได้เฉลิมฉลองวาเลนไทน์แบบมีระดับ!</t>
  </si>
  <si>
    <t>EN_BKK_ctnoti_netcore_group_N_N_active_20250210_1100_copper-buffet-valentine-feb25</t>
  </si>
  <si>
    <t>❤️ The Finest Valentine Celebration</t>
  </si>
  <si>
    <t>Experience The Ultimate Buffet plus a free Photobooth session! 📸✨ Available only on Feb 14, from 5:00-9:30 PM at both Copper locations. Book now! 💕</t>
  </si>
  <si>
    <t>TH_BKK_ctnoti_netcore_group_N_N_active_20250210_1100_copper-buffet-valentine-feb25</t>
  </si>
  <si>
    <t>❤️ ฉลองวาเลนไทน์ ที่ดีที่สุดกับ คอปเปอร์</t>
  </si>
  <si>
    <t>เต็มอิ่มกับบุฟเฟต์เทียบเท่าระดับไฟน์ไดนิ่ง พร้อมกิจกรรมถ่ายภาพ Photobooth ฟรี! เฉพาะวันที่ 14 ก.พ. เวลา 17.00-21.30 น. ที่คอปเปอร์ทั้งสองสาขา</t>
  </si>
  <si>
    <t>EN_BKK_ctnoti_netcore_single_N_N_active_20250210_1500_mimosa-mediterranean-feb25</t>
  </si>
  <si>
    <t>💕 Amore a Prima Vista Dining at Mimosa!</t>
  </si>
  <si>
    <t>Indulge in a romantic Valentine’s dinner with a special set menu, live jazz music 🎶, and two complimentary glasses of Sparkling Wine! Feb 14 only!</t>
  </si>
  <si>
    <t>TH_BKK_ctnoti_netcore_single_N_N_active_20250210_1500_mimosa-mediterranean-feb25</t>
  </si>
  <si>
    <t>❤️ ดินเนอร์วาเลนไทน์สุดโรแมนติกที่ Mimosa!</t>
  </si>
  <si>
    <t>ฉลองค่ำคืนสุดพิเศษกับเซ็ตเมนูวาเลนไทน์สุดหรู พร้อมดนตรีสดแจ๊ส 🎷 และรับ Sparkling Wine 2 แก้วฟรี! เฉพาะ 14 ก.พ. เท่านั้น!</t>
  </si>
  <si>
    <t>EN_BKK_ctnoti_netcore_single_N_N_active_20250210_1700_the-berkeley-dining-room-feb25</t>
  </si>
  <si>
    <t>🌟 Romantic Valentine's Dinner Under the Stars</t>
  </si>
  <si>
    <t>Enjoy a 6 western course menus with The Berkeley experience with a free bottle of sparkling wine and a special rose bouquet. Book now before seats fill up!</t>
  </si>
  <si>
    <t>TH_BKK_ctnoti_netcore_single_N_N_active_20250210_1700_the-berkeley-dining-room-feb25</t>
  </si>
  <si>
    <t>✨ ดินเนอร์โรแมนติกใต้แสงดาว กับ The Berkeley</t>
  </si>
  <si>
    <t>ฉลองวาเลนไทน์ด้วยเซตเมนู 6 คอร์สตะวันตก พร้อมไวน์สปาร์กลิงฟรี 1 ขวด และช่อกุหลาบสุดพิเศษ 💖 จองด่วนก่อนเต็ม!</t>
  </si>
  <si>
    <t>EN_BKK_ctnoti_netcore_single_N_N_active_20250211_1100_above-riva-at-riva-arun-feb25</t>
  </si>
  <si>
    <t>✨ Plan Your Makha Bucha Trip with a Riverside Dinner</t>
  </si>
  <si>
    <t>After admiring Wat Arun’s riverside views, enjoy a Thai Twist dinner at Above Riva for a special price starting at 899 THB. Book now! 🌅🍽️</t>
  </si>
  <si>
    <t>TH_BKK_ctnoti_netcore_single_N_N_active_20250211_1100_above-riva-at-riva-arun-feb25</t>
  </si>
  <si>
    <t>✨ แพลนเที่ยววัดอรุณมาฆบูชา ต้องปิดท้ายด้วยยดินเนอร์</t>
  </si>
  <si>
    <t>ไปชมวิววัดอรุณริมน้ำเจ้าพระยา ที่ Above Riva และอิ่มอร่อยกับดินเนอร์สไตล์ Thai Twist ในราคาสุดพิเศษ เริ่มต้น 899 บาท เท่านั้น</t>
  </si>
  <si>
    <t>No, the subject line in the table does not contain information about a "Come X Pay X" offer.</t>
  </si>
  <si>
    <t>EN_BKK_ctnoti_netcore_group_N_N_active_20250211_1500_vantage-point-feb25</t>
  </si>
  <si>
    <t>🌹 Vantage Point Valentine’s Enchantment</t>
  </si>
  <si>
    <t>Indulge in a 4-course romantic dinner for couples with an elegantly decorated table. 💕 Exclusive for Feb 14 only! Book now for a magical evening! ✨🍽️</t>
  </si>
  <si>
    <t>TH_BKK_ctnoti_netcore_group_N_N_active_20250211_1500_vantage-point-feb25</t>
  </si>
  <si>
    <t>ดื่มด่ำกับเซ็ตดินเนอร์ 4 คอร์ส สำหรับคู่รักวันวาเลนไทน์ พร้อมตกแต่งโต๊ะสุดโรแมนติก! ในราคาพิเศษ เฉพาะ 14 ก.พ. เท่านั้น</t>
  </si>
  <si>
    <t>EN_BKK_ctnoti_netcore_single_N_N_active_20250211_1700_sushi-koge-omakase-feb25</t>
  </si>
  <si>
    <t>❤️🍣 Fall in Love with Every Bite This Valentine’s</t>
  </si>
  <si>
    <t>Experience a 19-course exclusive Omakase at Sushi Koge for Valentine’s Day. 💕 Enjoy a free flower bouquet &amp; Polaroid photo—only on Feb 14! Book now! ✨🍣</t>
  </si>
  <si>
    <t>TH_BKK_ctnoti_netcore_single_N_N_active_20250211_1700_sushi-koge-omakase-feb25</t>
  </si>
  <si>
    <t>❤️🍣 วาเลนไทน์นี้ ตกหลุมรักในทุกคำ</t>
  </si>
  <si>
    <t>ลิ้มลอง 19 คอร์สโอมากาเสะสุดพิเศษ จาก Sushi Koge ต้อนรับวันวาเลนไทน์ พิเศษ รับช่อดอกไม้ และถ่ายรูปโพลารอยด์ ฟรี เฉพาะ 14 ก.พ. เท่านั้น</t>
  </si>
  <si>
    <t>EN_BKK_ctnoti_netcore_group_N_N_active_20250212_1100_weekly-new-week2-feb25</t>
  </si>
  <si>
    <t>TH_BKK_ctnoti_netcore_group_N_N_active_20250212_1100_weekly-new-week2-feb25</t>
  </si>
  <si>
    <t>EN_BKK_ctnoti_netcore_single_N_N_active_20250212_1500_savio-at-chatrium-grand-feb25</t>
  </si>
  <si>
    <t>🍫 Indulge in Sweetness at COCOA XO</t>
  </si>
  <si>
    <t>Indulge in a luxurious buffet at Savio with Beef Wellington, Roasted Duck, Sushi &amp; a Chocolate Fountain 🍫✨ Includes 1 glass of Sparkling Wine! Available on Feb 14 only!</t>
  </si>
  <si>
    <t>TH_BKK_ctnoti_netcore_single_N_N_active_20250212_1500_savio-at-chatrium-grand-feb25</t>
  </si>
  <si>
    <t>🍫 เติมเติบความหวาน กับ COCOA XO</t>
  </si>
  <si>
    <t>ดินเนอร์บุฟเฟต์สุดหรูที่ Savio พร้อมเมนูพิเศษ Beef Wellington, Roasted Duck, Sushi และ Chocolate Fountain 🍫✨ เสิร์ฟ Sparkling Wine 1 แก้ว! 14 ก.พ. เท่านั้น!</t>
  </si>
  <si>
    <t>TH_BKK_ctnoti_netcore_group_N_N_active_20250213_1100_valentine-s-deal-2025-feb25</t>
  </si>
  <si>
    <t>🥰 พรุ่งนี้วาเลนไทน์ มีที่ออกเดทหรือยัง?</t>
  </si>
  <si>
    <t>EN_BKK_ctnoti_netcore_group_N_N_active_20250213_1100_valentine-s-deal-2025-feb25</t>
  </si>
  <si>
    <t>🥰 Tomorrow is Valentine’s! Have You Booked Your Date Spot?</t>
  </si>
  <si>
    <t>EN_BKK_ctnoti_netcore_single_N_N_active_20250213_1700_the-vue-bar-rooftop-feb25</t>
  </si>
  <si>
    <t>🌟 Valentine's Celebration at The Vue Bar Rooftop!</t>
  </si>
  <si>
    <t>A romantic rooftop dinner with a premium meat platter 🥩, rosé wine 🍾 &amp; semi-buffet. Enjoy live music 🎶 and exclusive perks for Hungry Hub guests!</t>
  </si>
  <si>
    <t>TH_BKK_ctnoti_netcore_single_N_N_active_20250213_1700_the-vue-bar-rooftop-feb25</t>
  </si>
  <si>
    <t>🍷 ดื่มด่ำค่ำคืนสุดโรแมนติกที่ The Vue Bar Rooftop!</t>
  </si>
  <si>
    <t>เซ็ตดินเนอร์สุดหรู พร้อมเมนูพรีเมียม 🥩 + ไวน์โรเซ่ 1 ขวด 🍾 + บุฟเฟ่ต์กึ่งเซมิ &amp; ดนตรีสด 🎶 พิเศษเฉพาะลูกค้า Hungry Hub!</t>
  </si>
  <si>
    <t>EN_BKK_ctnoti_netcore_single_N_N_active_20250213_1900_guilty-anantara-siam-feb25</t>
  </si>
  <si>
    <t>💝 Get a FREE 1,000 THB F&amp;B Voucher!</t>
  </si>
  <si>
    <t>Book the Valentine’s Day package at Guilty and enjoy a welcome drink for couples + an exclusive 1,000 THB Guilty F&amp;B voucher for your next visit! 🍽️💕</t>
  </si>
  <si>
    <t>TH_BKK_ctnoti_netcore_single_N_N_active_20250213_1900_guilty-anantara-siam-feb25</t>
  </si>
  <si>
    <t>💝 รับฟรี บัตรกำนัล F&amp;B มูลค่า 1,000 บาท</t>
  </si>
  <si>
    <t>เมื่อจองแพ็กเกจ Valentine's Day จาก Guilty พร้อมเครื่องดื่มต้อนรับสำหรับคู่รัก + พิเศษ! รับบัตรกำนัล Guilty F&amp;B มูลค่า 1,000 บาทสุทธิ ต่อคู่ เพื่อใช้ในครั้งถัดไป!</t>
  </si>
  <si>
    <t>TH_BKK_ctnoti_netcore_group_N_N_active_20250214_1100_happy-valentineday-feb25</t>
  </si>
  <si>
    <t>🌹 สุขสันต์วันวาเลนไทน์</t>
  </si>
  <si>
    <t>ขอให้เป็นวันแห่งความรักที่เต็มไปด้วยความสุข และอย่าลืมชวนคนรู้ใจไปดินเนอร์กับโปรโมชั่นสุดโรแมนติกมากมาย</t>
  </si>
  <si>
    <t>EN_BKK_ctnoti_netcore_group_N_N_active_20250214_1100_happy-valentineday-feb25</t>
  </si>
  <si>
    <t>🌹 Happy Valentine’s Day!</t>
  </si>
  <si>
    <t>Wishing you a day filled with love and happiness! 💕 Don’t forget to treat your special someone to a romantic dinner with exclusive Valentine’s deals.</t>
  </si>
  <si>
    <t>EN_BKK_ctnoti_netcore_group_N_N_active_20250214_1500_hot-spot-feb25</t>
  </si>
  <si>
    <t>🎯 Must-Try! New Hot Deals Are Here!</t>
  </si>
  <si>
    <t>Enjoy top restaurant picks with exclusive promotions! 🎉 Plus, earn 1 point for every 100 THB spent and redeem discounts on your next booking.</t>
  </si>
  <si>
    <t>TH_BKK_ctnoti_netcore_group_N_N_active_20250214_1500_hot-spot-feb25</t>
  </si>
  <si>
    <t>🎯 ชี้เป้าโปรเด็ด มาใหม่ที่ต้องลอง</t>
  </si>
  <si>
    <t>อิ่มอร่อยกับร้านร้านอาหารชั้นนำ พร้อมโปรโมชั่นสุดพิเศษ! เฉพาะสมาชิกจองครบทุก 100 บาท รับ 1 คะแนนสะสม ใช้แลกเป็นส่วนลดในการจองร้านอาหารครั้งต่อไปได้</t>
  </si>
  <si>
    <t>EN_BKK_ctnoti_netcore_single_N_N_active_20250214_1700_deja-brew-feb25</t>
  </si>
  <si>
    <t>💥 Come more pay less at Deja Brew!</t>
  </si>
  <si>
    <t>Enjoy 4 Pay 3 or 3 Pay 2 on international buffet packages for a limited time! Available now until Feb 28, 2025.</t>
  </si>
  <si>
    <t>TH_BKK_ctnoti_netcore_single_N_N_active_20250214_1700_deja-brew-feb25</t>
  </si>
  <si>
    <t>ยิ่งชวน ยิ่งคุ้ม กับ Deja Brew</t>
  </si>
  <si>
    <t>คุ้มสุดๆ กับโปรมา 4 จ่าย 3 และ มา 3 จ่าย 2 เฉพาะแพ็กเกจบุฟเฟต์นานาชาติ ตั้งแต่วันนีจนถึง 28 ก.พ. 68 เท่านั้น</t>
  </si>
  <si>
    <t>EN_BKK_ctnoti_netcore_mkt_N_N_active_20250215_1100_krungsri-feb25</t>
  </si>
  <si>
    <t>💳 Redeem Points for 15% Cashback!</t>
  </si>
  <si>
    <t>Enjoy every moment with Krungsri Credit Card! Redeem points for up to 15% cashback when booking via Hungry Hub. Offer valid until April 30, 2025.</t>
  </si>
  <si>
    <t>TH_BKK_ctnoti_netcore_mkt_N_N_active_20250215_1100_krungsri-feb25</t>
  </si>
  <si>
    <t>แลกคะแนนรับเครดิตเงินคืน 15%</t>
  </si>
  <si>
    <t>ปล่อยจอยทุกโมเมนต์เรื่องออนไลน์ กับ บัตรเครดิตกรุงศรี แลกรับเครดิตเงินคืนสูงสุด 15%* เมื่อจองผ่าน Hungry Hub วันนี้ - 30 เม.ย. 68</t>
  </si>
  <si>
    <t>TH_BKK_ctnoti_netcore_single_N_N_active_20250217_1100_open-at-doubletree-feb25</t>
  </si>
  <si>
    <t>🍽️ มา 2 จ่ายแค่ 1 กับ OPEN at DoubleTree</t>
  </si>
  <si>
    <t>คุ้มทั้งมื้อกลางวัน และ มื้อเย็น กับแพ็กเกจบุฟเฟต์นานาชาติ อิ่มไม่อั้น 2 ชั่วโมงเต็ม ในราคาพิเศษเพียง 353 บาท วันนี้ - 30 มี.ค.</t>
  </si>
  <si>
    <t>EN_BKK_ctnoti_netcore_single_N_N_active_20250217_1100_open-at-doubletree-feb25</t>
  </si>
  <si>
    <t>🍽️ 2 Pay for 1 at OPEN at DoubleTree!</t>
  </si>
  <si>
    <t>Enjoy lunch and dinner international buffet with 2 hours of unlimited dining for just 353 THB. Available until March 30 only.</t>
  </si>
  <si>
    <t>TH_BKK_ctnoti_netcore_single_N_N_active_20250217_1500_okura-cruise-bangkok-feb25</t>
  </si>
  <si>
    <t>✨ สัมผัสแสงสีทอง ท่ามกลางแม่น้ำเจ้าพระยา</t>
  </si>
  <si>
    <t>ดื่มด่ำรสชาติสุดหรูหรา กับ Okura Cruise สัมผัสวิวอันสวยงามริมแม่น้ำเจ้าพระยา พร้อมส่วนลดสุดพิเศษ.</t>
  </si>
  <si>
    <t>EN_BKK_ctnoti_netcore_single_N_N_active_20250217_1500_okura-cruise-bangkok-feb25</t>
  </si>
  <si>
    <t>✨ Experience Golden Lights by the Chao Phraya River</t>
  </si>
  <si>
    <t>Indulge in a luxurious dining experience aboard Okura Cruise, with breathtaking riverside views and exclusive discounts.</t>
  </si>
  <si>
    <t>EN_BKK_ctnoti_netcore_single_N_N_active_20250217_1700_ads-ekka-indian-grill-and-bar-feb25</t>
  </si>
  <si>
    <t>🍛 The Ultimate Indian Dining Experience is Here!</t>
  </si>
  <si>
    <t>Try EKKA Indian Grill and Bar, an award-winning Indian restaurant offering value-packed set menus and buffets, starting from just 499 THB.</t>
  </si>
  <si>
    <t>TH_BKK_ctnoti_netcore_single_N_N_active_20250217_1700_ads-ekka-indian-grill-and-bar-feb25</t>
  </si>
  <si>
    <t>🍛 ที่สุดของอาหารอินเดีย อยู่ที่นี่แล้ว</t>
  </si>
  <si>
    <t>ลองเลย EKKA Indian Grill and Bar ร้านอาหารอินเดียการันตีรางวัลยอดเยี่ยม พร้อมแพ็กเกจเซ็ตอาหารและบุฟเฟต์สุดคุ้ม เริ่มต้น 499 บาท</t>
  </si>
  <si>
    <t>TH_BKK_ctnoti_netcore_group_N_N_active_20250218_1100_taliew-feb25</t>
  </si>
  <si>
    <t>🍽️ เที่ยงแล้ว มืื้อนี้ต้องกระเพรา</t>
  </si>
  <si>
    <t>ตะหลิวบุฟเฟต์มาแล้ว! อร่อยจุใจกับเมนูกับข้าวกระเพรา ยำ ผัดผัก เมนูเส้น ของทานเล่น หม้อไฟและอีกมากมาย เพียง 399 บาท</t>
  </si>
  <si>
    <t>EN_BKK_ctnoti_netcore_group_N_N_active_20250218_1100_taliew-feb25</t>
  </si>
  <si>
    <t>🍽️ Lunchtime? It’s Time for Kaphrao</t>
  </si>
  <si>
    <t>Taliew Buffet is here! Enjoy unlimited stir-fried basil dishes, spicy salads, noodles, hot pot, and more for just 399 THB.</t>
  </si>
  <si>
    <t>EN_BKK_ctnoti_netcore_single_N_N_active_20250218_1500_benihana-grand-mercure-feb25</t>
  </si>
  <si>
    <t>⚡️ 4 Pay for 3 at Benihana Grand Mercure!</t>
  </si>
  <si>
    <t>Enjoy unlimited teppanyaki and Japanese cuisine every Monday-Sunday at a special price starting from 1,325 THB. Available until Feb 28 only.</t>
  </si>
  <si>
    <t>TH_BKK_ctnoti_netcore_single_N_N_active_20250218_1500_benihana-grand-mercure-feb25</t>
  </si>
  <si>
    <t>⚡️ มา 4 จ่าย 3 กับ Benihana Grand Mercure</t>
  </si>
  <si>
    <t>อิ่มอร่อยกับเทปันยากิ และอาหารญี่ปุ่นไม่อั้น ในวันจันทร์-อาทิตย์ ในราคาสุดพิเศษเริ่มต้นเพียง 1,325 บาท วันนี้-28 ก.พ. เท่านั้น</t>
  </si>
  <si>
    <t>EN_BKK_ctnoti_netcore_single_N_N_active_20250218_1700_lanrotchat-banthatthong-feb25</t>
  </si>
  <si>
    <t>🍝 Lanrotchat Banthatthong is Here!</t>
  </si>
  <si>
    <t>Recharge with delicious Thai set menus in a relaxed atmosphere at a great value, starting from just 316 THB/person.</t>
  </si>
  <si>
    <t>TH_BKK_ctnoti_netcore_single_N_N_active_20250218_1700_lanrotchat-banthatthong-feb25</t>
  </si>
  <si>
    <t>🍝 ล้านรสชาติ บรรทัดทอง มาแล้ว!!</t>
  </si>
  <si>
    <t>เติมพลังด้วยของอร่อยกับเซ็ตเมนูอาหารไทย ทานแบบชิลๆ ในราคาสุดคุ้ม เริ่มต้นเพียงคนละ 316 บาท เท่านั้น</t>
  </si>
  <si>
    <t>EN_BKK_ctnoti_netcore_group_N_N_active_20250219_1500_weekly-new-week3-feb25</t>
  </si>
  <si>
    <t>TH_BKK_ctnoti_netcore_group_N_N_active_20250219_1500_weekly-new-week3-feb25</t>
  </si>
  <si>
    <t>EN_BKK_ctnoti_netcore_single_N_N_active_20250219_1700_orbit-restaurant-feb25</t>
  </si>
  <si>
    <t>🔥 4 Pay for 3 at Orbit Restaurant!</t>
  </si>
  <si>
    <t>Enjoy unlimited Tango Mango Buffet featuring international &amp; tropical-inspired dishes at a special price starting from 585 THB. Available until May 31 only.</t>
  </si>
  <si>
    <t>TH_BKK_ctnoti_netcore_single_N_N_active_20250219_1700_orbit-restaurant-feb25</t>
  </si>
  <si>
    <t>🔥 มา 4 จ่าย 3 กับ Orbit Restaurant</t>
  </si>
  <si>
    <t>อิ่มไม่อั้นกับโปรบุฟเฟต์ Tango Mango จัดเต้มทั้งเมนูนานาชาติ และเมนูสไตล์ทรอปิคอลมากมาย ในราคาพิเศษเริ่มต้น 585.- จนถึง 31 พ.ค. เท่านั้น</t>
  </si>
  <si>
    <t>EN_BKK_ctnoti_netcore_single_N_N_active_20250219_1900_shoko-omakase-bangkok-feb25</t>
  </si>
  <si>
    <t>🍣 Shoko Omakase is Here!</t>
  </si>
  <si>
    <t>Experience premium omakase in a beautiful Indoor Garden setting at an affordable price, starting from just 1,176 THB</t>
  </si>
  <si>
    <t>TH_BKK_ctnoti_netcore_single_N_N_active_20250219_1900_shoko-omakase-bangkok-feb25</t>
  </si>
  <si>
    <t>🍣 Shoko Omakase มาแล้ว!</t>
  </si>
  <si>
    <t>สัมผัสรสชาติโอมากาเสะพรีเมียม สไตล์ Indoor Garden ในราคาที่จับต้องได้ เริ่มต้นเพียง 1,176 บาท เท่านั้น</t>
  </si>
  <si>
    <t>TH_BKK_ctnoti_netcore_mkt_N_N_active_20250220_1100_point-exp-alert-feb25</t>
  </si>
  <si>
    <t>⚠️ แต้มส่วนลดจะหมดอายุเร็วๆนี้ ⚠️</t>
  </si>
  <si>
    <t>Point Exp 282 TH</t>
  </si>
  <si>
    <t>EN_BKK_ctnoti_netcore_mkt_N_N_active_20250220_1100_point-exp-alert-feb25</t>
  </si>
  <si>
    <t>⚠️ Your Hungry Points Are About to Expire! ⚠️</t>
  </si>
  <si>
    <t>Point Exp 282 EN</t>
  </si>
  <si>
    <t>TH_BKK_ctnoti_netcore_group_N_N_active_20250220_1700_come-4-pay-3-deals-feb25</t>
  </si>
  <si>
    <t>🔥 รวมดีลแรง มา 4 จ่าย 3</t>
  </si>
  <si>
    <t>TH Top 3 viewed</t>
  </si>
  <si>
    <t>EN_BKK_ctnoti_netcore_group_N_N_active_20250220_1700_come-4-pay-3-deals-feb25</t>
  </si>
  <si>
    <t>🔥 Top 4 Pay 3 Deals Are Here!</t>
  </si>
  <si>
    <t>EN Top 3 viewed</t>
  </si>
  <si>
    <t>EN_BKK_ctnoti_netcore_single_N_N_active_20250220_1900_w-omakase-feb25</t>
  </si>
  <si>
    <t>🍣 Experience a Romantic Dinner at W Omakase</t>
  </si>
  <si>
    <t>Indulge in a 21-course premium omakase, featuring Inaniwa Kanimiso, Awabi, and Chutoro, perfectly paired with red wine. Available until Feb 28 only</t>
  </si>
  <si>
    <t>TH_BKK_ctnoti_netcore_single_N_N_active_20250220_1900_w-omakase-feb25</t>
  </si>
  <si>
    <t>🍣 สัมผัสมื้อสุดโรแมนติกกับ W Omakase</t>
  </si>
  <si>
    <t>ลิ้มรส 21 คอร์สระดับพรีเมียม อาทิ Inaniwa Kanimiso, Awabi และ Chutoro พร้อมไวน์แดงเสิร์ฟเข้าคู่สุดลงตัว จนถึง 28 ก.พ. เท่านั้น</t>
  </si>
  <si>
    <t>TH_BKK_ctnoti_netcore_group_N_N_active_20250221_1100_hot-spot-feb25</t>
  </si>
  <si>
    <t>EN_BKK_ctnoti_netcore_group_N_N_active_20250221_1100_hot-spot-feb25</t>
  </si>
  <si>
    <t>TH_BKK_ctnoti_netcore_single_N_N_active_20250224_1100_streats-cafe-feb25</t>
  </si>
  <si>
    <t>🔥 4 วันสุดท้ายเท่านั้น</t>
  </si>
  <si>
    <t>จองด่วนกับโปรบุฟเฟต์สุดพิเศษ จาก Streats Cafe at ibis Styles Bangkok Ratchada เริ่มต้นเพียง 299.- จนถึง 28 ก.พ.</t>
  </si>
  <si>
    <t>EN_BKK_ctnoti_netcore_single_N_N_active_20250224_1100_streats-cafe-feb25</t>
  </si>
  <si>
    <t>🔥 Only 4 Days Left!</t>
  </si>
  <si>
    <t>Hurry and book the special buffet deal at Streats Cafe, ibis Styles Bangkok Ratchada, starting from just 299 THB. Offer valid until Feb 28 only.</t>
  </si>
  <si>
    <t>EN_BKK_ctnoti_netcore_single_N_N_active_20250224_1500_ads-chon-som-at-courtyard-feb25</t>
  </si>
  <si>
    <t>🔥 4 Pay for 3 is Back at Chon Som!</t>
  </si>
  <si>
    <t>Enjoy an international buffet with free-flow drinks at a special price starting from just 593 THB/person. Available until May 24 only.</t>
  </si>
  <si>
    <t>TH_BKK_ctnoti_netcore_single_N_N_active_20250224_1500_ads-chon-som-at-courtyard-feb25</t>
  </si>
  <si>
    <t>🔥 มา 4 จ่าย 3 กับ Chon Som กลับมาแล้ว</t>
  </si>
  <si>
    <t>อิ่มสุดคุ้มกับบุฟเฟต์นานาชาติพร้อมเครื่องดื่มไม่อั้น ในราคาสุดพิเศษ เริ่มต้นเพียงคนละ 593 บาท วันนี้ - 24 พ.ค. เท่านั้น</t>
  </si>
  <si>
    <t>TH_BKK_ctnoti_netcore_group_N_N_active_20250224_1700_copper-buffet-march-feb25</t>
  </si>
  <si>
    <t>✨ The Elegance of March with Copper</t>
  </si>
  <si>
    <t>สัมผัสรสชาติหรูหรา กับรอบจองใหม่ 1-15 มี.ค. จองพร้อมกันพรุ่งนี้ 10 โมงเช้า พร้อมแพ็กเกจสุดพิเศษ พร้อมเมนูเทียบเท่าระดับ Fine-Dining</t>
  </si>
  <si>
    <t>EN_BKK_ctnoti_netcore_group_N_N_active_20250224_1700_copper-buffet-march-feb25</t>
  </si>
  <si>
    <t>Indulge in a luxurious dining experience with new booking slots March 1-15. Reservations open tomorrow at 10 AM</t>
  </si>
  <si>
    <t>EN_BKK_ctnoti_netcore_group_N_N_active_20250225_900_copper-buffet-march-feb25</t>
  </si>
  <si>
    <t>Prepare to book Copper Beyond Buffet 2 Branches for Mar 1-15 with an exclusive world-class buffet package and special dishes!</t>
  </si>
  <si>
    <t>TH_BKK_ctnoti_netcore_group_N_N_active_20250225_900_copper-buffet-march-feb25</t>
  </si>
  <si>
    <t>เตรียมจองพร้อมกัน Copper Beyond Buffet ทั้ง 2 สาขา รอบ 1-15 มี.ค. พร้อมแพ็กเกจบุฟเฟต์ระดับเวิลด์คลาส และเมนูพิเศษอีกมากมาย</t>
  </si>
  <si>
    <t>EN_BKK_ctnoti_netcore_single_N_N_active_20250225_1500_cafeslash-bangkok-feb25</t>
  </si>
  <si>
    <t>🎨 Art-Inspired Café Near Ladprao!</t>
  </si>
  <si>
    <t>Don’t miss Cafe Slash—a cozy, pet-friendly café with a variety of fusion dishes. Starting at just 362 THB. Book now!</t>
  </si>
  <si>
    <t>I do not have enough information to determine if the subject line "🎨 Art-Inspired Café Near Ladprao!" has a "Come X Pay X" offer.</t>
  </si>
  <si>
    <t>TH_BKK_ctnoti_netcore_single_N_N_active_20250225_1500_cafeslash-bangkok-feb25</t>
  </si>
  <si>
    <t>🎨 คาเฟ่ฟิลอาร์ต อยู่ใกล้ๆแค่ลาดพร้าว</t>
  </si>
  <si>
    <t>ห้ามพลาด! Cafe Slash คาเฟ่ฟิลดี มี Pet-Friendly พร้อมเต็มอิ่มกับเมนูฟิวชั่นหลากหลายสไตล์ เริ่มต้น 362.- เท่านั้น</t>
  </si>
  <si>
    <t>EN_BKK_ctnoti_netcore_single_N_N_active_20250225_1700_ads-501-home-cook-feb25</t>
  </si>
  <si>
    <t>🍽️ Hidden Chef’s Table in Banthat Thong</t>
  </si>
  <si>
    <t>Indulge in a 9-course dining experience at 501 Home Cook, set in a cozy ambiance. Special price 1,595 THB only.</t>
  </si>
  <si>
    <t>TH_BKK_ctnoti_netcore_single_N_N_active_20250225_1700_ads-501-home-cook-feb25</t>
  </si>
  <si>
    <t>🍽️เชฟเทเบิ้ลลับๆ ในย่านบรรทัดทอง</t>
  </si>
  <si>
    <t>เต็มอิ่มกับ 9 คอร์สจาก 501 Home Cook พร้อมเพลิดเพลินกับบรรยากาศสไตล์ Cozy ในราคาสุดพิเศษ เพียง 1,595.- เท่านั้น</t>
  </si>
  <si>
    <t>TH_BKK_ctnoti_netcore_group_N_N_active_20250226_1100_weekly-new-week4-feb25</t>
  </si>
  <si>
    <t>EN_BKK_ctnoti_netcore_group_N_N_active_20250226_1100_weekly-new-week4-feb25</t>
  </si>
  <si>
    <t>TH_BKK_ctnoti_netcore_single_N_N_active_20250226_1500_fei-fei-mookata-feb25</t>
  </si>
  <si>
    <t>🔥 บุฟเฟต์หมูกระทะเจ้าเด็ด อยู่ใกล้ๆแค่รัชดา</t>
  </si>
  <si>
    <t>มาแล้ว Fei Fei Mookata Ratchada 3 บุฟเฟต์หมูกระทะ จัดเต็มทั้งหมู เนื้อ ซีฟู้ด และอีกมากมาย เริ่มต้นเพียงคนละ 299 บาท เท่านั้น</t>
  </si>
  <si>
    <t>EN_BKK_ctnoti_netcore_single_N_N_active_20250226_1500_fei-fei-mookata-feb25</t>
  </si>
  <si>
    <t>🔥 Must-Try Mookata Buffet Near Ratchada!</t>
  </si>
  <si>
    <t>Fei Fei Mookata Ratchada 3 is here! Enjoy unlimited pork, beef, seafood, and more starting at just 299 THB/person.</t>
  </si>
  <si>
    <t>No, the provided information shows a 10% discount on the buffet, not a Come X Pay X offer.</t>
  </si>
  <si>
    <t>TH_BKK_ctnoti_netcore_single_N_N_active_20250226_1700_ads-kumpoy-bangkok-feb25</t>
  </si>
  <si>
    <t>คำปอย มาแล้วเจ้า</t>
  </si>
  <si>
    <t>เปลี่ยนภาพจำอาหารเหนือแบบเดิม ให้เฉิดฉายไปกว่าเดิมกับเมนูจัดจ้านหลากหลาย เริ่มต้มเพียง 444 บาท เท่านั้น</t>
  </si>
  <si>
    <t>EN_BKK_ctnoti_netcore_single_N_N_active_20250226_1700_ads-kumpoy-bangkok-feb25</t>
  </si>
  <si>
    <t>kumpoy is here!!</t>
  </si>
  <si>
    <t>Redefine Northern Thai cuisine with bold and flavorful dishes like never before. Special price starting at just 444 THB.</t>
  </si>
  <si>
    <t>TH_BKK_ctnoti_netcore_single_N_N_active_20250227_1100_gentle-butcher-feb25</t>
  </si>
  <si>
    <t>🥩 ที่สุดของบุฟเฟต์ดรายเอจ สั่งได้ไม่อั้น</t>
  </si>
  <si>
    <t>ร้อนแรงเกินต้าน กับ Gentle Butcher by Bangkok Butcher จัดหนักกับบุฟเฟต์สเต็คเนื้อดรายเอจ พาสต้า และอีกมากมาย เริ่มต้น 1,390.-</t>
  </si>
  <si>
    <t>EN_BKK_ctnoti_netcore_single_N_N_active_20250227_1100_gentle-butcher-feb25</t>
  </si>
  <si>
    <t>🥩 The Ultimate Unlimited Dry-Aged Buffet!</t>
  </si>
  <si>
    <t>Experience premium dining at Gentle Butcher by Bangkok Butcher, featuring dry-aged steaks, pasta, and more. Starting at 1,390 THB</t>
  </si>
  <si>
    <t>EN_BKK_ctnoti_netcore_single_N_N_active_20250227_1500_grok-1970-michelin-guide-feb25</t>
  </si>
  <si>
    <t>🍽️ Modern Thai Cuisine Like No Other!</t>
  </si>
  <si>
    <t>Experience Grok 1970's 11-course modern Thai fine dining, blending Ratchaburi’s finest ingredients into exquisite creations. Special at 3,490.-</t>
  </si>
  <si>
    <t>TH_BKK_ctnoti_netcore_single_N_N_active_20250227_1500_grok-1970-michelin-guide-feb25</t>
  </si>
  <si>
    <t>🍽️ Modern Thai Cuisine ที่ไม่เหมือนใคร!</t>
  </si>
  <si>
    <t>สัมผัสรสชาติไทยแบบใหม่กับ 11 คอร์สจาก Grok 1970 ไฟน์ไดนิ่งไทยโมเดิร์นที่ผสมผสานภูมิปัญญาท้องถิ่นจากราชบุรี พิเศษ 3,490.-</t>
  </si>
  <si>
    <t>EN_BKK_ctnoti_netcore_single_N_N_active_20250227_1700_ads-korea-house-gold-feb25</t>
  </si>
  <si>
    <t>🔥 4 Pay for 3 at Korea House Gold!</t>
  </si>
  <si>
    <t>Enjoy a premium Korean BBQ &amp; dining experience at a special price starting from 525 THB. Available until March 31 only.</t>
  </si>
  <si>
    <t>TH_BKK_ctnoti_netcore_single_N_N_active_20250227_1700_ads-korea-house-gold-feb25</t>
  </si>
  <si>
    <t>🔥 มา 4 จ่าย 3 กับ Korea House Gold</t>
  </si>
  <si>
    <t>เต็มอิ่มกับบุฟเฟต์ฟิ้งย่างและอาหารเกาหลีระดับพรีเมียม ในราคาสุดพิเศษเริ่มต้นเพียง 525.- วันนี้ - 31 มี.ค. เท่านั้น</t>
  </si>
  <si>
    <t>EN_BKK_ctnoti_netcore_group_N_N_active_20250228_1100_hot-spot-feb25</t>
  </si>
  <si>
    <t>🎯 Must-Try Deals to End February!</t>
  </si>
  <si>
    <t>TH_BKK_ctnoti_netcore_group_N_N_active_20250228_1100_hot-spot-feb25</t>
  </si>
  <si>
    <t>🎯 ชี้เป้าโปรเด็ด ส่งท้ายเดือนกุมภาพันธ์</t>
  </si>
  <si>
    <t>อิ่มอร่อยกับร้านอาหารชั้นนำ พร้อมโปรโมชั่นเด็ดมากมาย เฉพาะสมาชิกจองครบทุก 100 บาท รับ 1 คะแนนสะสม ใช้แลกเป็นส่วนลดเมื่อจองร้านอาหารครั้งต่อไป</t>
  </si>
  <si>
    <t>EN_BKK_ctnoti_netcore_group_N_N_active_20250228_1500_oishi-eaterium-feb25</t>
  </si>
  <si>
    <t>🎁 Get a Free Salmon Love Rose!</t>
  </si>
  <si>
    <t>Book a buffet package at Oishi Eaterium and receive a special Salmon Love Rose dish (1 serving per 2 guests). Available until Feb 28 only.</t>
  </si>
  <si>
    <t>TH_BKK_ctnoti_netcore_group_N_N_active_20250228_1500_oishi-eaterium-feb25</t>
  </si>
  <si>
    <t>🎁 รับฟรี Salmon Love Rose</t>
  </si>
  <si>
    <t>เมื่อจองแพ็กเกจบุฟเฟต์จาก Oishi Eaterium รับฟรีเมนูพิเศษ Salmon Love Rose 2 ท่าน/1 เสิร์ฟ ถึง 28 ก.พ. เท่านั้น</t>
  </si>
  <si>
    <t>2002, 2003, 2004, 2005, 2008, 2012, 4039, 4041, 4258, 5302</t>
  </si>
  <si>
    <t>EN_BKK_ctnoti_netcore_single_N_N_active_20250228_1700_penthhouse-bar-grill-feb25</t>
  </si>
  <si>
    <t>🍸 Penthouse Bar + Grill is Here!</t>
  </si>
  <si>
    <t>Make your Friday night unforgettable at this city-center rooftop bar, paired with a special dinner experience starting at 998 THB/person.</t>
  </si>
  <si>
    <t>TH_BKK_ctnoti_netcore_single_N_N_active_20250228_1700_penthhouse-bar-grill-feb25</t>
  </si>
  <si>
    <t>🍸 Penthouse Bar + Grill มาแล้ว</t>
  </si>
  <si>
    <t>มาเปลี่ยนวันศุกร์ ให้สนุกยิ่งกว่าเดิม กับรูฟท็อปบาร์ใจกลางเมือง พร้อมดินเนอร์สุดพิเศษ เริ่มต้นเพียงคนละ 998.-</t>
  </si>
  <si>
    <t>EN_BKK_ctnoti_netcore_group_N_N_active_20250301_1100_march-more-deals-mar25</t>
  </si>
  <si>
    <t>🎉 March More Deals Start Now!</t>
  </si>
  <si>
    <t>Enjoy exclusive March specials from top restaurants, including 4 Pay 3 deals &amp; special discounts—only on Hungry Hub. Available until March 31, 2025.</t>
  </si>
  <si>
    <t>TH_BKK_ctnoti_netcore_group_N_N_active_20250301_1100_march-more-deals-mar25</t>
  </si>
  <si>
    <t>🎉 March More Deals เริ่มแล้ววันนี้</t>
  </si>
  <si>
    <t>พบกับสุดยอดดีลสุดพิเศษจาก Hungry Hub ต้อนรับมีนาคม จากร้านอาหารชั้นนำ ไม่ว่าจะเป็นมา 4 จ่าย 3 ส่วนลดสุดพิเศษ วันนี้ - 31 มี.ค. 68 เท่านั้น</t>
  </si>
  <si>
    <t>EN_BKK_ctnoti_netcore_group_N_N_active_20250301_1300_mmd-the-seafood-cafe-mar25</t>
  </si>
  <si>
    <t>⚡️ Extra 10% Off at The Seafood Cafe!</t>
  </si>
  <si>
    <t>Book the Special Sharing Set and get 10% off the regular price. Available now until March 31, 2025 only. Don’t miss out</t>
  </si>
  <si>
    <t>TH_BKK_ctnoti_netcore_group_N_N_active_20250301_1300_mmd-the-seafood-cafe-mar25</t>
  </si>
  <si>
    <t>⚡️ ลดเพิ่ม 10% กับ The Seafood Cafe</t>
  </si>
  <si>
    <t>EN_BKK_ctnoti_netcore_single_N_N_active_20250301_1500_jumbo-seafood-iconsiam-mar25</t>
  </si>
  <si>
    <t>🦞 Jumbo Seafood Buffet is Back!</t>
  </si>
  <si>
    <t>Enjoy authentic Singaporean-style seafood, unlimited and fresh! Starting at just 999 THB/person. Available exclusively at ICONSIAM</t>
  </si>
  <si>
    <t>TH_BKK_ctnoti_netcore_single_N_N_active_20250301_1500_jumbo-seafood-iconsiam-mar25</t>
  </si>
  <si>
    <t>🦞 Jumbo Seafood บุฟเฟต์กลับมาแล้ว</t>
  </si>
  <si>
    <t>ลิ้มรสซีฟู้ดต้นตำรับ! ส่งตรงจากสิงคโปร์ไม่อั้น เริ่มต้นเพียงคนละ 999 บาท เฉพาะสาขาไอคอนสยามเท่านั้น</t>
  </si>
  <si>
    <t>EN_BKK_ctnoti_netcore_single_N_N_active_20250302_1100_the-chinese-dusit-princess-mar25</t>
  </si>
  <si>
    <t>🥢 3 Pay for 2 at The Chinese!</t>
  </si>
  <si>
    <t>Enjoy unlimited dim sum buffet, including shrimp har gow, radish cake, and more for just 666 THB. Available until April 30 only.</t>
  </si>
  <si>
    <t>3 Pay for 2</t>
  </si>
  <si>
    <t>TH_BKK_ctnoti_netcore_single_N_N_active_20250302_1100_the-chinese-dusit-princess-mar25</t>
  </si>
  <si>
    <t>🥢 มา 3 จ่าย 2 กับ The Chinese</t>
  </si>
  <si>
    <t>อิ่มไม่อั้นกับบุฟเฟต์อาหารจีนติ๋มซำ อาทิ ฮะเก๋ากุ้ง ขนมผักกาด และอื่นๆอีกมากมาย! ในราคาพิเศษ 666 บาท วันนี้ - 30 เม.ย. เท่านั้น</t>
  </si>
  <si>
    <t>Has offer: Yes
X Pay: No</t>
  </si>
  <si>
    <t>EN_BKK_ctnoti_netcore_single_N_N_active_20250302_1300_gingerbread-house-bangkok-mar25</t>
  </si>
  <si>
    <t>🍵 Thai Dessert Café Near Sao Ching Cha</t>
  </si>
  <si>
    <t>Step into nostalgia at Baan Kanom Pang Khing, a charming Thai-style house café. Indulge in a special Afternoon Tea set, starting at just 250 THB.</t>
  </si>
  <si>
    <t>I cannot determine if there is a "Come X Pay X" offer from the subject line alone.</t>
  </si>
  <si>
    <t>TH_BKK_ctnoti_netcore_single_N_N_active_20250302_1300_gingerbread-house-bangkok-mar25</t>
  </si>
  <si>
    <t>🍵 คาเฟ่ขนมไทย ในย่านเสาชิงช้า</t>
  </si>
  <si>
    <t>เปิดโลกแห่งความทรงจำ กับ บ้านขนมปังขิง เสาชิงช้า คาเฟ่ในบ้านเรือนไทย พร้อมอิ่มอร่อยกับเซ็ต Afternoon Tea สุดวิเศษ เริ่มต้น 250.-</t>
  </si>
  <si>
    <t>EN_BKK_ctnoti_netcore_group_N_N_active_20250302_1500_nuatair-mar25</t>
  </si>
  <si>
    <t>🥩 Last Month! 4 Pay for 3 at Nuatair</t>
  </si>
  <si>
    <t>Tag your friends now! Enjoy the famous steak buffet with a special 4 Pay for 3 deal at just 577 THB/person. Available until March 31, 2025 only.</t>
  </si>
  <si>
    <t>TH_BKK_ctnoti_netcore_group_N_N_active_20250302_1500_nuatair-mar25</t>
  </si>
  <si>
    <t>เนื้อแท้ มา 4 จ่าย 3 เดือนสุดท้ายแล้ว</t>
  </si>
  <si>
    <t>🥩 รีบแท็กเพื่อนมาด่วนๆ กับครั้งแรกของบุฟเฟต์สเต็กเนื้อเจ้าดัง พร้อมโปรแรง จ่ายราคาพิเศษคนละ 577 บาทเท่านั้น วันนี้ - 31 มี.ค. 68 เท่านั้น</t>
  </si>
  <si>
    <t>TH_BKK_ctnoti_netcore_mkt_N_N_active_20250304_1500_go-and-get-more-mar25</t>
  </si>
  <si>
    <t>🎉 จ่ายครั้งเดียว อัปเกรดทันที</t>
  </si>
  <si>
    <t>เพียงซื้อตามยอดที่กำหนด อัปเกรดรับสิทธิพิเศษทันที สูงสุดถึงระดับ Platinum และรับเวาเชอร์สูงสุด 6,000 บาท เฉพาะวันนี้ - 9 มี.ค. เท่านั้น</t>
  </si>
  <si>
    <t>EN_BKK_ctnoti_netcore_mkt_N_N_active_20250304_1500_go-and-get-more-mar25</t>
  </si>
  <si>
    <t>🎉 One-Time Payment, Instant Upgrade!</t>
  </si>
  <si>
    <t>Spend the required amount and upgrade instantly to enjoy exclusive perks—up to Platinum tier! Plus, get a voucher worth up to 6,000 THB. Offer valid until March 9 only.</t>
  </si>
  <si>
    <t>TH_BKK_ctnoti_netcore_single_N_N_active_20250305_1100_mmd-rad-is-rad-at-the-fig-lobby-mar25</t>
  </si>
  <si>
    <t>🔥 ลด 30% วันเดียวเท่านั้น</t>
  </si>
  <si>
    <t>ฟิวอาร์ตตัวแม่ ต้องโดนด่วนๆ ที่ RAD is RAD at The Fig Lobby ลดจุกๆกับแพ็กเกจ Sharing Set จนถึงเที่ยงคืนนี้เท่านั้น</t>
  </si>
  <si>
    <t>EN_BKK_ctnoti_netcore_single_N_N_active_20250305_1100_mmd-rad-is-rad-at-the-fig-lobby-mar25</t>
  </si>
  <si>
    <t>🔥 30% Off – Today Only!</t>
  </si>
  <si>
    <t>Art lovers, don’t miss this! Get 30% off the Sharing Set package at RAD is RAD at The Fig Lobby. Valid until midnight only!</t>
  </si>
  <si>
    <t>EN_BKK_ctnoti_netcore_single_N_N_active_20250305_1500_mmd-place-bangkok-mar25</t>
  </si>
  <si>
    <t>🔥 30% Off at Place Bangkok!</t>
  </si>
  <si>
    <t>Enjoy fine dining at a special price with the Sharing Set for 2—now 1,008 THB (down from 1,440 THB). Offer valid until March 9 only.</t>
  </si>
  <si>
    <t>TH_BKK_ctnoti_netcore_single_N_N_active_20250305_1500_mmd-place-bangkok-mar25</t>
  </si>
  <si>
    <t>🔥 ลด 30% กับ Place Bangkok</t>
  </si>
  <si>
    <t>อิ่มอร่อยกับไฟน์ไดนิ่งในราคาสุดพิเศษ เฉพาะแพ็กเกจ Sharing Set สำหรับ 2 ท่าน เหลือเพียง 1,008 บาท จากปกติ 1,440 บาท จนถึง 9 มี.ค. เท่านั้น</t>
  </si>
  <si>
    <t>The subject line has an offer but does not contain the exact phrase "Come X Pay X".</t>
  </si>
  <si>
    <t>2915, 3295, 3785, 5386, 5794, 5859, 5908, 6006, 6106, 6407, 6486</t>
  </si>
  <si>
    <t>EN_BKK_ctnoti_netcore_single_N_N_active_20250305_1700_mmd-ambar-rooftop-mar25</t>
  </si>
  <si>
    <t>🌆 10% Off at amBar Rooftop!</t>
  </si>
  <si>
    <t>Enjoy a spectacular rooftop dining experience in the heart of Sukhumvit with a value-packed set menu, starting at just 720 THB. Offer valid until March 31.</t>
  </si>
  <si>
    <t>TH_BKK_ctnoti_netcore_single_N_N_active_20250305_1700_mmd-ambar-rooftop-mar25</t>
  </si>
  <si>
    <t>🌆 ลด 10% กับ amBar Rooftop</t>
  </si>
  <si>
    <t>สัมผัสบรรยากาศสุดพิเศษ กับเซ็ตอาหารสุดคุ้ม บนรูฟท็อปใจกลางสุขุมวิท เริ่มต้นเพียง 720 บาท จนถึง 31 มี.ค. เท่านั้น</t>
  </si>
  <si>
    <t>TH_BKK_ctnoti_netcore_group_N_N_active_20250306_1100_mmd-come-more-pay-less-mar25</t>
  </si>
  <si>
    <t>🔥 มา 4 จ่าย 3 March More Deal</t>
  </si>
  <si>
    <t>ลดร้อนแรงรับเดือนมีนาคม กับโปรโมชั่นมา 4 จ่าย 3 จากร้านบุฟเฟต์ชั้นนำมากมาย ตั้งแต่วันนี้ - 31 มีนาคม เท่านั้น</t>
  </si>
  <si>
    <t>EN_BKK_ctnoti_netcore_group_N_N_active_20250306_1100_mmd-come-more-pay-less-mar25</t>
  </si>
  <si>
    <t>🔥 4 Pay for 3 - March More Deal!</t>
  </si>
  <si>
    <t>Kick off March with hot buffet deals! Enjoy 4 Pay for 3 at top buffet restaurants. Available now until March 31 only.</t>
  </si>
  <si>
    <t>TH_BKK_ctnoti_netcore_single_N_N_active_20250306_1500_mmd-deja-brew-mar25</t>
  </si>
  <si>
    <t>⚡️ มา 4 จ่าย 3 กับ Deja Brew</t>
  </si>
  <si>
    <t>ยิ่งชวน ยิ่งคุ้ม กับแพ็กเกจบุฟเฟต์นานาชาติ พร้อมเครื่องดื่มไม่อั้น ในราคาพิเศษเริ่มต้น 600 บาท วันนี้ - 30 เม.ย.เท่านั้น</t>
  </si>
  <si>
    <t>EN_BKK_ctnoti_netcore_single_N_N_active_20250306_1500_mmd-deja-brew-mar25</t>
  </si>
  <si>
    <t>⚡️ 4 Pay for 3 at Deja Brew!</t>
  </si>
  <si>
    <t>The more, the merrier! Enjoy an international buffet with free-flow drinks at a special price starting from 600 THB. Available until April 30 only.</t>
  </si>
  <si>
    <t>EN_BKK_ctnoti_netcore_single_N_N_active_20250306_1700_mmd-gravity-87-rooftop-mar25</t>
  </si>
  <si>
    <t>🌆 10% Off at Gravity 87 Rooftop!</t>
  </si>
  <si>
    <t>Enjoy panoramic rooftop views with a special dining &amp; drink set starting at just 585 THB. Offer valid until March 31 only.</t>
  </si>
  <si>
    <t>TH_BKK_ctnoti_netcore_single_N_N_active_20250306_1700_mmd-gravity-87-rooftop-mar25</t>
  </si>
  <si>
    <t>🌆 Gravity 87 Rooftop ลดเพิ่ม 10%</t>
  </si>
  <si>
    <t>ชมวิวพาโนรามาบนรูฟท็อป พร้อมดื่มด่ำกับเซ็ตอาหารและเครื่องดื่มในราคาสุดพิเศษ เริ่มต้น 585 บาท จนถึง 31 มี.ค. เท่านั้น</t>
  </si>
  <si>
    <t>EN_BKK_ctnoti_netcore_group_N_N_active_20250307_1100_3day-march-more-deal-mar25</t>
  </si>
  <si>
    <t>⚡️ Exclusive Deals – Only 3 Days!</t>
  </si>
  <si>
    <t>Get up to 50% off on top dining spots like OJI Omakase, Bistro M, Ruen Petch Suki, and more! Available until March 9 only.</t>
  </si>
  <si>
    <t>It has an offer, but the structure is not "Come X Pay X."</t>
  </si>
  <si>
    <t>TH_BKK_ctnoti_netcore_group_N_N_active_20250307_1100_3day-march-more-deal-mar25</t>
  </si>
  <si>
    <t>⚡️ รวมร้านดีลพิเศษ ลด 3 วันเท่านั้น</t>
  </si>
  <si>
    <t>ลดสูงสุด 50% กับดีลสุดพิเศษจากร้านเด่นมากมาย อาทิ OJI Omakase, Bistro M, Ruen Petch Suki และอีกมากมาย ถึง 9 มี.ค. เท่านั้น</t>
  </si>
  <si>
    <t>EN_BKK_ctnoti_netcore_single_N_N_active_20250307_1500_3daymmd-bistro-m-mar25</t>
  </si>
  <si>
    <t>🔥 30% Off at Bistro M!</t>
  </si>
  <si>
    <t>Enjoy an international buffet with special dishes &amp; unlimited drinks for just 623 THB (down from the regular price). Offer valid until March 9 only.</t>
  </si>
  <si>
    <t>TH_BKK_ctnoti_netcore_single_N_N_active_20250307_1500_3daymmd-bistro-m-mar25</t>
  </si>
  <si>
    <t>🔥 ลด 30% กับ Bistro M</t>
  </si>
  <si>
    <t>อิ่มอร่อยไม่อั้นกับบุฟเฟต์นานาชาติ พร้อมเมนูพิเศษและเครื่องดื่มสั่งได้ไม่อั้น ในราคาพิเศษเหลืองเพียง 623 บาท จนถึง 9 มี.ค. เท่านั้น</t>
  </si>
  <si>
    <t>EN_BKK_ctnoti_netcore_single_N_N_active_20250307_1700_3daymmd-asok-pethouse-mar25</t>
  </si>
  <si>
    <t>😽 Cat Café &amp; Cuteness Overload!</t>
  </si>
  <si>
    <t>Relax with adorable cats at Asok Pethouse, the coziest cat café in town! Enjoy a special 50% discount, available until March 9 only.</t>
  </si>
  <si>
    <t>TH_BKK_ctnoti_netcore_single_N_N_active_20250307_1700_3daymmd-asok-pethouse-mar25</t>
  </si>
  <si>
    <t>😽 คาเฟ่พร้อม น้องแมวก็พร้อม</t>
  </si>
  <si>
    <t>แวะมาพักใจ กับน้องเหมียวจอมป่วนกับ Asok Pethouse คาเฟ่น้องแมวสุดน่ารัก พร้อมโปรพิเศษลด 50% จนถึง 9 มี.ค. เท่านั้นนะ</t>
  </si>
  <si>
    <t>EN_BKK_ctnoti_netcore_mkt_N_N_active_20250308_1100_bangkok-airway-mar25</t>
  </si>
  <si>
    <t>✈️ Fly Smart with Bangkok Airways &amp; Hungry Hub!</t>
  </si>
  <si>
    <t>Pack your bags and enjoy triple rewards when you sign up for FlyerBonus. Exclusive perks available until April 30, 2025.</t>
  </si>
  <si>
    <t>TH_BKK_ctnoti_netcore_mkt_N_N_active_20250308_1100_bangkok-airway-mar25</t>
  </si>
  <si>
    <t>✈️ เตรียมบินสุดคุ้มกับ Bangkok Airway</t>
  </si>
  <si>
    <t>เตรียมกระเป๋าไปกับ Hungry Hub และ Bangkok Airway เพียงสมัครสมาชิก FlyerBonus รับความคุ้มค่า 3 ต่อ วันนี้ - 30 เม.ย. 68</t>
  </si>
  <si>
    <t>EN_BKK_ctnoti_netcore_single_N_N_active_20250308_1300_3daymmd-badasga-beach-club-mar25</t>
  </si>
  <si>
    <t>🌊🌴 30% Off at Badasga Beach Club!</t>
  </si>
  <si>
    <t>Enjoy breathtaking Pattaya sea views while indulging in a Thai set menu for just 1,225 THB (for 3 people). Offer valid until March 9 only.</t>
  </si>
  <si>
    <t>TH_BKK_ctnoti_netcore_single_N_N_active_20250308_1300_3daymmd-badasga-beach-club-mar25</t>
  </si>
  <si>
    <t>🌊🌴 ลด 30% กับ Badasga Beach Club</t>
  </si>
  <si>
    <t>เต็มตา เต็มใจกับวิวทะเลพัทยา พร้อมเพลิดเพลินกับเซ็ตเมนูอาหารไทยในราคาพิเศษ เริ่มต้นเพียง 1,225.- สำหรับ 3 ท่าน จนถึง 9 มี.ค. เท่านั้น</t>
  </si>
  <si>
    <t>EN_BKK_ctnoti_netcore_group_N_N_active_20250308_1500_3daymmd-ruen-petch-suki-mar25</t>
  </si>
  <si>
    <t>🥢 Ruen Petch Buffet – Extra 30% Off!</t>
  </si>
  <si>
    <t>Indulge in a premium buffet with an additional Chinese dish per person for just 560 THB. Offer valid until March 9 only.</t>
  </si>
  <si>
    <t>TH_BKK_ctnoti_netcore_group_N_N_active_20250308_1500_3daymmd-ruen-petch-suki-mar25</t>
  </si>
  <si>
    <t>🥢 เรือนเพชรบุฟเฟต์ ลดเพิ่มอีก 30%</t>
  </si>
  <si>
    <t>จุใจกับบุฟเฟต์พรีเมียม พร้อมเลือกรับอาหารจีนเพิ่มท่านละ 1 เมนู ในราคาพิเศษเพียง 560 บาท จนถึง 9 มี.ค. เท่านั้น</t>
  </si>
  <si>
    <t>1006, 1007, 4598</t>
  </si>
  <si>
    <t>TH_BKK_ctnoti_netcore_mkt_N_N_active_20250309_900_last-day-go-and-get-more-mar25</t>
  </si>
  <si>
    <t>⚠️ วันสุดท้าย จ่ายครั้งเดียว อัปเกรดทันที</t>
  </si>
  <si>
    <t>เพียงซื้อแพ็กเกจสุดพิเศษ พร้อมรับสิทธิอัปเกรดระดับสมาชิกทันที สูงสุดถึง Platinum และรับเวาเชอร์สูงสุด 6,000 บาท ถึงเที่ยงคืนนี้เท่านั้น</t>
  </si>
  <si>
    <t>EN_BKK_ctnoti_netcore_mkt_N_N_active_20250309_900_last-day-go-and-get-more-mar25</t>
  </si>
  <si>
    <t>⚠️ Last Chance! One-Time Instant Upgrade</t>
  </si>
  <si>
    <t>Purchase a special package today and instantly upgrade your membership—up to Platinum! Plus, get a voucher worth up to 6,000 THB. Offer ends at midnight!</t>
  </si>
  <si>
    <t>EN_BKK_ctnoti_netcore_single_N_N_active_20250309_1100_3daymmd-chao-nua-thong-mar25</t>
  </si>
  <si>
    <t>🥩 Chao Nua Thong – 30% Flash Sale!</t>
  </si>
  <si>
    <t>Satisfy your cravings with premium steak and a variety of delicious dishes at a special discount. Available until midnight only!</t>
  </si>
  <si>
    <t>TH_BKK_ctnoti_netcore_single_N_N_active_20250309_1100_3daymmd-chao-nua-thong-mar25</t>
  </si>
  <si>
    <t>🥩 เจ้าเนื้อทอง ลดจัดหนัก 30%</t>
  </si>
  <si>
    <t>เติมเต็มความหิว กับสเต็กเนื้อสุดพรีเมียม และเมนูอาหารมากมาย ในราคาสุดพิเศษ ลดราคาจนถึงเที่ยงคืนนี้เท่านั้น</t>
  </si>
  <si>
    <t>EN_BKK_ctnoti_netcore_group_N_N_active_20250309_1300_3daymmd-oji-omakase-mar25</t>
  </si>
  <si>
    <t>🍣 30% Off at Oji Omakase!</t>
  </si>
  <si>
    <t>Experience a premium omakase course at an unbeatable price—now just 1,953 THB (down from 2,790 THB). Valid until midnight only!</t>
  </si>
  <si>
    <t>TH_BKK_ctnoti_netcore_group_N_N_active_20250309_1300_3daymmd-oji-omakase-mar25</t>
  </si>
  <si>
    <t>🍣 ลด 30% กับ Oji Omakase</t>
  </si>
  <si>
    <t>สัมผัสรสชาติคอร์สโอมากาเสะชั้นเลิศ ในราคาสุดพิเศษที่คุ้มค่ากว่าเดิม เพียง 1,953.- จากปกติ 2,790.- จนถึงเที่ยงคืนนี้เท่านั้น</t>
  </si>
  <si>
    <t>2441, 3682</t>
  </si>
  <si>
    <t>EN_BKK_ctnoti_netcore_group_N_N_active_20250309_1500_copper-buffet-16-31-mar25</t>
  </si>
  <si>
    <t>😎☀️ Copper Early Summer Festival</t>
  </si>
  <si>
    <t>Beat the heat with unlimited premium buffet dining at Fine-Dining standards! 🌟 Booking opens at 10 AM for slots March 16-31.</t>
  </si>
  <si>
    <t>TH_BKK_ctnoti_netcore_group_N_N_active_20250309_1500_copper-buffet-16-31-mar25</t>
  </si>
  <si>
    <t>คลายร้อนเต็มพิกัด กับรอบจองบุฟเฟต์ 16 - 31 มีนาคม 10 โมงเช้าเป็นต้นไป พร้อมอิ่มอร่อยไม่อั้นกับเมนูพรีเมียม เทียบเท่าระดับ Fine-Dining</t>
  </si>
  <si>
    <t>EN_BKK_ctnoti_netcore_group_N_N_active_20250310_900_copper-buffet-16-31-mar25</t>
  </si>
  <si>
    <t>Prepare to book Copper Beyond Buffet 2 Branches for Mar 16-31 with an exclusive world-class buffet package and special dishes!</t>
  </si>
  <si>
    <t>TH_BKK_ctnoti_netcore_group_N_N_active_20250310_900_copper-buffet-16-31-mar25</t>
  </si>
  <si>
    <t>เตรียมจองพร้อมกัน Copper Beyond Buffet ทั้ง 2 สาขา รอบ 16-31 มี.ค. พร้อมแพ็กเกจบุฟเฟต์ระดับเวิลด์คลาส และเมนูพิเศษอีกมากมาย</t>
  </si>
  <si>
    <t>EN_BKK_ctnoti_netcore_group_N_N_active_20250310_1500_gold-mmd-mar25</t>
  </si>
  <si>
    <t>🎁 Get a Free Voucher Up to 300 THB!</t>
  </si>
  <si>
    <t>EN Gold</t>
  </si>
  <si>
    <t>TH_BKK_ctnoti_netcore_group_N_N_active_20250310_1500_gold-mmd-mar25</t>
  </si>
  <si>
    <t>🎁 รับฟรีเวาเชอร์สูงสด 300 บาท</t>
  </si>
  <si>
    <t>TH Gold</t>
  </si>
  <si>
    <t>TH_BKK_ctnoti_netcore_mkt_N_N_active_20250310_1500_platinum-mmd-mar25</t>
  </si>
  <si>
    <t>🎁 รับฟรีเวาเชอร์สูงสด 500 บาท</t>
  </si>
  <si>
    <t>TH Platinum</t>
  </si>
  <si>
    <t>EN_BKK_ctnoti_netcore_mkt_N_N_active_20250310_1500_platinum-mmd-mar25</t>
  </si>
  <si>
    <t>🎁 Get a Free Voucher Up to 500 THB!</t>
  </si>
  <si>
    <t>EN Platinum</t>
  </si>
  <si>
    <t>EN_BKK_ctnoti_netcore_single_N_N_active_20250310_1700_mmd-orchid-cafe-mar25</t>
  </si>
  <si>
    <t>⚡️ 2 Pay for 1 at Orchid Cafe!</t>
  </si>
  <si>
    <t>Indulge in a luxury international &amp; seafood buffet at a 5-star hotel in Sukhumvit for a special price starting at just 685 THB. Available until March 31 only.</t>
  </si>
  <si>
    <t>TH_BKK_ctnoti_netcore_single_N_N_active_20250310_1700_mmd-orchid-cafe-mar25</t>
  </si>
  <si>
    <t>⚡️ มา 2 จ่าย 1 กับ Orchid Cafe</t>
  </si>
  <si>
    <t>เต็มอิ่มกับบุฟเฟต์นานาชาติ บุฟเฟต์ซีฟู้ด ในโรงแรม 5 ดาวใจกลางสุขุมวิท ในราคาสุดพิเศษเริ่มต้นเพียง 685 บาท จนถึง 31 มี.ค. เท่านั้น</t>
  </si>
  <si>
    <t>TH_BKK_ctnoti_netcore_group_N_N_active_20250311_1500_mmd-3-week-deals-mar25</t>
  </si>
  <si>
    <t>⚡️ รวมร้านดีลพิเศษ ลด 3 สัปดาห์เท่านั้น</t>
  </si>
  <si>
    <t>ลดกว่า 20% กับดีลสุดพิเศษจากร้านเด่นที่ต้องลอง อาทิ Kanpai Omakase, Asok Pethouse และ Zaap Classic ถึง 31 มี.ค. เท่านั้น</t>
  </si>
  <si>
    <t>EN_BKK_ctnoti_netcore_group_N_N_active_20250311_1500_mmd-3-week-deals-mar25</t>
  </si>
  <si>
    <t>⚡️ Exclusive Deals – 3 Weeks Only!</t>
  </si>
  <si>
    <t>Enjoy 20%+ off at must-try restaurants like Kanpai Omakase &amp; Asok Pethouse, and Zaap Classic Available until March 31 only.</t>
  </si>
  <si>
    <t>EN_BKK_ctnoti_netcore_group_N_N_active_20250311_1700_sheraton-grande-sukhumvit-mar25</t>
  </si>
  <si>
    <t>✨ The Ultimate Luxury Dining Experience at a 5-Star Hotel</t>
  </si>
  <si>
    <t>Indulge in exquisite flavors from 4 premium restaurants at Sheraton Grande Sukhumvit, starting from just 587 THB.</t>
  </si>
  <si>
    <t>TH_BKK_ctnoti_netcore_group_N_N_active_20250311_1700_sheraton-grande-sukhumvit-mar25</t>
  </si>
  <si>
    <t>✨ ที่สุดของมื้อสุดหรู จากโรงแรมระดับ 5 ดาว</t>
  </si>
  <si>
    <t>สัมผัสรสชาติหลากหลายจาก 4 ร้านอาหารสุดหรูหราจาก Sheraton Grande Sukhumvit เริ่มต้นเพียง 587 บาท เท่านั้น</t>
  </si>
  <si>
    <t>EN_BKK_ctnoti_netcore_single_N_N_active_20250311_1900_hhp-kingston-lounge-at-aira-hotel-mar25</t>
  </si>
  <si>
    <t>🥟 4 Pay for 3 at Kingston Lounge!</t>
  </si>
  <si>
    <t>Enjoy 2 hours of unlimited dim sum at a special price of 450 THB (down from 600 THB). Available until March 31 only.</t>
  </si>
  <si>
    <t>4 Pay 3</t>
  </si>
  <si>
    <t>TH_BKK_ctnoti_netcore_single_N_N_active_20250311_1900_hhp-kingston-lounge-at-aira-hotel-mar25</t>
  </si>
  <si>
    <t>🥟 มา 4 จ่าย 3 กับ Kingston Lounge</t>
  </si>
  <si>
    <t>อิ่มอร่อยกับบุฟเฟต์ติ่มซำไม่อั้น 2 ชั่วโมงเต็ม ในราคาสุดพิเศษเพียง 450 บาท จากปกติ 600 บาท วันนี้-31 มี.ค. เท่านั้น</t>
  </si>
  <si>
    <t>TH_BKK_ctnoti_netcore_group_N_N_active_20250312_1100_weekly-new-week2-mar25</t>
  </si>
  <si>
    <t>EN_BKK_ctnoti_netcore_group_N_N_active_20250312_1100_weekly-new-week2-mar25</t>
  </si>
  <si>
    <t>EN_BKK_ctnoti_netcore_single_N_N_active_20250312_1500_3wd-asok-pethouse-mar25</t>
  </si>
  <si>
    <t>🐱 20% Off at Asok Pethouse!</t>
  </si>
  <si>
    <t>Bring your friends to play with adorable cats and enjoy 6 delicious dishes for just 920 THB (down from 1,150 THB). Available until March 31 only.</t>
  </si>
  <si>
    <t>TH_BKK_ctnoti_netcore_single_N_N_active_20250312_1500_3wd-asok-pethouse-mar25</t>
  </si>
  <si>
    <t>🐱 ลด 20% กับ Asok Pethouse</t>
  </si>
  <si>
    <t>ชวนชาวแก๊งมาแวะเล่นกับน้องเหมียว พร้อมอิ่มอร่อยกับ 6 เมนูสุดคุ้ม ในราคาพิเศษเพียง 920 บาท จากปกติ 1,150 บาท ถึง 31 มี.ค. เท่านั้น</t>
  </si>
  <si>
    <t>EN_BKK_ctnoti_netcore_single_N_N_active_20250312_1700_stock-room-mar25</t>
  </si>
  <si>
    <t>🍽️ 4 Pay for 3 at Stock.Room!</t>
  </si>
  <si>
    <t>Indulge in the Sea+Land Buffet, a treasure trove of flavors at a special price starting from 743 THB. Available until March 31 only.</t>
  </si>
  <si>
    <t>TH_BKK_ctnoti_netcore_single_N_N_active_20250312_1700_stock-room-mar25</t>
  </si>
  <si>
    <t>🍽️ มา 4 จ่าย 3 กับ Stock.Room</t>
  </si>
  <si>
    <t>อิ่มครบเหมือนได้ออกล่าขุมทรัพย์ กับเมนูบุฟเฟต์จาก Sea+Land Buffet ในราคาสุดพิเศษเริ่มต้นเพียง 743 บาท วันนี้ - 31 มี.ค. เท่านั้น</t>
  </si>
  <si>
    <t>TH_BKK_ctnoti_netcore_single_N_N_active_20250313_1100_3wd-kanpai-omakase-mar25</t>
  </si>
  <si>
    <t>🍣 มา 4 จ่าย 3 กับ Kanpai Omakase</t>
  </si>
  <si>
    <t>หรูเต็มพิกัดกับโอมากาเสะ 16 คอร์ส ในราคาสุดพิเศษ จ่ายในราคาพิเศษสำหรับ 4 ท่าน เพียง 4,497.- จากปกติ 5,596.- ถึง 31 มี.ค. เท่านั้น</t>
  </si>
  <si>
    <t>EN_BKK_ctnoti_netcore_single_N_N_active_20250313_1100_3wd-kanpai-omakase-mar25</t>
  </si>
  <si>
    <t>🍣 4 Pay for 3 at Kanpai Omakase!</t>
  </si>
  <si>
    <t>Indulge in a 16-course premium omakase at a special price—4 guests for just 4,497 THB (down from 5,596 THB). Available until March 31 only.</t>
  </si>
  <si>
    <t>EN_BKK_ctnoti_netcore_single_N_N_active_20250313_1500_mmd-market-cafe-suvarnabhumi-mar25</t>
  </si>
  <si>
    <t>🍽️ The More, The Merrier at Market Cafe!</t>
  </si>
  <si>
    <t>Enjoy an international buffet for lunch and dinner at a special price starting from 823 THB. Available until March 31 only.</t>
  </si>
  <si>
    <t>TH_BKK_ctnoti_netcore_single_N_N_active_20250313_1500_mmd-market-cafe-suvarnabhumi-mar25</t>
  </si>
  <si>
    <t>🍽️ ยิ่งมาเยอะ ยิ่งคุ้ม กับ Market Cafe</t>
  </si>
  <si>
    <t>อิ่มอร่อยกับบุฟเฟต์นานาชาติ ทั้งมื้อกลางวันและดินเนอร์ ในราคาสุดพิเศษ เริ่มต้นเพียง 823 บาท วันนี้ - 31 มี.ค. เท่านั้น</t>
  </si>
  <si>
    <t>EN_BKK_ctnoti_netcore_single_N_N_active_20250313_1700_ads-yanghin-seuton-mar25</t>
  </si>
  <si>
    <t>🔥 Stone-Grilled BBQ Buffet is Here!</t>
  </si>
  <si>
    <t>Bring your friends to experience a new way of Korean BBQ with trendy stone grilling and free-flow drinks for just 598 THB.</t>
  </si>
  <si>
    <t>TH_BKK_ctnoti_netcore_single_N_N_active_20250313_1700_ads-yanghin-seuton-mar25</t>
  </si>
  <si>
    <t>🔥 บุฟเฟต์ย่างหิน พร้อมเสิร์ฟแล้ว</t>
  </si>
  <si>
    <t>ชวนเพื่อนมาเปิดมิติใหม่กันด่วนๆ กับบุฟเฟต์ปิ้งย่างเกาหลี ย่างหินสุดอินเทนรด์ พร้อมเครื่องดื่มไม่อั้น ราคาเพียง 598 บาทเท่านั้น</t>
  </si>
  <si>
    <t>EN_BKK_ctnoti_netcore_single_N_N_active_20250314_1100_mmd-ava-brasserie-mar25</t>
  </si>
  <si>
    <t>🍽️ 3 Pay for 2 at Ava Brasserie!</t>
  </si>
  <si>
    <t>Enjoy a semi-buffet featuring seafood, pasta, and more, plus a main course, all for just 660 THB. Available until March 31 only.</t>
  </si>
  <si>
    <t>Come 3 Pay 2</t>
  </si>
  <si>
    <t>TH_BKK_ctnoti_netcore_single_N_N_active_20250314_1100_mmd-ava-brasserie-mar25</t>
  </si>
  <si>
    <t>🍽️ มา 3 จ่าย 2 กับ Ava Brasserie</t>
  </si>
  <si>
    <t>พบกับ Semi-buffet ทั้งซีฟุ้ด พาสต้า และอีกมากมาย พร้อมเมนูอาหารจากหลัก ในราคาพิเศษเพียง 660 บาท จนถึง  31 มี.ค. เท่านั้น</t>
  </si>
  <si>
    <t>EN_BKK_ctnoti_netcore_single_N_N_active_20250314_1500_mmd-sushi-koge-omakase-mar25</t>
  </si>
  <si>
    <t>🔥 30% Off at Sushi Koge!</t>
  </si>
  <si>
    <t>Indulge in a premium Edomae-style omakase, featuring fresh seafood straight from the ocean with 15 &amp; 18-course options at a special price. Available until March 31 only.</t>
  </si>
  <si>
    <t>TH_BKK_ctnoti_netcore_single_N_N_active_20250314_1500_mmd-sushi-koge-omakase-mar25</t>
  </si>
  <si>
    <t>🔥 ลดเดือด 30% กับ Sushi Koge</t>
  </si>
  <si>
    <t>ลิ้มรสคอร์สโอมากาเสะสุดพรีเมียม สไตล์เอโดะ ส่งตรงจากทะเล ทั้งแบบ 15 และ 18 คอร์ส ในราคาพิเศษ ลดจนถึง 31 มี.ค. เท่านั้น</t>
  </si>
  <si>
    <t>Yes, it has an offer (30% discount), but it does not contain the phrase "Come X Pay X".</t>
  </si>
  <si>
    <t>EN_BKK_ctnoti_netcore_single_N_N_active_20250314_1700_ads-seafresh-riverside-buffet-mar25</t>
  </si>
  <si>
    <t>🦞 Premium Seafood Buffet by the Chao Phraya River!</t>
  </si>
  <si>
    <t>Try Seafresh Riverside Buffet top-quality seafood with stunning river views. Plus, enjoy exclusive special menu only on Hungry Hub!</t>
  </si>
  <si>
    <t>TH_BKK_ctnoti_netcore_single_N_N_active_20250314_1700_ads-seafresh-riverside-buffet-mar25</t>
  </si>
  <si>
    <t>🦞 บุฟเฟต์ซีฟู้ด ติดริมเจ้าพระยา</t>
  </si>
  <si>
    <t>ลองเลยไหม Seafresh Riverside Buffet บุฟเฟต์ซีฟู้ดเกรดพรีเมียม ติดริมแม่น้ำเจ้าพระยา พร้อมเลือกรับเมนูพิเศษ เฉพาะที่ Hungry Hub</t>
  </si>
  <si>
    <t>The subject line "🦞 บุฟเฟต์ซีฟู้ด ติดริมเจ้าพระยา" does not explicitly mention a "Come X Pay X" offer.</t>
  </si>
  <si>
    <t>EN_BKK_ctnoti_netcore_single_N_N_active_20250315_1100_mmd-zaap-classic-mar25</t>
  </si>
  <si>
    <t>🌶 10% Off at Zaab Classic!</t>
  </si>
  <si>
    <t>Spice up your meal with unlimited som tam, Isaan dishes, and Jaew Aon shabu for just 540 THB. Available until March 31 only.</t>
  </si>
  <si>
    <t>TH_BKK_ctnoti_netcore_single_N_N_active_20250315_1100_mmd-zaap-classic-mar25</t>
  </si>
  <si>
    <t>🌶 ลด 10% ที่ แซ่บ คลาสสิก</t>
  </si>
  <si>
    <t>แซ่บซี้ดถึงทรวง กับบุฟเฟต์ส้มตำ อาหารอีสาน และชาบูแจ๋วอ้อนเนื้อ สั่งได้ไม่อั้น พิเศษเพียง 540 บาท จนถึง 31 มี.ค. เท่านั้น</t>
  </si>
  <si>
    <t>EN_BKK_ctnoti_netcore_group_N_N_active_20250315_1300_mmd-jumbo-seafood-mar25</t>
  </si>
  <si>
    <t>🦀 30% Off at Jumbo Seafood!</t>
  </si>
  <si>
    <t>Enjoy authentic Singaporean-style seafood at ICONSIAM &amp; Siam Paragon with a special 30% discount. Available until March 31 only.</t>
  </si>
  <si>
    <t>TH_BKK_ctnoti_netcore_group_N_N_active_20250315_1300_mmd-jumbo-seafood-mar25</t>
  </si>
  <si>
    <t>🦀 ลด 30% กับ Jumbo Seafood</t>
  </si>
  <si>
    <t>ลิ้มรสซีฟู้ดต้นตำรับ ส่งตรงจากสิงค์โปร จากทั้งสาขาไอคอนสยาม และ สาขาสยามพารากอน ลดตั้งแต่วันนี้ - 31 มี.ค. เท่านั้น</t>
  </si>
  <si>
    <t>1747, 2102</t>
  </si>
  <si>
    <t>EN_BKK_ctnoti_netcore_single_N_N_active_20250315_1500_ads-jinshin-omakase-mar25</t>
  </si>
  <si>
    <t>🍣 Jinshin Omakase is Here!</t>
  </si>
  <si>
    <t>Experience premium omakase with the freshest seafood straight from Japan. Enjoy exclusive discounts—only on Hungry Hub.</t>
  </si>
  <si>
    <t>TH_BKK_ctnoti_netcore_single_N_N_active_20250315_1500_ads-jinshin-omakase-mar25</t>
  </si>
  <si>
    <t>🍣 Jinshin Omakase มาแล้ว</t>
  </si>
  <si>
    <t>พบกับประสบการณ์สุดพิเศษ กับโอมากาเสะสดใหม่ส่งตรงจากทะเลญี่ปุ่น พร้อมส่วนลดสุดพิเศษ เฉพาะที่ Hungry Hub เท่านั้น</t>
  </si>
  <si>
    <t>EN_BKK_ctnoti_netcore_single_N_N_active_20250316_1100_mmd-the-map-mestyle-mar25</t>
  </si>
  <si>
    <t>🔥 4 Pay for 3 at The Map Mestyle!</t>
  </si>
  <si>
    <t>Enjoy unlimited time international buffet featuring seafood and multiple live stations at a special price starting from just 495 THB.</t>
  </si>
  <si>
    <t>TH_BKK_ctnoti_netcore_single_N_N_active_20250316_1100_mmd-the-map-mestyle-mar25</t>
  </si>
  <si>
    <t>🔥 มา 4 จ่าย 3 กับ The Map Mestyle</t>
  </si>
  <si>
    <t>ทานไม่อั้นไม่จำกัดเวลา กับบุฟเฟต์นานาชาติ เมนูซีฟู้ด และหลากหลายสเตชั่น ในราคาสุดพิเศษเริ่มต้นเพียง 495 บาท เท่านั้น</t>
  </si>
  <si>
    <t>EN_BKK_ctnoti_netcore_single_N_N_active_20250316_1300_mmd-akanee-bangkok-mar25</t>
  </si>
  <si>
    <t>🔥 10% Off All Packages at Akanee Bangkok!</t>
  </si>
  <si>
    <t>Experience authentic Thai flavors with charcoal-grilled set menus at a special price starting from just 355 THB. Available until March 31 only.</t>
  </si>
  <si>
    <t>TH_BKK_ctnoti_netcore_single_N_N_active_20250316_1300_mmd-akanee-bangkok-mar25</t>
  </si>
  <si>
    <t>🔥 ลด 10% ทุกแพ็กเกจกับ Akanee Bangkok</t>
  </si>
  <si>
    <t>สัมผัสรสชาติที่คุ้นเคย กับเซ็ตเมนูอาหารไทย ในคอนเซปต์ย่างถ่าน ในราคาสุดพิเศษเริ่มต้นเพียง 355 บาท จนถึง 31 มี.ค. เท่านั้น</t>
  </si>
  <si>
    <t>No, it has a 10% discount offer.</t>
  </si>
  <si>
    <t>EN_BKK_ctnoti_netcore_single_N_N_active_20250316_1500_ads-rinji-japanese-dining-experience-mar25</t>
  </si>
  <si>
    <t>🌿 Japanese Dining in a Garden at Ramintra</t>
  </si>
  <si>
    <t>Indulge in a heartwarming meal at Rinji Japanese Dining Experience, a cozy Japanese restaurant in a lush garden setting. Starting at just 463 THB.</t>
  </si>
  <si>
    <t>TH_BKK_ctnoti_netcore_single_N_N_active_20250316_1500_ads-rinji-japanese-dining-experience-mar25</t>
  </si>
  <si>
    <t>🌿 ร้านอาหารญี่ปุ่นในสวน ใจกลางรามอินทรา</t>
  </si>
  <si>
    <t>เติมใจกับมื้อแสนอร่อย ที่ Rinji Japanese Dining Experience ร้านอาหารญี่ปุ่นในสวน อันแสนอบอุ่น เริ่มต้นเพียง 463 บาท</t>
  </si>
  <si>
    <t>TH_BKK_ctnoti_netcore_single_N_N_active_20250317_1100_57th-street-mar25</t>
  </si>
  <si>
    <t>🔥 มา 3 จ่าย 2 กับ 57th Street</t>
  </si>
  <si>
    <t>ลดเดือดกับบุฟเฟต์นานาชาติมื้อค่ำ รวมเบียร์ 1 แก้ว ในราคาสุดพิเศษ 660 บาท จากปกติ 990 บาท จนถึง 31 มี.ค. เท่านั้น</t>
  </si>
  <si>
    <t>EN_BKK_ctnoti_netcore_single_N_N_active_20250317_1100_57th-street-mar25</t>
  </si>
  <si>
    <t>🔥 3 Pay for 2 at 57th Street!</t>
  </si>
  <si>
    <t>Enjoy an international dinner buffet with 1 complimentary beer for just 660 THB (down from 990 THB). Available until March 31 only.</t>
  </si>
  <si>
    <t>TH_BKK_ctnoti_netcore_single_N_N_active_20250317_1500_red-sky-rooftop-mar25</t>
  </si>
  <si>
    <t>🌆 ลด 20% กับ Red Sky Rooftop</t>
  </si>
  <si>
    <t>ชวนคนรู้ใจมาสัมผัสกับบรรยากาศสุดชิล ใจกลางเซ็นทรัลเวิล์ด ในราคาสุดพิเศษ เริ่มต้นเพียง 880 บาท วันนี้ - 31 มี.ค. เท่านั้น</t>
  </si>
  <si>
    <t>EN_BKK_ctnoti_netcore_single_N_N_active_20250317_1500_red-sky-rooftop-mar25</t>
  </si>
  <si>
    <t>🌆 20% Off at Red Sky Rooftop!</t>
  </si>
  <si>
    <t>Enjoy a chill rooftop dining experience in the heart of CentralWorld at a special price starting from 880 THB. Available until March 31 only</t>
  </si>
  <si>
    <t>EN_BKK_ctnoti_netcore_group_N_N_active_20250317_1700_ads-veganerie-mar25</t>
  </si>
  <si>
    <t>🌱 Veganerie is Here ‼️</t>
  </si>
  <si>
    <t>Enjoy all-day dining with a variety of quality premium dishes from 5 branches starting at just 216 THB</t>
  </si>
  <si>
    <t>TH_BKK_ctnoti_netcore_group_N_N_active_20250317_1700_ads-veganerie-mar25</t>
  </si>
  <si>
    <t>🌱 Veganerie มาแล้ว ‼️</t>
  </si>
  <si>
    <t>เติมเต็มทุกมื้อสุดพิเศษกับ ร้านอาหารสไตล์ All Day Dining พร้อมเมนูคุณภาพมากมาย จาก 5 สาขาใกล้บ้าน เริ่มต้นเพียง 216 บาท</t>
  </si>
  <si>
    <t>I cannot determine if the subject line "🌱 Veganerie มาแล้ว ‼️" is a "Come X Pay X" offer without knowing its meaning in English. Please provide the translation.</t>
  </si>
  <si>
    <t>TH_BKK_ctnoti_netcore_group_N_N_active_20250318_1100_mmd-2-weeks-deals-mar25</t>
  </si>
  <si>
    <t>⚡️ เริ่มแล้วดีลพิเศษ 2 สัปดาห์เท่านั้น</t>
  </si>
  <si>
    <t>ลดจัดหนักกว่า 50% จากร้านเด่นที่ต้องลอง อาทิ Kanpai Omakase, Asok Pethouse และ Benjarong Bangkok ถึง 31 มี.ค. เท่านั้น</t>
  </si>
  <si>
    <t>EN_BKK_ctnoti_netcore_group_N_N_active_20250318_1100_mmd-2-weeks-deals-mar25</t>
  </si>
  <si>
    <t>⚡️ Special Deals Start Now – 2 Weeks Only!</t>
  </si>
  <si>
    <t>Get up to 50% off at must-try restaurants like Kanpai Omakase, Asok Pethouse, and Benjarong Bangkok. Available until March 31 only</t>
  </si>
  <si>
    <t>TH_BKK_ctnoti_netcore_single_N_N_active_20250318_1500_albricias-at-chatrium-mar25</t>
  </si>
  <si>
    <t>🍷 มา 4 จ่าย 3 กับ Albricias</t>
  </si>
  <si>
    <t>อร่อยหรูกับบุฟเฟต์อาหารสเปน พร้อมรับเมนูพิเศษ และเครื่องดื่มไม่อั้น โปรโมชั่นตั้งแต่วันนี้ - 31 มี.ค. เท่านั้น</t>
  </si>
  <si>
    <t>EN_BKK_ctnoti_netcore_single_N_N_active_20250318_1500_albricias-at-chatrium-mar25</t>
  </si>
  <si>
    <t>🍷 4 Pay for 3 at Albricias!</t>
  </si>
  <si>
    <t>Indulge in a luxurious Spanish buffet with a special dish &amp; free-flow drinks. Available until March 31 only.</t>
  </si>
  <si>
    <t>EN_BKK_ctnoti_netcore_single_N_N_active_20250318_1700_ads-khao-jaan-prod-mar25_</t>
  </si>
  <si>
    <t>🌾 Khao Jaan-Prod Are Here!</t>
  </si>
  <si>
    <t>TH_BKK_ctnoti_netcore_single_N_N_active_20250318_1700_ads-khao-jaan-prod-mar25_</t>
  </si>
  <si>
    <t>🌾 ข้าวจานโปรด มาแล้ว</t>
  </si>
  <si>
    <t>EN_BKK_ctnoti_netcore_group_N_N_active_20250319_900_9th-copper-beyond-buffet-mar25</t>
  </si>
  <si>
    <t>Suspended</t>
  </si>
  <si>
    <t>🎁 Celebrate 9 Years of Copper Beyond Buffet!</t>
  </si>
  <si>
    <t>Join the ultimate international buffet experience, ranked #1, with exclusive packages and fine-dining-level dishes</t>
  </si>
  <si>
    <t>TH_BKK_ctnoti_netcore_group_N_N_active_20250319_900_9th-copper-beyond-buffet-mar25</t>
  </si>
  <si>
    <t>🎁 ฉลอง 9 ปีกับ Copper Beyond Buffet</t>
  </si>
  <si>
    <t>เฉลิมฉลองความเติบโตไปอีกระดับกับที่สุดของบุฟเฟต์นานาชาติ อันดีบ 1 กับแพ็กเกจสุดพิเศษมากมาย พร้อมเมนูเทีบบเท่าไฟน์ไดนิ่ง</t>
  </si>
  <si>
    <t>SG_BKK_ctnoti_netcore_group_N_N_active_20250319_1500_sg-weekly-deals-week3-mar25</t>
  </si>
  <si>
    <t>New week, more dining deals!</t>
  </si>
  <si>
    <t>Explore the latest irresistible deals and trending restaurants in Singapore, handpicked to satisfy your every craving.</t>
  </si>
  <si>
    <t>EN_BKK_ctnoti_netcore_group_N_N_active_20250319_1500_weekly-new-week3-mar25</t>
  </si>
  <si>
    <t>TH_BKK_ctnoti_netcore_group_N_N_active_20250319_1500_weekly-new-week3-mar25</t>
  </si>
  <si>
    <t>No, the subject line "🟢 New good deals, Happy every Wednesday" suggests a general promotion but does not specify a "Come X Pay X" offer structure.</t>
  </si>
  <si>
    <t>EN_BKK_ctnoti_netcore_single_N_N_active_20250319_1700_2wmmd-asok-pethouse-adoptable-mar25</t>
  </si>
  <si>
    <t>🐱 50% Off at Asok Pethouse!</t>
  </si>
  <si>
    <t>Missing adorable cats? Spend 2 full hours playing with them while enjoying premium drinks for just 150 THB. Available until March 31 only</t>
  </si>
  <si>
    <t>TH_BKK_ctnoti_netcore_single_N_N_active_20250319_1700_2wmmd-asok-pethouse-adoptable-mar25</t>
  </si>
  <si>
    <t>🐱 ลด 50% กับ Asok Pethouse</t>
  </si>
  <si>
    <t>คิดถึงน้องแมวจอมป่วน ต้องแวะมาเล่นแบบไม่อั้นกับ 2 ชั่วโมงเต็มพร้อมเครื่องดื่มพรีเมียม เพียง 150 บาท จนถึง 31 มี.ค. เท่านั้น</t>
  </si>
  <si>
    <t>EN_BKK_ctnoti_netcore_single_N_N_active_20250320_1100_2wmmd-benjarong-bangkok-mar25</t>
  </si>
  <si>
    <t>🌿 15% Off at Benjarong Bangkok!</t>
  </si>
  <si>
    <t>Enjoy a premium 8-course Thai set menu for 4 guests at a special price 3,783 THB (down from 4,450 THB). Available until March 31 only</t>
  </si>
  <si>
    <t>TH_BKK_ctnoti_netcore_single_N_N_active_20250320_1100_2wmmd-benjarong-bangkok-mar25</t>
  </si>
  <si>
    <t>🌿 ลด 15% กับ Benjarong Bangkok</t>
  </si>
  <si>
    <t>อิ่มอร่อยกับเซ็ตอาหารไทยสุดพรีเมียม 8 เมนู สำหรับ 4 ท่าน ในราคาสุดพิเศษเพียง 3,783 บาท จากปกติ 4,450 บาท วันนี้ - 31 มี.ค.</t>
  </si>
  <si>
    <t>EN_BKK_ctnoti_netcore_mkt_N_N_active_20250321_1100_alert-hh-outing-mar25</t>
  </si>
  <si>
    <t>🌴 Hungry Hub will Taking a Vacation!</t>
  </si>
  <si>
    <t>Due to Hungry Hub's annual outing on  21-22 Mar if you have any inquiries, please feel free to leave a message. Our Customer Support team will respond as soon as possible by 23 Mar</t>
  </si>
  <si>
    <t>TH_BKK_ctnoti_netcore_mkt_N_N_active_20250321_1100_alert-hh-outing-mar25</t>
  </si>
  <si>
    <t>🌴 ศุกร์-เสาร์นี้ Hungry Hub ขอลาไปพักร้อน</t>
  </si>
  <si>
    <t>21-22 มี.ค. ทีมแอดมินและฝ่ายบริการลูกค้าจะหยุดให้บริการชั่วคราว เนื่องจาก Company Outing ประจำปี หากลูกค้าต้องการความช่วยเหลือทีมงานจะตอบกลับด่วนภายใน 23 มี.ค.</t>
  </si>
  <si>
    <t>EN_BKK_ctnoti_netcore_single_N_N_active_20250320_1500_chatuchak-cafe-mar25</t>
  </si>
  <si>
    <t>🌍 Chatuchak Cafe Now Only 999 THB!</t>
  </si>
  <si>
    <t>Enjoy 3 hours of unlimited dining with flavors from around the world, featuring 7 top dining stations for just 999 THB (down from 1,518 THB). Available until March 31.</t>
  </si>
  <si>
    <t>TH_BKK_ctnoti_netcore_single_N_N_active_20250320_1500_chatuchak-cafe-mar25</t>
  </si>
  <si>
    <t>🌍 Chatuchak Cafe เหลือ 999.- เท่านั้น</t>
  </si>
  <si>
    <t>ลิ้มรสชาติจากทั่วทุกมุมโลก 3 ชั่วโมงไม่อั้น จาก 7 ห้องอาหารชั้นนำ ในราคาสุดพิเศษ 999.- จากปกติ 1,518.- ตั้งแต่วันนี้ถึง 31 มี.ค.</t>
  </si>
  <si>
    <t>EN_BKK_ctnoti_netcore_single_N_N_active_20250320_1700_giorgio-s-riverside-mar25</t>
  </si>
  <si>
    <t>🌙 Extra 10% Off at Giorgio's Riverside!</t>
  </si>
  <si>
    <t>Enjoy a luxurious riverside Italian dinner with a mocktail per guest, starting at 1,251 THB. Available until March 31 only</t>
  </si>
  <si>
    <t>TH_BKK_ctnoti_netcore_single_N_N_active_20250320_1700_giorgio-s-riverside-mar25</t>
  </si>
  <si>
    <t>🌙 ลดเพิ่ม 10% กับ Giorgio's Riverside</t>
  </si>
  <si>
    <t>ดินเนอร์หรูริมแม่น้ำเจ้าพระยา กับเซ็ตอาหารอิตาเลียน พร้อมเครื่องดื่มม็อกเทล 1 แก้วต่อท่าน เริ่มต้น 1,251 บาท จนถึง 31 มี.ค.</t>
  </si>
  <si>
    <t>EN_BKK_ctnoti_netcore_single_N_N_active_20250321_1500_pick-cafe22-by-courtyard-mar25</t>
  </si>
  <si>
    <t>🎉 3 Pay for 2 at Cafe22 by Courtyard!</t>
  </si>
  <si>
    <t>Celebrate Marriott North Pattaya’s 3rd Anniversary with a seafood &amp; international buffet for just 889 THB. Available until April 30 only</t>
  </si>
  <si>
    <t>TH_BKK_ctnoti_netcore_single_N_N_active_20250321_1500_pick-cafe22-by-courtyard-mar25</t>
  </si>
  <si>
    <t>🎉 มา 3 จ่าย 2 กับ Cafe22 by Courtyard</t>
  </si>
  <si>
    <t>ฉลองครบรอบ 3 ปี Marriott North Pattaya จัดหนักกับบุฟเฟต์ซีฟู้ดพร้อมเมนูนานาชาติมากมาย เพียง 889 บาท จนถึง 30 เม.ย. เท่านั้น</t>
  </si>
  <si>
    <t>EN_BKK_ctnoti_netcore_single_N_N_active_20250321_1100_chon-som-mar25</t>
  </si>
  <si>
    <t>🍽️ Premium Dinner – The More, The Less You Pay!</t>
  </si>
  <si>
    <t>TH_BKK_ctnoti_netcore_single_N_N_active_20250321_1100_chon-som-mar25</t>
  </si>
  <si>
    <t>🍽️ ดินเนอร์พรีเมียม มาเยอะ ยิ่งจ่ายน้อย</t>
  </si>
  <si>
    <t>Yes, it suggests a volume-based offer ("Come a lot, Pay less").</t>
  </si>
  <si>
    <t>EN_BKK_ctnoti_netcore_single_N_N_active_20250322_1100_jw-cafe-at-jw-marriott-mar25</t>
  </si>
  <si>
    <t>🔥 2 Pay for 1 at JW Café!</t>
  </si>
  <si>
    <t>Don't miss this hot deal—enjoy an international buffet for breakfast, lunch, or dinner at a special price starting from just 496 THB</t>
  </si>
  <si>
    <t>TH_BKK_ctnoti_netcore_single_N_N_active_20250322_1100_jw-cafe-at-jw-marriott-mar25</t>
  </si>
  <si>
    <t>🔥 มา 2 จ่ายแค่ 1 ที่ JW Café</t>
  </si>
  <si>
    <t>โปรแรงต้องไปด่วน กับบุฟเฟต์นานาชาติมื้อเช้า มื้อกลางวัน และดินเนอร์ ในราคาสุดพิเศษเริ่มต้นเพียง 496 บาท เท่านั้น</t>
  </si>
  <si>
    <t>EN_BKK_ctnoti_netcore_single_N_N_active_20250322_1300_pick-oppa-tteok-bangkok-mar25</t>
  </si>
  <si>
    <t>🍗🇰🇷 Oppa Tteok Now Has a Buffet!</t>
  </si>
  <si>
    <t>Perfect for Korean fried chicken lovers! Enjoy unlimited Korean chicken &amp; tteokbokki starting at just 299 THB—exclusive on Hungry Hub</t>
  </si>
  <si>
    <t>TH_BKK_ctnoti_netcore_single_N_N_active_20250322_1300_pick-oppa-tteok-bangkok-mar25</t>
  </si>
  <si>
    <t>🍗🇰🇷 Oppa Tteok มีบุฟเฟต์แล้วนะ</t>
  </si>
  <si>
    <t>ถูกใจไก่เกาหลีเลิฟเวอร์ เต็มอิ่มกับบุฟเฟต์ไก่เกาหลี พร้อมต๊อกบกกีสั่งได้ไม่อั้น เริ่มต้นเพียง 299 บาท เแพาะที่ Hungry Hub เท่านั้น</t>
  </si>
  <si>
    <t>EN_BKK_ctnoti_netcore_single_N_N_active_20250322_1500_orbit-restaurant-mar25</t>
  </si>
  <si>
    <t>TH_BKK_ctnoti_netcore_single_N_N_active_20250322_1500_orbit-restaurant-mar25</t>
  </si>
  <si>
    <t>จุใจกับบุฟเฟต์ Tango Mango ครบครันทั้งเมนูนานาชาติ และเมนูสไตล์ทรอปิคอลมากมาย ในราคาพิเศษเริ่มต้น 585.- จนถึง 31 พ.ค. เท่านั้น</t>
  </si>
  <si>
    <t>EN_BKK_ctnoti_netcore_single_N_N_active_20250323_1100_great-harbour-durian-mar25</t>
  </si>
  <si>
    <t>Durian Buffet is Back at Great Harbour!</t>
  </si>
  <si>
    <t>the Durian Buffet Festival returns! Enjoy unlimited premium durian alongside 200+ international dishes. Available until April 30 only</t>
  </si>
  <si>
    <t>TH_BKK_ctnoti_netcore_single_N_N_active_20250323_1100_great-harbour-durian-mar25</t>
  </si>
  <si>
    <t>บุฟเฟต์ทุเรียน Great Harbour กลับมาแล้ว!</t>
  </si>
  <si>
    <t>มาตามคำเรียกร้องกับเทศกาลบุฟเฟ่ต์ทุเรียน พร้อมอิ่มคุ้มกับบุฟเฟต์นานาชาติกว่า 200 เมนู ตั้งแแต่วันนี้ - 30 เม.ย. เท่านั้น</t>
  </si>
  <si>
    <t>EN_BKK_ctnoti_netcore_single_N_N_active_20250323_1300_pick-lanrotchat-banthatthong-mar25</t>
  </si>
  <si>
    <t>Lanrotchat Banthatthong Now Has a Buffet!</t>
  </si>
  <si>
    <t>Indulge in 80+ Thai dishes with an all-you-can-eat buffet, starting at just 339 THB. Exclusive on Hungry Hub</t>
  </si>
  <si>
    <t>The provided subject line, "Lanrotchat Banthatthong Now Has a Buffet!", does not contain an offer in the format "Come X Pay X".</t>
  </si>
  <si>
    <t>TH_BKK_ctnoti_netcore_single_N_N_active_20250323_1300_pick-lanrotchat-banthatthong-mar25</t>
  </si>
  <si>
    <t>ล้านรสชาติ บรรทัดทอง มีบุฟเฟต์แล้ว</t>
  </si>
  <si>
    <t>อิ่มอร่อยกับบุฟเฟต์อาหารไทยกว่า 80 รายการ ในราคาเริ่มต้นเพียง 339 บาท เอ็กซ์คลูซีฟเฉพาะที่ Hungry Hub เท่านั้น</t>
  </si>
  <si>
    <t>EN_BKK_ctnoti_netcore_single_N_N_active_20250323_1500_the-market-restaurant-mar25</t>
  </si>
  <si>
    <t>🔥 3 Pay for 2 at The Market Restaurant!</t>
  </si>
  <si>
    <t>Enjoy an unlimited lunch buffet featuring international, Thai, and Western cuisine for just 459 THB</t>
  </si>
  <si>
    <t>TH_BKK_ctnoti_netcore_single_N_N_active_20250323_1500_the-market-restaurant-mar25</t>
  </si>
  <si>
    <t>🔥 มา 3 จ่าย 2 กับ The Market Restaurant</t>
  </si>
  <si>
    <t>เต็มอิ่มกับมื้อเที่ยงแบบไม่อั้น ทั้งเมนูนานาชาติ อาหารไทย ตะวันตก และอีกมากมาย ในราคาสุดพิเศษ เพียง 459.-</t>
  </si>
  <si>
    <t>EN_BKK_ctnoti_netcore_group_N_N_active_20250324_1100_the-luxe-of-taste-mar25</t>
  </si>
  <si>
    <t>🍽 Indulge in the Luxury of Thai Taste!</t>
  </si>
  <si>
    <t>Experience an exquisite culinary journey with The Luxe of Taste from Amazing Thailand and Hungry Hub featuring premium Thai flavors you can’t miss</t>
  </si>
  <si>
    <t>Image</t>
  </si>
  <si>
    <t>I cannot determine if the subject line "🍽 Indulge in the Luxury of Thai Taste!" contains a "Come X Pay X" offer based only on the title. I would need more context from the offer's body or details.</t>
  </si>
  <si>
    <t>TH_BKK_ctnoti_netcore_group_N_N_active_20250324_1100_the-luxe-of-taste-mar25</t>
  </si>
  <si>
    <t>🍽 สัมผัสความหรูหราของรสชาติไทย!</t>
  </si>
  <si>
    <t>เปิดประสบการณ์มื้ออาหารเหนือระดับกับ Amazing Thailand และ Hungry Hub ใน The Luxe of Taste รวมเมนูไทยสุดพรีเมียมที่คุณต้องลอง ในราคาสุดพิเศษ</t>
  </si>
  <si>
    <t>EN_BKK_ctnoti_netcore_single_N_N_active_20250324_1500_feast-at-royal-orchid-sheraton-mar25</t>
  </si>
  <si>
    <t>🔥 3 Pay for 2 at Feast At Royal Orchid!</t>
  </si>
  <si>
    <t>Enjoy unlimited Asian, international, and seafood buffets at a special price starting from 824 THB. Available until March 31 only</t>
  </si>
  <si>
    <t>TH_BKK_ctnoti_netcore_single_N_N_active_20250324_1500_feast-at-royal-orchid-sheraton-mar25</t>
  </si>
  <si>
    <t>🔥 มา 3 จ่ายแค่ 2 กับ Feast At Royal Orchid</t>
  </si>
  <si>
    <t>เพลิดเพลินแบบไม่อั้นกับบุฟเฟต์สไตล์เอเชียน บุฟเฟต์นานาชาติ และบุฟเฟต์ซีฟู้ด ในราคาสุดพิเศษ เริ่มต้น 824 บาท จนถึง 31 มี.ค. เท่านั้น</t>
  </si>
  <si>
    <t>EN_BKK_ctnoti_netcore_single_N_N_active_20250324_1700_copper-beyond-buffet-apr-mar25</t>
  </si>
  <si>
    <t>🎉 Copper 9th Anniversary</t>
  </si>
  <si>
    <t>Celebrate 9 years of excellence with premium fine-dining–level buffet menus! Booking opens tomorrow at 10 AM for dining between April 1–30</t>
  </si>
  <si>
    <t>TH_BKK_ctnoti_netcore_single_N_N_active_20250324_1700_copper-beyond-buffet-apr-mar25</t>
  </si>
  <si>
    <t>ฉลองครบ 9 ปี พร้อมสัมผัสความยิ่งใหญ่กับรอบจอง 1-30 เม.ย. พรุ่งนี้ 10 โมงเช้า รับประกันความพรีเมียม เหนือระดับกว่าเดิม กับสารพัดเมนูเทียบเท่าไฟน์ไดนิ่ง</t>
  </si>
  <si>
    <t>EN_BKK_ctnoti_netcore_group_N_N_active_20250325_1100_copper-beyond-buffet-apr-mar25</t>
  </si>
  <si>
    <t>Prepare to book Copper Beyond Buffet 2 Branches for Apr 1-15 with an exclusive world-class buffet package and special dishes!</t>
  </si>
  <si>
    <t>TH_BKK_ctnoti_netcore_group_N_N_active_20250325_1100_copper-beyond-buffet-apr-mar25</t>
  </si>
  <si>
    <t>เตรียมจองพร้อมกัน Copper Beyond Buffet ทั้ง 2 สาขา รอบ 1-15 เม.ย. พร้อมแพ็กเกจบุฟเฟต์ระดับเวิลด์คลาส และเมนูพิเศษอีกมากมาย</t>
  </si>
  <si>
    <t>One more hour, are you ready? ⏰</t>
  </si>
  <si>
    <t>EN_BKK_ctnoti_netcore_group_N_N_active_20250325_1500_mmd-1-weeks-deals-mar25</t>
  </si>
  <si>
    <t>🔥 2 Pay for 1 at OPEN at DoubleTree!</t>
  </si>
  <si>
    <t>Enjoy unbeatable value with exclusive promos from BNP Cuisine and Camin Cuisine &amp; Cafe. Available now until March 31 only. Book now</t>
  </si>
  <si>
    <t>TH_BKK_ctnoti_netcore_group_N_N_active_20250325_1500_mmd-1-weeks-deals-mar25</t>
  </si>
  <si>
    <t>⚡️ เริ่มแล้วดีลพิเศษ 1 สัปดาห์เท่านั้น</t>
  </si>
  <si>
    <t>อร่อยคุ้มเกินต้านกับโปรเด็ดจาก BNP Cuisine และ Camin Cuisine &amp; Cafe ตั้งแต่วันนี้ถึง 31 มี.ค. เท่านั้น จองเลย</t>
  </si>
  <si>
    <t>TH_BKK_ctnoti_netcore_single_N_N_active_20250325_1700_open-at-doubletree-mar25</t>
  </si>
  <si>
    <t>EN_BKK_ctnoti_netcore_group_N_N_active_20250325_1700_re-the-luxe-of-taste-mar25</t>
  </si>
  <si>
    <t>No, the subject line does not indicate a "Come X Pay X" offer.</t>
  </si>
  <si>
    <t>TH_BKK_ctnoti_netcore_group_N_N_active_20250325_1700_re-the-luxe-of-taste-mar25</t>
  </si>
  <si>
    <t>TH_BKK_ctnoti_netcore_single_N_N_active_20250326_1100_weekly-new-week4-mar25</t>
  </si>
  <si>
    <t>EN_BKK_ctnoti_netcore_single_N_N_active_20250326_1100_weekly-new-week4-mar25</t>
  </si>
  <si>
    <t>EN_BKK_ctnoti_netcore_single_N_N_active_20250326_1500_the-siam-tea-room-mar25</t>
  </si>
  <si>
    <t>🥢 2 Pay for 1 at The Siam Tea Room!</t>
  </si>
  <si>
    <t>Enjoy unlimited Thai buffet dining and choose 1 premium dish for just 495 THB (from 990 THB). until April 30 only.</t>
  </si>
  <si>
    <t>TH_BKK_ctnoti_netcore_single_N_N_active_20250326_1500_the-siam-tea-room-mar25</t>
  </si>
  <si>
    <t>🥢 มา 2 จ่าย 1 กับ The Siam Tea Room</t>
  </si>
  <si>
    <t>อิ่มไม่อั้นกับบุฟเฟต์อาหารไทย พร้อมเลือกรับ 1 เมนูพรีเมียมสุดพิเศษ เพียง 495 บาท จากปกติ 990 บาท วันนี้ - 30 เม.ย. เท่านั้น</t>
  </si>
  <si>
    <t>EN_BKK_ctnoti_netcore_single_N_N_active_20250326_1700_bnp-cuisine-mar25</t>
  </si>
  <si>
    <t>📣 Hot Deal at BNP Cuisine!</t>
  </si>
  <si>
    <t>Dive into a seafood buffet with a 4 Pay for 3 promo plus a special bonus dish, starting from just 721 THB. Available now until March 31 only</t>
  </si>
  <si>
    <t>TH_BKK_ctnoti_netcore_single_N_N_active_20250326_1700_bnp-cuisine-mar25</t>
  </si>
  <si>
    <t>BNP Cuisine มีโปรแรงมาบอก 📣</t>
  </si>
  <si>
    <t>ลดเดือดกับบุฟเฟต์ซีฟู้ด กับโปรมา 4 จ่าย 3 และรับเมนูสุดพิเศษ จ่ายเริ่มต้นเพียง 721 บาท ตั้งแต่วันนี้ - 31 มี.ค. เท่านั้น</t>
  </si>
  <si>
    <t>The subject line indicates a strong promotion, but the specific "Come X Pay X" format is not explicitly stated.</t>
  </si>
  <si>
    <t>TH_BKK_ctnoti_netcore_camp_N_N_active_20250327_1100_last-corner-mission-gold-mmd-mar25</t>
  </si>
  <si>
    <t>⏳ 5 วันสุดท้าย รับฟรีสูงสุด 300 บาท</t>
  </si>
  <si>
    <t>EN_BKK_ctnoti_netcore_camp_N_N_active_20250327_1100_last-corner-mission-gold-mmd-mar25</t>
  </si>
  <si>
    <t>⏳ 5 Days Left! Get up to 300 THB Free</t>
  </si>
  <si>
    <t>TH_BKK_ctnoti_netcore_camp_N_N_active_20250327_1100_last-corner-mission-platinum-mmd-mar25</t>
  </si>
  <si>
    <t>⏳ 5 วันสุดท้าย รับฟรีสูงสุด 500 บาท</t>
  </si>
  <si>
    <t>EN_BKK_ctnoti_netcore_camp_N_N_active_20250327_1100_last-corner-mission-platinum-mmd-mar25</t>
  </si>
  <si>
    <t>⏳ 5 Days Left! Get up to 500 THB Free</t>
  </si>
  <si>
    <t>EN_BKK_ctnoti_netcore_single_N_N_active_20250327_1500_ancient-tea-house-mar25</t>
  </si>
  <si>
    <t>🥢 3 Pay 2 at Ancient Tea House</t>
  </si>
  <si>
    <t>Enjoy unlimited Chinese buffet with Sichuan seafood soup, Alaskan crab dumplings &amp; more. Just 592 THB with drinks! Until Apr 30 only.</t>
  </si>
  <si>
    <t>TH_BKK_ctnoti_netcore_single_N_N_active_20250327_1500_ancient-tea-house-mar25</t>
  </si>
  <si>
    <t>🥢 มา 3 จ่าย 2 กับ Ancient Tea House</t>
  </si>
  <si>
    <t>อร่อยกับบุฟเฟต์อาหารจีน ซุปเสฉวนทะเล ขนมจีบปูอลาสก้า และอีกมากมาย พร้อมเครื่องดื่มไม่อั้น เพียง 592 บาท ถึง 30 เม.ย. เท่านั้น</t>
  </si>
  <si>
    <t>EN_BKK_ctnoti_netcore_single_N_N_active_20250327_1700_open-at-doubletree-mar25</t>
  </si>
  <si>
    <t>Enjoy a full international buffet for both lunch and dinner at a special price starting from 353 THB. Available until March 30 only. Book now!</t>
  </si>
  <si>
    <t>TH_BKK_ctnoti_netcore_single_N_N_active_20250327_1700_open-at-doubletree-mar25</t>
  </si>
  <si>
    <t>🔥 มา 2 จ่าย 1 กับ OPEN at DoubleTree</t>
  </si>
  <si>
    <t>เต็มอิ่มกับบุฟเฟต์นานาชาติทั้งมื้อเที่ยง และดินเนอร์ ในราคาสุดพิเศษเริ่มต้นที่ 353 บาท วันนี้ - 30 มี.ค. เท่านั้น</t>
  </si>
  <si>
    <t>TH_BKK_ctnoti_netcore_single_N_N_active_20250328_1100_snobbish-restaurant-bar-mar25</t>
  </si>
  <si>
    <t>🍽️ ครั้งแรกบุฟเฟต์จาก Snobbish Restaurant</t>
  </si>
  <si>
    <t>จองอิ่มอร่อยก่อนใครกับบุฟเฟต์อาหารไทย ของทานเล่น และอีกมากมาย กว่า 70+ เมนู เริ่มต้นเพียงคนละ 699 บาท</t>
  </si>
  <si>
    <t>EN_BKK_ctnoti_netcore_single_N_N_active_20250328_1100_snobbish-restaurant-bar-mar25</t>
  </si>
  <si>
    <t>🍽️ Snobbish Restaurant Buffet Debut!</t>
  </si>
  <si>
    <t>Be the first to enjoy Thai buffet with 70+ dishes &amp; snacks starting at just 699 THB. Book now at Hungry Hub.</t>
  </si>
  <si>
    <t>EN_BKK_ctnoti_netcore_single_N_N_active_20250328_1500_atelier-restaurant-mar25</t>
  </si>
  <si>
    <t>🦐 Come 3 Pay 2 at Atelier Restaurant</t>
  </si>
  <si>
    <t>Dive into unlimited seafood &amp; international buffet for just 866 THB (from 1,299 THB)! Valid till 31 May only</t>
  </si>
  <si>
    <t>TH_BKK_ctnoti_netcore_single_N_N_active_20250328_1500_atelier-restaurant-mar25</t>
  </si>
  <si>
    <t>🦐 มา 3 จ่าย 2 กับ Atelier Restaurant</t>
  </si>
  <si>
    <t xml:space="preserve">สดจากทะเล กับบุฟเฟต์ซีฟู้ด และนานาชาติสั่งได้บบไม่อั้น ในราคาพิเศษเพียง 866
 บาท จากปกติ 1,299 บาท วันนี้ - 31 พ.ค. เท่านั้น </t>
  </si>
  <si>
    <t>Eq alert</t>
  </si>
  <si>
    <t>เรียนถึงลูกค้า Hungry Hub คนสำคัญ</t>
  </si>
  <si>
    <t>Eq alert Eng</t>
  </si>
  <si>
    <t>To Our Valued Hungry Hub Customers</t>
  </si>
  <si>
    <t>The subject line "To Our Valued Hungry Hub Customers" does not indicate a "Come X Pay X" offer.</t>
  </si>
  <si>
    <t>EN_BKK_ctnoti_netcore_single_N_N_active_20250329_1100_tipsy-cow-mar25</t>
  </si>
  <si>
    <t>Lunch Deal at Tipsy Cow 🍽</t>
  </si>
  <si>
    <t>Come 3 Pay 2 for an all-you-can-eat international &amp; Asian buffet at just 526 THB/person. Now–30 May only!</t>
  </si>
  <si>
    <t>TH_BKK_ctnoti_netcore_single_N_N_active_20250329_1100_tipsy-cow-mar25</t>
  </si>
  <si>
    <t>🍽 มื้อเที่ยงนี้ Tipsy Cow จ่ายคุ้มกว่า</t>
  </si>
  <si>
    <t>มา 3 จ่ายแค่ 2 กับบุฟเฟต์ไลน์นานาชาติ เอเชีย และอีกมากมาย ในราคาสุดพิเศษเพียง 526 บาท วันนี้ - 30 พ.ค. เท่านั้น</t>
  </si>
  <si>
    <t>EN_BKK_ctnoti_netcore_single_N_N_active_20250329_1300_mmd-ventisi-restaurant-centara-grand-mar25</t>
  </si>
  <si>
    <t>🦀 Come 4 Pay 3 at Ventisi Restaurant</t>
  </si>
  <si>
    <t>Calling all crab lovers! Dive into the Crab Night Buffet with unlimited premium crab, international dishes, desserts &amp; more. Starting from just 1,462 THB. Until 31 March only!</t>
  </si>
  <si>
    <t>TH_BKK_ctnoti_netcore_single_N_N_active_20250329_1300_mmd-ventisi-restaurant-centara-grand-mar25</t>
  </si>
  <si>
    <t>🦀 มา 4 จ่าย 3 กับ Ventisi Restaurant</t>
  </si>
  <si>
    <t>เอาใจสายปูกับ Crab Night Buffet อิ่มไม่อั้นกับปูพรีเมียม พร้อมเมนูนานาชาติ ของหวาน และอีกมากมาย เริ่มต้น 1,462 บาท ถึง 31 มี.ค. เท่านั้น</t>
  </si>
  <si>
    <t>EN_BKK_ctnoti_netcore_group_N_N_active_20250329_1500_mmd-paul-bakery-mar25</t>
  </si>
  <si>
    <t>🥐 PAUL Bakery – Enjoy 10% Off All Packages</t>
  </si>
  <si>
    <t>Indulge in the charm of French cuisine with exclusive set menus starting from just 311 THB after discount! Only on Hungry Hub, now through March 31. 🇫🇷</t>
  </si>
  <si>
    <t>TH_BKK_ctnoti_netcore_group_N_N_active_20250329_1500_mmd-paul-bakery-mar25</t>
  </si>
  <si>
    <t>🥐 PAUL Bakery ลดทุกแพ็กเกจ 10%</t>
  </si>
  <si>
    <t>คลุกเคล้ากับกลิ่นอายแบบฝรั่งเศส กับเซ็ตอาหารสุดคุ้ม เริ่มต้นเพียง 311 บาท ลดตั้งแต่วันนี้ - 31 มี.ค. 🇫🇷</t>
  </si>
  <si>
    <t>EN_BKK_ctnoti_netcore_single_N_N_active_20250330_1100_mmd-camin-cuisine-cafe-mar25</t>
  </si>
  <si>
    <t>🍛 Camin Cuisine &amp; Cafe – Extra 10% Off!</t>
  </si>
  <si>
    <t>Savor authentic Southern and Thai cuisine in a cozy atmosphere with exclusive discounts. Set menus start from just 290 THB. Available now through March 31 only!</t>
  </si>
  <si>
    <t>No, the offer is "Extra 10% Off."</t>
  </si>
  <si>
    <t>TH_BKK_ctnoti_netcore_single_N_N_active_20250330_1100_mmd-camin-cuisine-cafe-mar25</t>
  </si>
  <si>
    <t>🍛 Camin Cuisine &amp; Cafe ลดเพิ่ม 10%</t>
  </si>
  <si>
    <t>อิ่มอร่อยกับเซ็ตอาหารใต้และอาหารไทย ในบรรยากาศสบายๆ พร้อมส่วนลดสุดพิเศษ เริ่มต้นเพียง 290 บาท วันนี้ - 31 มี.ค. เท่านั้น</t>
  </si>
  <si>
    <t>No, the subject line indicates an additional 10% discount.</t>
  </si>
  <si>
    <t>EN_BKK_ctnoti_netcore_single_N_N_active_20250330_1300_khao-wireless-road-mar25</t>
  </si>
  <si>
    <t>🍽️ 10% Off at Khao Wireless Road</t>
  </si>
  <si>
    <t>Enjoy premium Thai cuisine with a 4-course set for 2 guests at a special price of 4,167 THB (from 4,630 THB). Available now through March 31 only!</t>
  </si>
  <si>
    <t>TH_BKK_ctnoti_netcore_single_N_N_active_20250330_1300_khao-wireless-road-mar25</t>
  </si>
  <si>
    <t>🍽️ ลด 10% ที่ Khao Wireless Road</t>
  </si>
  <si>
    <t>คุ้มค่า กับเซ็ตอาหารไทยพรีเมียม 4 เมนู สำหรับ 2 ท่าน ในราคาพิเศษ 4,167 บาท จากปกติ 4,630 บาท วันนี้ - 31 มี.ค. เท่านั้น</t>
  </si>
  <si>
    <t>EN_BKK_ctnoti_netcore_single_N_N_active_20250330_1500_savio-at-chatrium-grand-bangkok-mar25</t>
  </si>
  <si>
    <t>🥂 Come 4 Pay 3 at Savio, Chatrium Grand</t>
  </si>
  <si>
    <t>Indulge in an upscale international buffet featuring premium dishes at a special price starting from just 742 THB. Available now – 31 March only!</t>
  </si>
  <si>
    <t>TH_BKK_ctnoti_netcore_single_N_N_active_20250330_1500_savio-at-chatrium-grand-bangkok-mar25</t>
  </si>
  <si>
    <t>🥂 มา 4 จ่าย 3 กับ Savio at Chatrium Grand</t>
  </si>
  <si>
    <t>หรูเหนือระดับกับบุฟเฟต์นานาชาติ พร้อมเมนูพรีเมียมอีกมากมาย ในราคาสุดพิเศษเริ่มต้นที่ 742 บาท วันนี้ - 31 มี.ค. เท่านั้น</t>
  </si>
  <si>
    <t>TH_BKK_ctnoti_netcore_group_N_N_active_20250331_1100_last-day-march-more-deal-mar25</t>
  </si>
  <si>
    <t>⏰ March More Deal วันสุดท้ายแล้วนะ</t>
  </si>
  <si>
    <t>เงินเดือนออกแบบนี้ ต้องมาจัดกับโปรเด็ดจากร้านอาหารดังมากมาย ทั้งมา 4 จ่าย 3 ส่วนลดสูงสุด 70% ถึงเที่ยงคืนนี้เท่านั้น</t>
  </si>
  <si>
    <t>EN_BKK_ctnoti_netcore_group_N_N_active_20250331_1100_last-day-march-more-deal-mar25</t>
  </si>
  <si>
    <t>⏰ Last Day for March More Deal!</t>
  </si>
  <si>
    <t>it’s time to feast! Don’t miss out on top deals including Come 4 Pay 3 offers and discounts up to 70%! Ends tonight at midnight</t>
  </si>
  <si>
    <t>TH_BKK_ctnoti_netcore_single_N_N_active_20250331_1500_one-ratchada-mar25</t>
  </si>
  <si>
    <t>🍽️ บุฟเฟต์ One Ratchada ราคาพิเศษเริ่ม 599.-</t>
  </si>
  <si>
    <t>อิ่มไม่อั้นทั้งมื้อเที่ยง มื้อเย็น กับเมนูนานาชาติหลากหลายเมนู ในราคาสุดพิเศษพร้อมเครื่องดื่มไม่อั้น เริ่มต้นเพียง 599.-</t>
  </si>
  <si>
    <t>EN_BKK_ctnoti_netcore_single_N_N_active_20250331_1500_one-ratchada-mar25</t>
  </si>
  <si>
    <t>🍽️ One Ratchada Buffet Starting at 599.-</t>
  </si>
  <si>
    <t>Enjoy unlimited lunch and dinner buffets featuring a wide variety of international dishes. Plus, enjoy free-flow drinks – all starting at only 599.-</t>
  </si>
  <si>
    <t>EN_BKK_ctnoti_netcore_group_N_N_active_20250331_1900_copper-buffet-newpackage-mar25</t>
  </si>
  <si>
    <t>🎊 Celebrate 9 Years of Copper with a Surprise New Package</t>
  </si>
  <si>
    <t>first time ever! A historic collaboration between two iconic Thai brands — Scotch Bird’s Nest and ChaTraMue, masterfully crafted by Michelin-starred chefs. Available exclusively at both Copper branches</t>
  </si>
  <si>
    <t>TH_BKK_ctnoti_netcore_group_N_N_active_20250331_1900_copper-buffet-newpackage-mar25</t>
  </si>
  <si>
    <t>🎊 ฉลอง 9 ปี Copper กับแพ็กเกจใหม่สุดเซอร์ไพรส์</t>
  </si>
  <si>
    <t>ครั้งแรกในประวัติศาสตร์ กับการร่วมมือ 2 แบรนด์ไทยระดับโลก ‘Scotch รังนกแท้’ และ ‘ชาตรามือ’ รังสรรค์โดยเชฟมิชลินสตาร์ จองเลยที่ Copper ทั้งสองสาขา</t>
  </si>
  <si>
    <t>EN_BKK_ctnoti_netcore_partner_N_N_active_20250331_2100_krungsri-mar25</t>
  </si>
  <si>
    <t>TH_BKK_ctnoti_netcore_partner_N_N_active_20250331_2100_krungsri-mar25</t>
  </si>
  <si>
    <t>💳 แลกคะแนนรับเครดิตเงินคืน 15%</t>
  </si>
  <si>
    <t>TH_BKK_ctnoti_netcore_group_N_N_active_20250401_1100_songkran-splash-deals-apr25</t>
  </si>
  <si>
    <t>💦🔫 เมษายนนี้ ชุ่มฉ่ำกับโปรแรงกันเถอะ</t>
  </si>
  <si>
    <t>ดับร้อนกับ Songkran Splash Deals รวมครบทั้งดีลโดนๆจากร้านอาหาร บุฟเฟต์ กิจกรรม และที่พักอีกมากมาย วันนี้ - 16 เมษายนเท่านั้น</t>
  </si>
  <si>
    <t>EN_BKK_ctnoti_netcore_group_N_N_active_20250401_1100_songkran-splash-deals-apr25</t>
  </si>
  <si>
    <t>💦🔫 Soak Up the Fun with Hot Songkran Deals</t>
  </si>
  <si>
    <t>Cool off this summer with Songkran Splash Deals — featuring the best promotions on restaurants, buffets, activities, and stays. Don’t miss out, only available until April 16!</t>
  </si>
  <si>
    <t>EN_BKK_ctnoti_netcore_single_N_N_active_20250401_1500_romsai-banyan-tree-apr25</t>
  </si>
  <si>
    <t>🔥 Come 3 Pay 2 at Romsai Banyan Tree!</t>
  </si>
  <si>
    <t>Enjoy a sumptuous international buffet, available for both lunch and dinner — now with a sizzling hot deal starting from just 750 THB. Limited time only, until April 30!</t>
  </si>
  <si>
    <t>TH_BKK_ctnoti_netcore_single_N_N_active_20250401_1500_romsai-banyan-tree-apr25</t>
  </si>
  <si>
    <t>🔥 มา 3 จ่าย 2 กับ Romsai Banyan Tree</t>
  </si>
  <si>
    <t>คุ้มสุดๆ กับบุฟเฟต์นานาชาติทั้งมื้อกลางวัน และ ดินเนอร์ ในราคาสุดร้อนแรงเริ่มต้นเพียง 750 บาท วันนี้ - 30 เม.ย. เท่านั้น</t>
  </si>
  <si>
    <t>EN_BKK_ctnoti_netcore_single_N_N_active_20250401_1700_ads-pantarei-restaurant-mar25</t>
  </si>
  <si>
    <t>✨ Taste the Unexpected at PantaRei</t>
  </si>
  <si>
    <t>Experience unique fusion dishes crafted by a chef with over 20 years of culinary expertise. Special starting price only 796 THB — book now on Hungry Hub!</t>
  </si>
  <si>
    <t>TH_BKK_ctnoti_netcore_single_N_N_active_20250401_1700_ads-pantarei-restaurant-mar25</t>
  </si>
  <si>
    <t>✨ อร่อยแบบไม่จำเจ ที่ พรรณธารายณ์</t>
  </si>
  <si>
    <t>สัมผัสความอร่อยกับเมนูอาหารฟิวชั้นจากเชฟทำอาหารยาวนานกว่า 2 ทศวรรษ พิเศษ เริ่มต้นเพียง 796.-  จองเลยที่ Hungry Hub</t>
  </si>
  <si>
    <t>EN_BKK_ctnoti_netcore_group_N_N_active_20250402_1100_weekly-new-week1-apr25</t>
  </si>
  <si>
    <t>No, the subject line "🟢 Happy Wednesday Deals" does not contain "Come X Pay X".</t>
  </si>
  <si>
    <t>TH_BKK_ctnoti_netcore_group_N_N_active_20250402_1100_weekly-new-week1-apr25</t>
  </si>
  <si>
    <t>The subject line, "🟢 ดีลดีมาใหม่ แฮปปี้ทุกพุธ" translates to "🟢 New deal available, Happy every Wednesday". This does not include the phrase "Come X Pay X".
No</t>
  </si>
  <si>
    <t>EN_BKK_ctnoti_netcore_single_N_N_active_20250402_1500_vana-nava-water-jungle-hua-hin-apr25</t>
  </si>
  <si>
    <t>💦 Splash, Feast &amp; Fun at Vana Nava Water Jungle</t>
  </si>
  <si>
    <t>Dive into a world of excitement with thrilling water rides and unlimited lunch buffet — all starting at just 810 THB!</t>
  </si>
  <si>
    <t>TH_BKK_ctnoti_netcore_single_N_N_active_20250402_1500_vana-nava-water-jungle-hua-hin-apr25</t>
  </si>
  <si>
    <t>💦 สนุก อิ่่ม คุ้ม กับ Vana Nava Water Jungle</t>
  </si>
  <si>
    <t>สาดความสนุก กับสวนน้ำและเครื่องเล่นมากมาย พร้อมบุฟเฟต์มื้อเที่ยงไม่อั้น จ่ายเริ่มต้นเพียง 810 บาท จองเลย</t>
  </si>
  <si>
    <t>EN_BKK_ctnoti_netcore_single_N_N_active_20250402_1700_ads-mulligans-irish-bar-bangkok-apr25</t>
  </si>
  <si>
    <t>🍀 Mulligans Irish Bar is Here!</t>
  </si>
  <si>
    <t>Get ready to party hard and feast on hearty European-style dishes at wallet-friendly prices — starting from just 505 THB.</t>
  </si>
  <si>
    <t>TH_BKK_ctnoti_netcore_single_N_N_active_20250402_1700_ads-mulligans-irish-bar-bangkok-apr25</t>
  </si>
  <si>
    <t>🍀 Mulligans Irish Bar มาแล้ว</t>
  </si>
  <si>
    <t>ปาร์ตี้ให้สุด และอิ่มอร่อยแบบเต็มพิกัด กับเมนูอาหารสไตล์ยุโรป ในราคาสบายกระเป๋า เริ่มต้นเพียง 505 บาท จองเลย</t>
  </si>
  <si>
    <t>TH_BKK_ctnoti_netcore_group_N_N_active_20250403_1100_songkran-splash-deals-apr25</t>
  </si>
  <si>
    <t>🔫💦 เริ่มแล้ว Songkran Splash Deals</t>
  </si>
  <si>
    <t>รวมดีลดับร้อนต้อนรับสงกรานต์ พร้อมส่วนลดสุดพิเศษจากร้านดังมากมายทั้งร้านอาหารไทย นานาชาติ ที่พัก และกิจกรรมสุดมันส์ วันนี้-16 เม.ย.</t>
  </si>
  <si>
    <t>EN_BKK_ctnoti_netcore_group_N_N_active_20250403_1100_songkran-splash-deals-apr25</t>
  </si>
  <si>
    <t>🔫💦 Songkran Splash Deals are here!</t>
  </si>
  <si>
    <t>Cool off this summer with hot deals from top Thai &amp; international restaurants, hotels, and fun activities. Now–16 April only!</t>
  </si>
  <si>
    <t>EN_BKK_ctnoti_netcore_single_N_N_active_20250403_1500_orchid-cafe-apr25</t>
  </si>
  <si>
    <t>⚡️ Come 2 Pay 1 at Orchid Cafe</t>
  </si>
  <si>
    <t>Enjoy unlimited international buffet, Indian delights, seafood &amp; more from just 685 THB.
Now – 30 April only!</t>
  </si>
  <si>
    <t>TH_BKK_ctnoti_netcore_single_N_N_active_20250403_1500_orchid-cafe-apr25</t>
  </si>
  <si>
    <t>⚡️ มา 2 จ่ายแค่ 1 ที่ Orchid Cafe</t>
  </si>
  <si>
    <t>อร่อยแบบไม่อั้นกับบุฟเฟต์นานาชาติ อินเดีย ซีฟู้ด และอีกมากมายในราคาเริ่มต้นเพียง 685 บาท วันนี้จนถึง 30 เม.ย. เท่านั้น</t>
  </si>
  <si>
    <t>EN_BKK_ctnoti_netcore_single_N_N_active_20250403_1700_ads-krua-phra-khanong-bangkok-apr25</t>
  </si>
  <si>
    <t>Enjoy fusion &amp; Mediterranean flavors in a cozy vibe. Starts at just 370 THB Book Now at Hungry Hub</t>
  </si>
  <si>
    <t>TH_BKK_ctnoti_netcore_single_N_N_active_20250403_1700_ads-krua-phra-khanong-bangkok-apr25</t>
  </si>
  <si>
    <t>ครัวพระโขนงมาแล้ว!!</t>
  </si>
  <si>
    <t>อิ่มครบทุกสไตล์กับเมนูสไตล์ฟิวชั้นและเมดิเตอร์เรเนียน ในบรรยากาศสุดโคซี่ เริ่มต้นเพียง 370 บาท จองเลย</t>
  </si>
  <si>
    <t>TH_BKK_ctnoti_netcore_single_N_N_active_20250404_1100_treats-cafe-at-ibis-styles-apr25</t>
  </si>
  <si>
    <t>🌿 มาแล้ว! บุฟเฟต์ข้าวแช่ + อาหารไทย 4 ภาค</t>
  </si>
  <si>
    <t>มาคลายร้อนที่ Streats Cafe กับต้นตำรับข้าวแช่และอาหารไทย 4 ภาคครบเครื่อง พร้อมโปรมา 4 จ่าย 3 เพียง 374 บาท วันนี้ - 30 มิ.ย. เท่านั้น</t>
  </si>
  <si>
    <t>EN_BKK_ctnoti_netcore_single_N_N_active_20250404_1100_treats-cafe-at-ibis-styles-apr25</t>
  </si>
  <si>
    <t>🌿 Authentic Khao Chae Buffet is here!</t>
  </si>
  <si>
    <t>Cool down Summer at Streats Cafe with classic Khao Chae &amp; Thai dishes from 4 regions and Come 4 Pay 3 Deals Today - 30 Jun</t>
  </si>
  <si>
    <t>EN_BKK_ctnoti_netcore_single_N_N_active_20250404_1500_chatrium-hotel-riverside-staycation-apr25</t>
  </si>
  <si>
    <t>🍴🛌 Dine Well, Stay Better</t>
  </si>
  <si>
    <t>Book a room at Chatrium Hotel Riverside Bangkok and get a bonus international buffet and breakfast. Only 3,399.- per person on average.</t>
  </si>
  <si>
    <t>TH_BKK_ctnoti_netcore_single_N_N_active_20250404_1500_chatrium-hotel-riverside-staycation-apr25</t>
  </si>
  <si>
    <t>🍴🛌 กินดี มีห้องพัก</t>
  </si>
  <si>
    <t>จองห้องพักจาก โรงแรมชาเทรียม ริเวอร์ไซด์ กรุงเทพ รับเพิ่มไปเลย! บุฟเฟต์นานาชาติ อาหารเช้า เฉลี่ยคนละ 3,399.- เท่านั้น</t>
  </si>
  <si>
    <t>EN_BKK_ctnoti_netcore_group_N_N_active_20250404_1700_ads-glare-eatery-bar-bangkok-apr25</t>
  </si>
  <si>
    <t>🍤 Akimitsu Tendon is here!</t>
  </si>
  <si>
    <t>TH_BKK_ctnoti_netcore_group_N_N_active_20250404_1700_ads-glare-eatery-bar-bangkok-apr25</t>
  </si>
  <si>
    <t>🍤 Akimitsu Tendon มาแล้ว</t>
  </si>
  <si>
    <t>EN_BKK_ctnoti_netcore_single_N_N_active_20250405_1100_204-bistro-at-swissotel-apr25_</t>
  </si>
  <si>
    <t>🍽 204 Bistro – Come 3, Pay for 2!</t>
  </si>
  <si>
    <t>TH_BKK_ctnoti_netcore_single_N_N_active_20250405_1100_204-bistro-at-swissotel-apr25_</t>
  </si>
  <si>
    <t>🍽 มา 3 จ่าย 2 กับ 204 Bistro</t>
  </si>
  <si>
    <t>EN_BKK_ctnoti_netcore_single_N_N_active_20250405_1500_ramayana-water-park-apr25</t>
  </si>
  <si>
    <t>💦 Make a Splash at Ramayana Water Park!</t>
  </si>
  <si>
    <t>Unlimited rides + 1 free drink, only 649 THB. Exclusive on Hungry Hub – Book now!</t>
  </si>
  <si>
    <t>TH_BKK_ctnoti_netcore_single_N_N_active_20250405_1500_ramayana-water-park-apr25</t>
  </si>
  <si>
    <t>💦 สนุกรับหน้าร้อนกับ สวนน้ำรามายณะ</t>
  </si>
  <si>
    <t>เล่นจุใจกับสวนน้ำ พร้อมเครื่องเล่นมากมาย พิเศษเฉพาะลูกค้า Hungry Hub รับเครื่องดื่ม 1 กระป๋อง เพียง 649 บาท จองเลย</t>
  </si>
  <si>
    <t>EN_BKK_ctnoti_netcore_single_N_N_active_20250405_1700_ads-lyon-french-cuisine-apr25</t>
  </si>
  <si>
    <t>💖 Every day can be a date night</t>
  </si>
  <si>
    <t>Enjoy French fine dining at Lyon French Cuisine — just around the corner!
Dinner starts at only 607 THB. Book now!</t>
  </si>
  <si>
    <t>TH_BKK_ctnoti_netcore_single_N_N_active_20250405_1700_ads-lyon-french-cuisine-apr25</t>
  </si>
  <si>
    <t>💖 รู้ยัง? วันไหนก็มาสวีทได้</t>
  </si>
  <si>
    <t>ไปดินเนอร์ออกเดทสไตล์ฝรั่งเศสอยู่ใกล้ๆ แค่ปากซอย ที่ Lyon French Cuisine เลือกดินเนอร์ได้ตามใจ เริ่มต้น 607 บาท จองเลย</t>
  </si>
  <si>
    <t>EN_BKK_ctnoti_netcore_single_N_N_active_20250406_1100_bai-yun-banyan-tree-bangkok-apr25</t>
  </si>
  <si>
    <t>Come 3, Pay for 2 at Bai Yun, Banyan Tree</t>
  </si>
  <si>
    <t>All-you-can-eat dim sum + 1 drink per person Only 1,036 THB • Until 30 June</t>
  </si>
  <si>
    <t>TH_BKK_ctnoti_netcore_single_N_N_active_20250406_1100_bai-yun-banyan-tree-bangkok-apr25</t>
  </si>
  <si>
    <t>มา 3 จ่าย 2 กับ Bai Yun Banyan Tree</t>
  </si>
  <si>
    <t>อิ่มไม่อั้นกับบุฟเฟต์ติ่มซำ และรับเครื่องดื่ม 1 อย่างต่อท่าน ในราคาพิเศษเพียง 1,036 บาท วันนี้ - 30 มิ.ย. เท่านั้น</t>
  </si>
  <si>
    <t>EN_BKK_ctnoti_netcore_single_N_N_active_20250406_1500_kalanan-riverside-resort-apr25</t>
  </si>
  <si>
    <t>Riverside Luxury at Kalanan Resort</t>
  </si>
  <si>
    <t>Stay in a deluxe room with breakfast, spa, kayaking &amp; paddleboarding From only 1,600 THB/person – Book now!</t>
  </si>
  <si>
    <t>TH_BKK_ctnoti_netcore_single_N_N_active_20250406_1500_kalanan-riverside-resort-apr25</t>
  </si>
  <si>
    <t>พักหรูริมน้ำ กับ Kalanan Riverside Resort</t>
  </si>
  <si>
    <t>ครบครันทั้งห้องพักดีลักซ์ อาหารเช้า นวดสปา พร้อมกิจกรรมพายเรือพายักและแพดเดิลบอร์ด จ่ายเริ่มต้น 1,600 บาท/ท่าน จองเลย</t>
  </si>
  <si>
    <t>No offer found in the format "Come X Pay X".</t>
  </si>
  <si>
    <t>EN_BKK_ctnoti_netcore_single_N_N_active_20250406_1700_ads-the-seafood-cafe-apr25</t>
  </si>
  <si>
    <t>Ultimate Seafood Feast in Yaowarat</t>
  </si>
  <si>
    <t>Enjoy 80+ premium seafood dishes, all-you-can-eat for 2 hours! From just 1,190 THB</t>
  </si>
  <si>
    <t>TH_BKK_ctnoti_netcore_single_N_N_active_20250406_1700_ads-the-seafood-cafe-apr25</t>
  </si>
  <si>
    <t>ที่สุดของบุฟเฟต์ซีฟู้ดใจกลางเยาวราช</t>
  </si>
  <si>
    <t>สุดกว่านี้มีอีกไหมกับเมนูซีฟู้ดพรีเมียมกว่า 80 เมนู สั่งได้ไม่อั้น 2 ชั่วโมงเต็ม เริ่มต้นเพียง 1,190 บาท เท่านั้น</t>
  </si>
  <si>
    <t>TH_BKK_ctnoti_netcore_single_N_N_active_20250408_1500_viu-the-st-regis-apr25</t>
  </si>
  <si>
    <t>⚡ มา 2 จ่าย 1 กับ Viu The St. Regis</t>
  </si>
  <si>
    <t>อลังการไปกับเมนูบุฟเฟต์สุดหลากหลายทั้งนานาชาติ ซีฟู้ด ในราคาพิเศษเพียง 1,400 บาท จากปกติ 2,800 บาท วันนี้ - 30 มิ.ย. เท่านั้น</t>
  </si>
  <si>
    <t>EN_BKK_ctnoti_netcore_single_N_N_active_20250408_1500_viu-the-st-regis-apr25</t>
  </si>
  <si>
    <t>⚡ 2 for 1 at VIU – The St. Regis</t>
  </si>
  <si>
    <t>Dive into an international &amp; seafood buffet for just THB 1,400 (from THB 2,800)! Now – 30 June only</t>
  </si>
  <si>
    <t>EN_BKK_ctnoti_netcore_group_N_N_active_20250408_1700_songkran-staycation-apr25</t>
  </si>
  <si>
    <t>🌊 Songkran’s Coming! Got Your Stay Yet?</t>
  </si>
  <si>
    <t>Book your holiday escape now with special Songkran hotel deals — including buffets, dining credits, and fun activities</t>
  </si>
  <si>
    <t>TH_BKK_ctnoti_netcore_group_N_N_active_20250408_1700_songkran-staycation-apr25</t>
  </si>
  <si>
    <t>🌊 สงกรานต์ใกล้มาแล้ว มีที่พักหรือยัง?</t>
  </si>
  <si>
    <t>ถ้าไม่รู้จะไปเล่นน้ำไหน แวะมาจองที่พักก่อนเที่ยวกันก่อน กับโปรที่พัก พร้อมบุฟเฟต์ เครดิตอาหาร กิจกรรมมากมาย ในราคาพิเศษ จองเลย</t>
  </si>
  <si>
    <t>EN_BKK_ctnoti_netcore_single_N_N_active_20250408_1900_ads-glare-eatery-bar-bangkok-apr25</t>
  </si>
  <si>
    <t>🍸 After Work? Head to Glare Eatery &amp; Bar</t>
  </si>
  <si>
    <t>Chill at this cozy rooftop in Wongwian Yai with tasty eatery-style dishes &amp; signature drinks. Starting from just 645 THB!</t>
  </si>
  <si>
    <t>TH_BKK_ctnoti_netcore_single_N_N_active_20250408_1900_ads-glare-eatery-bar-bangkok-apr25</t>
  </si>
  <si>
    <t>🍸 เลิกงานนี้ ต้องแวะไป Glare Eatery &amp; Bar</t>
  </si>
  <si>
    <t>รูฟท็็อปบาร์ฟิลดี เอาใจสายปาร์ตี้ในวงเวียนใหญ่ อิ่มอร่อยกับเมนููสไตล์อิทเทอรี่ และเครื่องดื่มจากบาร์เทนเดอร์ เริ่มต้นเพียง 645 บาท</t>
  </si>
  <si>
    <t>TH_BKK_ctnoti_netcore_single_N_N_active_20250409_1100_weekly-new-week2-apr25</t>
  </si>
  <si>
    <t>EN_BKK_ctnoti_netcore_single_N_N_active_20250409_1100_weekly-new-week2-apr25</t>
  </si>
  <si>
    <t>EN_BKK_ctnoti_netcore_single_N_N_active_20250409_1500_57th-street-marriott-sukhumvit-apr25</t>
  </si>
  <si>
    <t>⏰ Extended Deal at 57th Street</t>
  </si>
  <si>
    <t>Come 2 Pay 1 on the international dinner buffet with beer included — now only 660 THB (from 990 THB)! Available until 30 April only</t>
  </si>
  <si>
    <t>TH_BKK_ctnoti_netcore_single_N_N_active_20250409_1500_57th-street-marriott-sukhumvit-apr25</t>
  </si>
  <si>
    <t>⏰ ต่อเวลาความคุ้ม กับ 57th Street</t>
  </si>
  <si>
    <t>มา 2 จ่ายแค่ 1 กับแพ็กเกจบุฟเฟต์นานาชาติมื้อค่ำ รวมเบียร์ ในราคาสุดพิเศษ 660 บาท จากปกติ 990 บาท จนถึง 30 เม.ย. เท่านั้น</t>
  </si>
  <si>
    <t>EN_BKK_ctnoti_netcore_single_N_N_active_20250409_1700_thirst-at-ozo-north-pattaya-apr25</t>
  </si>
  <si>
    <t>🔥 This Songkran, Grill &amp; Chill Unlimited!</t>
  </si>
  <si>
    <t>Don’t miss the Songkran buffet at OZO North Pattaya — includes a special drink! Available only 12–15 April</t>
  </si>
  <si>
    <t>TH_BKK_ctnoti_netcore_single_N_N_active_20250409_1700_thirst-at-ozo-north-pattaya-apr25</t>
  </si>
  <si>
    <t>🔥 สงกรานต์นี้มา Grill &amp; Chill แบบไม่อั้น!!</t>
  </si>
  <si>
    <t>ไม่จองระวังพลาด กับบุฟเฟต์ต้อนรับสงกรานต์ จาก OZO North Pattaya พร้อมรับเครื่องดื่มสุดพิเศษ 12-15 เม.ย. เท่านั้น</t>
  </si>
  <si>
    <t>TH_BKK_ctnoti_netcore_single_N_N_active_20250410_1100_king-seafood-pattaya-apr25</t>
  </si>
  <si>
    <t>ที่สุดของบุฟเฟต์ซีฟู้ดในพัทยา 🦞</t>
  </si>
  <si>
    <t>🌊 จุใจกับบุฟเฟต์ซีฟู้ดตัวใหญ่สดๆ ติดวิวริมหาดพัทยา ที่ King Seafood พร้อมเลือก 1 เมนูพิเศษสั่งได้ไม่อั้น จองเลย 👉</t>
  </si>
  <si>
    <t>EN_BKK_ctnoti_netcore_single_N_N_active_20250410_1100_king-seafood-pattaya-apr25</t>
  </si>
  <si>
    <t>The Best Seafood in Pattaya 🦞</t>
  </si>
  <si>
    <t>🌊 Enjoy an exquisite seafood feast with stunning beach views at King Seafood and choose 1 unlimited special dish book now 👉</t>
  </si>
  <si>
    <t>EN_BKK_ctnoti_netcore_group_N_N_active_20250410_1500_dinner-cruise-chao-phraya-river-apr25</t>
  </si>
  <si>
    <t>🚤 This Songkran, Let’s Cruise Together</t>
  </si>
  <si>
    <t>Enjoy a special river cruise with iconic views &amp; delicious dining. Starts from just 690 THB – Book now!</t>
  </si>
  <si>
    <t>TH_BKK_ctnoti_netcore_group_N_N_active_20250410_1500_dinner-cruise-chao-phraya-river-apr25</t>
  </si>
  <si>
    <t>🚤 สงกรานต์นี้ มาล่องเรือไปด้วยกันไหม</t>
  </si>
  <si>
    <t>อิ่มสุขกับประสบการณ์สุดพิเศษ ล่องเรือชมสถานที่สำคัญ พร้อมอิ่มอร่อยกับเมนูหลากหลาย ในราคาพิเศษเริ่มต้นเพียง 690 บาท</t>
  </si>
  <si>
    <t>EN_BKK_ctnoti_netcore_single_N_N_active_20250410_1700_ads-riedel-restaurant-apr25</t>
  </si>
  <si>
    <t>🍷 The World’s First Artisan Wine Bar is Here!</t>
  </si>
  <si>
    <t>Experience Riedel Restaurant &amp; Wine Cellar, the global glassware icon, with refined European dishes. Starting from just 1,125 THB</t>
  </si>
  <si>
    <t>TH_BKK_ctnoti_netcore_single_N_N_active_20250410_1700_ads-riedel-restaurant-apr25</t>
  </si>
  <si>
    <t>🍷 อาร์ทิซานไวน์บาร์ ที่แรกของโลกมาถึงแล้ว</t>
  </si>
  <si>
    <t>ลองเลย Riedel Restaurant &amp; Wine Cellar ไวน์บาร์จากแบรนด์แก้วระดับเวิล์ดคลาส พร้อมเมนูสไตล์ยุโรป เริ่มต้นเพียง 1,125 บาท</t>
  </si>
  <si>
    <t>TH_BKK_ctnoti_netcore_single_N_N_active_20250411_1100_bubble-in-the-forest-cafe-apr25</t>
  </si>
  <si>
    <t>🏡💦 ร้อนแบบนี้ ต้องแวะซุ้มริมน้ำ</t>
  </si>
  <si>
    <t>ไม่ต้องแวะไกลถึงเมืองนอก Bubble in the forest จัดให้กับคาเฟ่ฟิลลอยน้ำ พร้อมอาหารฟิวชั่น ถ่ายรูปสวนทุกมุม เริ่มต้นเพียง 1,190 บาท</t>
  </si>
  <si>
    <t>EN_BKK_ctnoti_netcore_single_N_N_active_20250411_1100_bubble-in-the-forest-cafe-apr25</t>
  </si>
  <si>
    <t>🏡💦 Cool Off at a Floating Café Escape</t>
  </si>
  <si>
    <t>No need to fly abroad — Bubble in the Forest offers dreamy riverside vibes, fusion dishes &amp; IG-worthy spots. Starts from just 1,190 THB</t>
  </si>
  <si>
    <t>EN_BKK_ctnoti_netcore_single_N_N_active_20250411_1500_chon-som-songkran-apr25</t>
  </si>
  <si>
    <t>💦 Songkran Special: 4 Pay 3 at Chon Som</t>
  </si>
  <si>
    <t>Celebrate with an all-you-can-eat international buffet &amp; free-flow drinks. From just 899 THB • Now–15 April only!</t>
  </si>
  <si>
    <t>TH_BKK_ctnoti_netcore_single_N_N_active_20250411_1500_chon-som-songkran-apr25</t>
  </si>
  <si>
    <t>💦 สงกรานต์นี้ ช้อนส้อม มา 4 จ่ายแค่ 3</t>
  </si>
  <si>
    <t>อิ่มอร่อยไม่อั้นต้อนรับสงกรานต์กับบุฟเฟต์นานาชาติ พร้อมเครื่องดื่มไม่อั้น ในราคาสุดพิเศษ เริ่มต้น 899 บาท วันนี้ - 15 เม.ย. เท่านั้น</t>
  </si>
  <si>
    <t>EN_BKK_ctnoti_netcore_single_N_N_active_20250411_1700_ads-jibcharoen-bar-bistro-apr25</t>
  </si>
  <si>
    <t>🍻 Pre-Holiday Drinks? Why Not!</t>
  </si>
  <si>
    <t>Unwind with free-flow drinks &amp; value set meals at the hidden gem, Jibcharoen Bar &amp; Bistro in Ladprao — just 399 THB</t>
  </si>
  <si>
    <t>TH_BKK_ctnoti_netcore_single_N_N_active_20250411_1700_ads-jibcharoen-bar-bistro-apr25</t>
  </si>
  <si>
    <t>🍻 ก่อนหยุดยาว ต้องมาจิบสักหน่อย</t>
  </si>
  <si>
    <t>จิบไม่อั้นรับยามเย็นกับ Jibcharoen Bar &amp; Bistro บาร์ลับสุดฮิต ใจกลางลาดพร้าว พร้อมเซ็ตอาหารสุดคุ้ม เริ่มต้นเพียง 399.- เท่านั้น</t>
  </si>
  <si>
    <t>EN_BKK_ctnoti_netcore_single_N_N_active_20250412_1100_songkran-savetravel-apr25</t>
  </si>
  <si>
    <t>💦 Safe Travels This Songkran!</t>
  </si>
  <si>
    <t>Wishing all Hungry Hub customers a joyful and safe holiday. Don’t forget to treat yourself to special meals from top restaurants along the way!</t>
  </si>
  <si>
    <t>TH_BKK_ctnoti_netcore_single_N_N_active_20250412_1100_songkran-savetravel-apr25</t>
  </si>
  <si>
    <t>💦 สงกรานต์นี้ ขอให้เดินทางปลอดภัย</t>
  </si>
  <si>
    <t>ใกล้ได้เวลาชุ่มฉ่ำกับความสุขในหยุดยาว ขอให้ลูกค้า Hungry Hub ทุกท่านเดินทางโดยสวัสดิภาพ และอย่าลืมแวะมาอิ่มอร่อยกับมื้อพิเศษจากร้านดังมากมาย</t>
  </si>
  <si>
    <t>TH_BKK_ctnoti_netcore_single_N_N_active_20250413_1100_songkran-festival-apr25</t>
  </si>
  <si>
    <t>💦🙏 สุขสันต์วันสงกรานต์</t>
  </si>
  <si>
    <t>ขอให้ลูกค้า Hungry Hub ทุกท่าน มีความสุขในวันหยุดยาว เล่นน้ำสนุกให้ชุ่มฉ่ำใจ และอย่าลืมมาแวะอิ่มอร่อยกับร้านด้งพร้อมส่วนลดมากมาย</t>
  </si>
  <si>
    <t>EN_BKK_ctnoti_netcore_single_N_N_active_20250413_1100_songkran-festival-apr25</t>
  </si>
  <si>
    <t>💦 Happy Songkran Day!</t>
  </si>
  <si>
    <t>Wishing all Hungry Hub customers a joyful holiday! Stay cool, have fun, and don’t forget to enjoy delicious deals from your favorite restaurants!</t>
  </si>
  <si>
    <t>TH_BKK_ctnoti_netcore_group_N_N_active_20250417_1100_weekly-new-week3-apr25</t>
  </si>
  <si>
    <t>📣 หมดวันหยุด แต่ร้านใหม่มาไม่หยุด</t>
  </si>
  <si>
    <t>ไปให้สุดกับร้านใหม่ประจำสัปดาห์ พร้อมจัดเต็มกว่า 2,000 ร้านดัง พิเศษเมื่อจอง 5 คนแรก ในแต่ละร้าน รับเวาเชอร์ส่วนลดฟรีสูงสุด 200 บาท</t>
  </si>
  <si>
    <t>EN_BKK_ctnoti_netcore_group_N_N_active_20250417_1100_weekly-new-week3-apr25</t>
  </si>
  <si>
    <t>📣 New Week, New Eats!</t>
  </si>
  <si>
    <t>Over 2,000 restaurants to explore! Be among the first 5 to book each new spot and get up to 200 THB in vouchers!</t>
  </si>
  <si>
    <t>EN_BKK_ctnoti_netcore_single_N_N_active_20250417_1500_nimitr-rooftop-apr25</t>
  </si>
  <si>
    <t>🌆 Nimitr Rooftop: Over 50% Off!</t>
  </si>
  <si>
    <t>Choose 4 dishes + 4 cocktails/mocktails or 1 wine bottle for just 1,890 THB (from 4,342 THB) until May 31 only!</t>
  </si>
  <si>
    <t>TH_BKK_ctnoti_netcore_single_N_N_active_20250417_1500_nimitr-rooftop-apr25</t>
  </si>
  <si>
    <t>🌆 Nimitr Rooftop จ่ายถูกกว่าครึ่ง!!</t>
  </si>
  <si>
    <t>คุ้มมากกก เลือก 4 เมนูพร้อมม็อกเทล - ค็อกเทล 4 แก้ว หรือ เลือก ไวน์ 1 ขวด จ่ายเพียง 1,890 บาท จากปกติ 4,342 บาท วันนี้ถึง 31 พ.ค. เท่านั้น</t>
  </si>
  <si>
    <t>EN_BKK_ctnoti_netcore_single_N_N_active_20250417_1700_ads-lyon-french-cuisine-apr25</t>
  </si>
  <si>
    <t>🇫🇷 French Fine Dining Under 1,000 THB!</t>
  </si>
  <si>
    <t>Enjoy Lyon French Cuisine in Ploenchit from just 607 THB/person. Luxury taste, cozy vibe!</t>
  </si>
  <si>
    <t>TH_BKK_ctnoti_netcore_single_N_N_active_20250417_1700_ads-lyon-french-cuisine-apr25</t>
  </si>
  <si>
    <t>🇫🇷 ดินเนอร์สไตล์ฝรั่งเศส จ่ายไม่ถึงพัน!</t>
  </si>
  <si>
    <t>ลองกันหรือยัง? Lyon French Cuisine ร้านอาหารฝรั่งเศสสุดหรู ในย่านเพลินจิต เริ่มต้นเพียงคนละ 607 บาท เท่านั้น</t>
  </si>
  <si>
    <t>TH_BKK_ctnoti_netcore_single_N_N_active_20250418_1100_crave-aloft-bangkok-sukhumvit-apr25</t>
  </si>
  <si>
    <t>🦐⚡️ มา 2 จ่าย 1 กับ Crave</t>
  </si>
  <si>
    <t>อิ่มไม่อั้นกับบุฟเฟต์ซีฟู้ดสดๆ พร้อมพาสต้า อาหารญี่ปุ่น ชาบูสเตชั่น และอีกมากมาย พิเศษ 735 บาท จากปกติ 1,471 บาท วันนี้ - 30 มิ.ย.</t>
  </si>
  <si>
    <t>EN_BKK_ctnoti_netcore_single_N_N_active_20250418_1100_crave-aloft-bangkok-sukhumvit-apr25</t>
  </si>
  <si>
    <t>🦐⚡️ 2 Pay 1 at Crave Buffet!</t>
  </si>
  <si>
    <t>Seafood, pasta, shabu &amp; more — just 735 THB (from 1,471 THB) until June 30 only!</t>
  </si>
  <si>
    <t>EN_BKK_ctnoti_netcore_single_N_N_active_20250418_1700_ads-the-standardx-bangkok-apr25</t>
  </si>
  <si>
    <t>🔥 New riverside dining spot!</t>
  </si>
  <si>
    <t>Try Bang by The StandardX — bold Thai street food with river views. Starts at just 545 THB. Book now!</t>
  </si>
  <si>
    <t>TH_BKK_ctnoti_netcore_single_N_N_active_20250418_1700_ads-the-standardx-bangkok-apr25</t>
  </si>
  <si>
    <t>🔥 ปัง ปัง ปัง มื้อนี้มีแต่ปัง</t>
  </si>
  <si>
    <t>มาแล้ว! Bang ร้านอาหารริมน้ำเจ้าพระยาน้องใหม่จาก The StandardX Bangkok Phra Arthit เต็มอิ่มกับเมนูสตรีทฟู้ดมากมาย เริ่มต้นเพียง 545 บาท เท่านั้น</t>
  </si>
  <si>
    <t>EN_BKK_ctnoti_netcore_single_N_N_active_20250418_1900_rossini-apr25</t>
  </si>
  <si>
    <t>🎷 Sunday Brunch, now 4 pay 3!</t>
  </si>
  <si>
    <t>Unwind at Rossini's with jazzy vibes &amp; buffet brunch. Just 1,727 THB. Book now until Apr 30!</t>
  </si>
  <si>
    <t>TH_BKK_ctnoti_netcore_single_N_N_active_20250418_1900_rossini-apr25</t>
  </si>
  <si>
    <t>🎷 มา 4 จ่าย 3 ที่ Rossini's</t>
  </si>
  <si>
    <t>หยุดยาวหมด แต่คุ้มไม่หยุดกับบุฟเฟต์ Sunday Jazzy Brunch พร้อมซอฟต์ดริงค์ เพียง 1,727 บาท วันนี้ถึง 30 เม.ย. เท่านั้น</t>
  </si>
  <si>
    <t>EN_BKK_ctnoti_netcore_single_N_N_active_20250419_1100_streats-cafe-apr25</t>
  </si>
  <si>
    <t>🌞 Summer’s here — all-you-can-eat Khao Chae!</t>
  </si>
  <si>
    <t>Cool down with unlimited Khao Chae &amp; Thai regional dishes at Streats Cafe. Only 374 THB. Until Jun 30!</t>
  </si>
  <si>
    <t>TH_BKK_ctnoti_netcore_single_N_N_active_20250419_1100_streats-cafe-apr25</t>
  </si>
  <si>
    <t>🌞 หน้าร้อนนี้ ข้าวแช่สั่งได่ไม่อั้น</t>
  </si>
  <si>
    <t>โปรแรงจาก Streats Cafe สั่งได้ไม่อั้นกับเมนูข้าวแช่ อาหารไทย 4 ภาค ของหวานและผลไม้ ในราคาพิเศษ 374 บาท ถึง 30 มิ.ย. เท่านั้น</t>
  </si>
  <si>
    <t>EN_BKK_ctnoti_netcore_single_N_N_active_20250419_1300_pick-man-machine-cafe-apr25</t>
  </si>
  <si>
    <t>🚗 Garage-style buffet is here!</t>
  </si>
  <si>
    <t>Man &amp; Machine Cafe now serves all-you-can-eat for just 399 THB. Chill vibes in Ngamwongwan. Book now!</t>
  </si>
  <si>
    <t>TH_BKK_ctnoti_netcore_single_N_N_active_20250419_1300_pick-man-machine-cafe-apr25</t>
  </si>
  <si>
    <t>🚗 Man &amp; Machine Cafe มีบุฟเฟต์แล้ว!</t>
  </si>
  <si>
    <t>มาชิลๆ กับคาเฟ่และบาร์สไตล์การาจแนวใหม่! ในย่านงามวงศ์วาน พร้อมอิ่มอร่อยแบบไม่อั้น เพียง 399 บาท</t>
  </si>
  <si>
    <t>EN_BKK_ctnoti_netcore_single_N_N_active_20250419_1500_ads-est-33-apr25</t>
  </si>
  <si>
    <t>🎸 EST.33 is here!</t>
  </si>
  <si>
    <t xml:space="preserve">Chill with live music &amp; great food at Thailand’s first craft brewery. Starts at just 562 THB. Book now!
</t>
  </si>
  <si>
    <t>TH_BKK_ctnoti_netcore_single_N_N_active_20250419_1500_ads-est-33-apr25</t>
  </si>
  <si>
    <t>🎸 EST.33 มาแล้ว!!</t>
  </si>
  <si>
    <t>ร้านนั่งชิลมีดนตรีสด จากโรงเบียร์แห่งแรกในประเทศไทย พร้อมอิ่มอร่อยกับเมนูหลากสไตล์ เริ่มต้นเพียง 562 บาท จองเลย</t>
  </si>
  <si>
    <t>EN_BKK_ctnoti_netcore_group_N_N_active_20250421_1100_the-luxe-of-taste-apr25</t>
  </si>
  <si>
    <t>🌿 Luxurious Thai Dining Awaits You</t>
  </si>
  <si>
    <t>Indulge in an unforgettable experience with top-tier Thai restaurants from The Luxe of Taste x Hungry Hub exclusive deals available only here</t>
  </si>
  <si>
    <t>TH_BKK_ctnoti_netcore_group_N_N_active_20250421_1100_the-luxe-of-taste-apr25</t>
  </si>
  <si>
    <t>🌿 ร้านอาหารไทยสุดหรูกำลังรอคุณอยู่</t>
  </si>
  <si>
    <t>รีบมาสัมผัสประสบการณ์เหนือความคาดหมาย กับร้านอาหารไทยชั้นเลิศมากมาย จาก The Luxe of Taste และ Hungry Hub พร้อมส่วนลดสุดพิเศษ เฉพาะที่นี่เท่านั้น</t>
  </si>
  <si>
    <t>EN_BKK_ctnoti_netcore_single_N_N_active_20250421_1300_durian-buffet-at-phenix-apr25</t>
  </si>
  <si>
    <t>🍈 Durian Paradise is Here!</t>
  </si>
  <si>
    <t>All-you-can-eat durian &amp; fruits at Phenix Pratunam. Pre-Booking with Special Price at 599 THB. Only on Hungry Hub!</t>
  </si>
  <si>
    <t>TH_BKK_ctnoti_netcore_single_N_N_active_20250421_1300_durian-buffet-at-phenix-apr25</t>
  </si>
  <si>
    <t>🍈 จองก่อนใคร Durian Paradise Buffet</t>
  </si>
  <si>
    <t>Phenix Pratunam จัดหนักกับบุฟเฟต์ทุเรียนหลากสายพันธุ์ พร้อมผลไม้ ของหวาน ในราคาพิเศษ เริ่มต้น 599 บาท เฉพาะที่ Hungry Hub เท่านั้น</t>
  </si>
  <si>
    <t>EN_BKK_ctnoti_netcore_single_N_N_active_20250421_1500_ads-oranji-boat-noodle-apr25</t>
  </si>
  <si>
    <t>🍜 Oranji’s New Boat Noodles!</t>
  </si>
  <si>
    <t>Unlimited tenderloin beef, ribeye beef, and more, along with Hokkaido ice cream Starts at just 259 THB. Book now!</t>
  </si>
  <si>
    <t>TH_BKK_ctnoti_netcore_single_N_N_active_20250421_1500_ads-oranji-boat-noodle-apr25</t>
  </si>
  <si>
    <t>🍜 รู้หรือยัง? Oranji ก็มีก๋วยเตี๋ยวเรือแล้ว</t>
  </si>
  <si>
    <t>ครั้งแรกของบุฟเฟต์ก๋วยเตี๋ยวเรือ สั่งได้ไม่อั้นทั้งเนื้อโคขุน หมูสันนอก และของหวาน เริ่มต้นเพียง 259 บาท เท่านั้น จองเลย</t>
  </si>
  <si>
    <t>TH_BKK_ctnoti_netcore_single_N_N_active_20250422_1100_de-viva-bangkok-apr25</t>
  </si>
  <si>
    <t>🍛 บุฟเฟต์มื้อนี้ แค่ 79 บาท!!</t>
  </si>
  <si>
    <t>อิ่มไม่อั้นกับบุฟเฟต์ข้าวแกงรสชาติแบบไทยแท้ๆ ที่ DE VIVA ครบครันทั้งต้ม ผัด แกง ทอด พิเศษเฉพาะลูกค้า HungryHub รับเซ็ตผลไม้ฟรี</t>
  </si>
  <si>
    <t>EN_BKK_ctnoti_netcore_single_N_N_active_20250422_1100_de-viva-bangkok-apr25</t>
  </si>
  <si>
    <t>🍛 All-You-Can-Eat for Just 79 THB!</t>
  </si>
  <si>
    <t>Enjoy authentic Thai curry buffet at DE VIVA + free fruit set for Hungry Hub diners only!</t>
  </si>
  <si>
    <t>EN_BKK_ctnoti_netcore_single_N_N_active_20250422_1500_siam-paragon-tropical-fruit-apr25</t>
  </si>
  <si>
    <t>🥭 Tropical Fruit Parade 2025 is here!!</t>
  </si>
  <si>
    <t>Siam Paragon goes fruity with all-you-can-eat durian &amp; tropical fruits! Pre Booking now &amp; feast from Apr 28 – May 5 only!</t>
  </si>
  <si>
    <t>TH_BKK_ctnoti_netcore_single_N_N_active_20250422_1500_siam-paragon-tropical-fruit-apr25</t>
  </si>
  <si>
    <t>🥭 Tropical Fruit Parade 2025 มาแล้ว</t>
  </si>
  <si>
    <t>Siam Paragon จัดเต็มกับแ จองล่วงหน้าและไปทานพร้อมกันวันที่ 28 เม.ย. ถึง 5 พ.ค. 68</t>
  </si>
  <si>
    <t>EN_BKK_ctnoti_netcore_single_N_N_active_20250422_1700_ads-cutts-sathorn-omakase-apr25</t>
  </si>
  <si>
    <t>🍣 Up to 20% Off at CUTTS Sathorn</t>
  </si>
  <si>
    <t>Indulge in a secret Cyberpunk Omakase — 12 or 15 courses at a special price. Book now!</t>
  </si>
  <si>
    <t>TH_BKK_ctnoti_netcore_single_N_N_active_20250422_1700_ads-cutts-sathorn-omakase-apr25</t>
  </si>
  <si>
    <t>🍣 ลดสูงสุด 20% ที่ CUTTS Sathorn Omakase</t>
  </si>
  <si>
    <t>แวะมาฟินกับโอมากาเสะแบบลับๆ สไตล์ Cyberpunk เลือกได้ทั้ง 12 คอร์ส และ 15 คอร์ส ในราคาสุดพิเศษ จองเลย</t>
  </si>
  <si>
    <t>TH_BKK_ctnoti_netcore_group_N_N_active_20250423_1100_weekly-new-week4-apr25</t>
  </si>
  <si>
    <t>EN_BKK_ctnoti_netcore_group_N_N_active_20250423_1100_weekly-new-week4-apr25</t>
  </si>
  <si>
    <t>TH_BKK_ctnoti_netcore_single_N_N_active_20250423_1500_pick-stock-room-at-kimpton-apr25</t>
  </si>
  <si>
    <t>⚡️ ลดแรง Stock.Room มา 4 จ่ายแค่ 3</t>
  </si>
  <si>
    <t>สั่งได้ไม่อั้น ทั้งซีฟู้ด นานาชาติ ในราคาพิเศษกว่าเดิม เริ่มต้น 742 บาท กับ Sea+Land Buffet ตั้งแต่วันนี้ ถึง 31 พ.ค. เท่านั้น จองเลย</t>
  </si>
  <si>
    <t>Yes, Come 4 Pay 3.</t>
  </si>
  <si>
    <t>EN_BKK_ctnoti_netcore_single_N_N_active_20250423_1500_pick-stock-room-at-kimpton-apr25</t>
  </si>
  <si>
    <t>⚡ Sea+Land Buffet: 4 Pay 3!</t>
  </si>
  <si>
    <t>Unlimited seafood &amp; international dishes at Stock.Room from just 742 THB. Until May 31 only. Book now!</t>
  </si>
  <si>
    <t>TH_BKK_ctnoti_netcore_group_N_N_active_20250423_1700_copper-beyond-buffet-premay-apr25</t>
  </si>
  <si>
    <t>☀️ Heavenly Summer with Copper</t>
  </si>
  <si>
    <t>พรุ่งนี้ 10 โมงเช้า เตรียมคลายร้อนให้ถึงสวรรค์ กับความอร่อยระดับพรีเมียมแบบไม่อั้น กับรอบจอง 1-16 พ.ค. กับ Copper Beyond Buffet 2 สาขา</t>
  </si>
  <si>
    <t>EN_BKK_ctnoti_netcore_group_N_N_active_20250423_1700_copper-beyond-buffet-premay-apr25</t>
  </si>
  <si>
    <t>Bookings open tomorrow 10 AM! Enjoy unlimited premium buffet May 1–16 at both Copper branches.</t>
  </si>
  <si>
    <t>EN_BKK_ctnoti_netcore_group_N_N_active_20250424_900_copper-beyond-buffet-premay-apr25</t>
  </si>
  <si>
    <t>Prepare to book Copper Beyond Buffet 2 Branches for May 1-15 with an exclusive world-class buffet package and special dishes!</t>
  </si>
  <si>
    <t>TH_BKK_ctnoti_netcore_group_N_N_active_20250424_900_copper-beyond-buffet-premay-apr25</t>
  </si>
  <si>
    <t>เตรียมจองพร้อมกัน Copper Beyond Buffet ทั้ง 2 สาขา รอบ 1-15 พ.ค. พร้อมแพ็กเกจบุฟเฟต์ระดับเวิลด์คลาส และเมนูพิเศษอีกมากมาย</t>
  </si>
  <si>
    <t>EN_BKK_ctnoti_netcore_single_N_N_active_20250424_1500_pick-tenyuu-grand-omakase-apr25</t>
  </si>
  <si>
    <t>🍣 Tenyuu Grand Now Has a Buffet!</t>
  </si>
  <si>
    <t>Enjoy premium dishes like Foie Gras Temaki, Engawa Ponzu &amp; Kinmedai and more from just 1,999 THB.</t>
  </si>
  <si>
    <t>TH_BKK_ctnoti_netcore_single_N_N_active_20250424_1500_pick-tenyuu-grand-omakase-apr25</t>
  </si>
  <si>
    <t>🍣 Tenyuu Grand มีบุฟเฟต์แล้ว</t>
  </si>
  <si>
    <t>อร่อยไม่อั้นกับเมนูพรีเมียม ฟัวกราส์เทมากิ, เอ็นกาวะพอนสึ, คินเมะได และอีกมากมาย! ในราคาพิเศษ เริ่มต้นเพียง 1,999 บาทเท่านั้น</t>
  </si>
  <si>
    <t>EN_BKK_ctnoti_netcore_single_N_N_active_20250424_1700_apr-lannua-zaab-in-the-garden-apr25</t>
  </si>
  <si>
    <t>🌶 Thai-Isan Flavors with a Chill Vibe</t>
  </si>
  <si>
    <t>Spice it up at Lannua, serving Thai-Isan, seafood &amp; more in a lush garden view. Starts from just 235 THB. Book now 👉</t>
  </si>
  <si>
    <t>TH_BKK_ctnoti_netcore_single_N_N_active_20250424_1700_apr-lannua-zaab-in-the-garden-apr25</t>
  </si>
  <si>
    <t>🌶 ร้านอาหารไทย-อีสาน ฟิวดี อยู่นี้แล้ว</t>
  </si>
  <si>
    <t>ครบเครื่องความแซ่บ กับ ลานนัว ร้านอาหารไทย-อีสาน อาหารทะเด และอีกมากมาย ในบรรยากาศวิวสวน เริ่มต้น 235 บาท จองเลย 👉</t>
  </si>
  <si>
    <t>TH_BKK_ctnoti_netcore_single_N_N_active_20250425_1100_ads-durian-buffet-at-phenix-apr25</t>
  </si>
  <si>
    <t>บุฟเฟต์ทุเรียน Phenix เปิดจองแล้ว!!</t>
  </si>
  <si>
    <t>ห้ามพลาด กับขบวนบุฟเฟต์ทุเรียนหลากสายพันธุ์ พร้อมผลไม้ ของหวาน ในราคาพิเศษ เริ่มต้น 599 บาท เฉพาะที่ Hungry Hub เท่านั้น</t>
  </si>
  <si>
    <t>EN_BKK_ctnoti_netcore_single_N_N_active_20250425_1100_ads-durian-buffet-at-phenix-apr25</t>
  </si>
  <si>
    <t>Durian Buffet at Phenix – Now Open!</t>
  </si>
  <si>
    <t>Don’t miss the ultimate durian feast! Enjoy premium durian varieties, fruits &amp; desserts from just 599 THB, only on Hungry Hub.</t>
  </si>
  <si>
    <t>Come 2 Pay 1 (Equivalent to the 50% discount mentioned in the search results).</t>
  </si>
  <si>
    <t>TH_BKK_ctnoti_netcore_group_N_N_active_20250425_1700_ads-hanji-taiwanese-hot-pot-apr25</t>
  </si>
  <si>
    <t>Hanji หม้อไฟสไตล์ใต้หวันมาแล้ว!!</t>
  </si>
  <si>
    <t>EN_BKK_ctnoti_netcore_group_N_N_active_20250425_1700_ads-hanji-taiwanese-hot-pot-apr25</t>
  </si>
  <si>
    <t>Hanji Taiwanese Hotpot is here!</t>
  </si>
  <si>
    <t>EN_BKK_ctnoti_netcore_single_N_N_active_20250425_1700_ads-tenyuu-omakase-chiang-mai-apr25</t>
  </si>
  <si>
    <t>Omakase Buffet in Chiang Mai? Yes, please!</t>
  </si>
  <si>
    <t>Tenyuu Omakase Chiang Mai serves up unlimited premium picks like Foie Gras Temaki, Engawa Ponzu &amp; Kinmedai – all for just 1,999 THB!</t>
  </si>
  <si>
    <t>None of the provided information explicitly mentions a "Come X Pay X" offer.</t>
  </si>
  <si>
    <t>TH_BKK_ctnoti_netcore_single_N_N_active_20250425_1700_ads-tenyuu-omakase-chiang-mai-apr25</t>
  </si>
  <si>
    <t>ไปเชียงใหม่ ก็มีโอมากาเสะบุฟเฟต์นะ</t>
  </si>
  <si>
    <t>Tenyuu Omakase Chiang Mai จัดให้กับเมนูพรีเมียม ฟัวกราส์เทมากิ, เอ็นกาวะพอนสึ, คินเมะได สั่งได้ไม่อั้น ราคาพิเศษ เพียง 1,999 บาท เท่านั้น</t>
  </si>
  <si>
    <t>TH_BKK_ctnoti_netcore_mkt_N_N_active_20250428_1100_hungry-hub-cash--voucher-apr25</t>
  </si>
  <si>
    <t>ปลดล็อกความอิสระ กับ Cash Voucher</t>
  </si>
  <si>
    <t>อยากกินอะไร สั่งได้ตามใจ ไม่ต้องจำกัดแค่เมนูในเซ็ต ใช้เครดิตเท่าไรก็ได้ตามมูลค่าที่จองไว้ ดูรายละเอียดเพิ่มเติม คลิกเลย 👉</t>
  </si>
  <si>
    <t>EN_BKK_ctnoti_netcore_mkt_N_N_active_20250428_1100_hungry-hub-cash--voucher-apr25</t>
  </si>
  <si>
    <t>Unlock Your Freedom with Cash Voucher</t>
  </si>
  <si>
    <t>Order anything you love without set menu limits. Spend your credit however you want! Click to learn more 👉</t>
  </si>
  <si>
    <t>EN_BKK_ctnoti_netcore_single_N_N_active_20250428_1500_pick-28ventotto-apr25</t>
  </si>
  <si>
    <t>28Ventotto Extra 20% Off</t>
  </si>
  <si>
    <t>Chill with fusion dishes in a cozy garden café vibe. Limited offer until May 8. Book now 👉</t>
  </si>
  <si>
    <t>TH_BKK_ctnoti_netcore_single_N_N_active_20250428_1500_pick-28ventotto-apr25</t>
  </si>
  <si>
    <t>28Ventotto ลดเพิ่ม 20%</t>
  </si>
  <si>
    <t>อิ่มอร่อยกับเมนููฟิวชั่นนานาชาติ ฟิลคาเฟ่ริมสวนหลังบ้านฟิลดี ในราคาพิเศษ จนถึง 8 พ.ค. เท่านั้น จองเลย 👉</t>
  </si>
  <si>
    <t>EN_BKK_ctnoti_netcore_single_N_N_active_20250428_1700_bangkok-sky-buffet-apr25</t>
  </si>
  <si>
    <t>Baiyoke Durian Fever Buffet!</t>
  </si>
  <si>
    <t>Indulge in creative durian dishes and seafood feasts at the 76th &amp; 78th floors. Just 1,490 THB. Book now 👉</t>
  </si>
  <si>
    <t>TH_BKK_ctnoti_netcore_single_N_N_active_20250428_1700_bangkok-sky-buffet-apr25</t>
  </si>
  <si>
    <t>ใบหยกบุฟเฟต์ ทุเรียนฟีเวอร์ มาแล้ว!!</t>
  </si>
  <si>
    <t>รวม 2 บุฟเฟต์สุดฮิตไว้ในที่เดียว ทั้งเมนูทุเรียนสุดครีเอทและซีฟู้ด ที่ชั้น 76 และ ชั้นที่ 78 เพียง 1,490 บาท เท่านั้น จองเลย 👉</t>
  </si>
  <si>
    <t>TH_BKK_ctnoti_netcore_single_N_N_active_20250429_1100_pick-vetmon-cafe-apr25</t>
  </si>
  <si>
    <t>🏰✨ เวทย์มนต์คาเฟ่ มาเยือนแล้ว</t>
  </si>
  <si>
    <t>มาร่ายคาถาเวทย์มนต์ เปิดมิติความอร่อย กับบรรยากาศสไตล์แฮร์รี่ พอตเตอร์ พร้อมสารพัดอาหารแห่งมนตรา ในราคาพิเศษ จองเลย</t>
  </si>
  <si>
    <t>EN_BKK_ctnoti_netcore_single_N_N_active_20250429_1100_pick-vetmon-cafe-apr25</t>
  </si>
  <si>
    <t>🏰✨ Vetmon Cafe Is Here!</t>
  </si>
  <si>
    <t>Step into a spellbinding world of flavors in a Harry Potter-inspired setting. Enjoy magical dishes at a special price. Book now 👉</t>
  </si>
  <si>
    <t>EN_BKK_ctnoti_netcore_single_N_N_active_20250429_1500_albricias-at-chatrium-apr25</t>
  </si>
  <si>
    <t>🇪🇸 Albricias: Come 3 Pay 2!</t>
  </si>
  <si>
    <t>Feast on Spanish cuisine buffet with a free premium dish &amp; unlimited drinks. Only 1,526 THB/person until 30 June!</t>
  </si>
  <si>
    <t>TH_BKK_ctnoti_netcore_single_N_N_active_20250429_1500_albricias-at-chatrium-apr25</t>
  </si>
  <si>
    <t>🇪🇸 Albricias มา 3 จ่ายแค่ 2 !!</t>
  </si>
  <si>
    <t>อร่อยหรูสุดคุ้ม กับบุฟเฟต์อาหารสเปน พร้อมรับ 1 เมนูสุดพิเศษ และเครื่องดื่มไม่อั้น เพียง 1,526 ต่อท่าน วันนี้ - 30 มิ.ย. เท่านั้น</t>
  </si>
  <si>
    <t>EN_BKK_ctnoti_netcore_single_N_N_active_20250429_1700_great-harbour-apr25</t>
  </si>
  <si>
    <t>⚡️ Last Chance: Great Harbour Durian Buffet!</t>
  </si>
  <si>
    <t>Don't miss the Durian Festival + 200+ international dishes. All-you-can-eat at just 1,493 THB. Until 30 April only!</t>
  </si>
  <si>
    <t>TH_BKK_ctnoti_netcore_single_N_N_active_20250429_1700_great-harbour-apr25</t>
  </si>
  <si>
    <t>⚡️ โอกาสสุดท้าย Great Harbour บุฟเฟต์ทุเรียน</t>
  </si>
  <si>
    <t>จองด่วน! กับเทศกาลบุฟเฟ่ต์ทุเรียน พร้อมเต็มอิ่มกับบุฟเฟต์นานาชาติกว่า 200 เมนูไม่อั้น เพียง 1,493 บาท ตั้งแแต่วันนี้ - 30 เม.ย. เท่านั้น</t>
  </si>
  <si>
    <t>TH_BKK_ctnoti_netcore_group_N_N_active_20250430_1100_weekly-new-week4-apr25</t>
  </si>
  <si>
    <t>EN_BKK_ctnoti_netcore_group_N_N_active_20250430_1100_weekly-new-week4-apr25</t>
  </si>
  <si>
    <t>EN_BKK_ctnoti_netcore_single_N_N_active_20250430_1500_pick-laohu-shabu-buffet-apr25</t>
  </si>
  <si>
    <t>🥢 Thai-Chinese Shabu Buffet Just 287.-</t>
  </si>
  <si>
    <t>Book Laohu Shabu Buffet now! Enjoy premium menus + extra 20% off &amp; unlimited special dishes only on Hungry Hub.</t>
  </si>
  <si>
    <t>TH_BKK_ctnoti_netcore_single_N_N_active_20250430_1500_pick-laohu-shabu-buffet-apr25</t>
  </si>
  <si>
    <t>🥢 บุฟเฟต์ชาบูไทย-จีน จ่ายเบาๆ 287.-</t>
  </si>
  <si>
    <t>จองเลย Laohu Shabu Buffet บุฟเฟต์ชาบูพร้อมเมนูพรีเมียมมากมาย พิเศษเฉพาะลูกค้ Hungry Hub ลดเพิ่ม 20% และรับเมนูพิเศษทานได้ไม่อั้น</t>
  </si>
  <si>
    <t>Come for Thai-Chinese Shabu Buffet Pay 287.-</t>
  </si>
  <si>
    <t>EN_BKK_ctnoti_netcore_group_N_N_active_20250430_1700_manee-me-more-apr25</t>
  </si>
  <si>
    <t>🔥 10% Off at Manee Me More</t>
  </si>
  <si>
    <t>Enjoy unlimited Shabu with rich shrimp paste broth, beef, pork &amp; seafood — starting at just 479 THB. Book now!</t>
  </si>
  <si>
    <t>TH_BKK_ctnoti_netcore_group_N_N_active_20250430_1700_manee-me-more-apr25</t>
  </si>
  <si>
    <t>🔥 ลด 10% กับ มานี มีหม้อ</t>
  </si>
  <si>
    <t>อิ่มไม่อั้นกับชาบูมันกุ้ง หนึ่งเดียวในไทยแลนด์ พร้อมเมนูเนื้อ หมู ซีฟู้ด และอีกมากมาย เริ่มต้นเพียง 479  บาท จองเลย</t>
  </si>
  <si>
    <t>EN_BKK_ctnoti_netcore_single_N_N_active_20250430_2000_copper-beyond-buffet-new-package-apr25</t>
  </si>
  <si>
    <t>🎉 9th Anniversary Special Deal!</t>
  </si>
  <si>
    <t>Unlimited Foie Gras at Copper Beyond Buffet (The Sense) for just 1,999 THB — only on Hungry Hub!</t>
  </si>
  <si>
    <t>TH_BKK_ctnoti_netcore_single_N_N_active_20250430_2000_copper-beyond-buffet-new-package-apr25</t>
  </si>
  <si>
    <t>🎉 ฉลองครบรอบ 9 ปี คุ้มยิ่งกว่าครั้งไหนๆ</t>
  </si>
  <si>
    <t>พิเศษเฉพาะ Copper Beyond Buffet สาขา The Sense อิ่มอร่อยกับฟัวกราส์ไม่อั้น ในราคาเพียง 1,999 บาท จองเลยที่ Hungry Hub เท่านั้น</t>
  </si>
  <si>
    <t>EN_BKK_ctnoti_netcore_single_N_N_active_20250501_1100_the-kitchen-table-may25</t>
  </si>
  <si>
    <t>🍽 Lunch Deal: 3 Pay 2!</t>
  </si>
  <si>
    <t>Enjoy unlimited buffet with international dishes, pasta &amp; dim sum at The Kitchen Table — just 526 THB until May 30!</t>
  </si>
  <si>
    <t>TH_BKK_ctnoti_netcore_single_N_N_active_20250501_1100_the-kitchen-table-may25</t>
  </si>
  <si>
    <t>มา 3 จ่าย 2 กับ The Kitchen Table</t>
  </si>
  <si>
    <t>ฟินรับมื้อเที่ยง กับบุฟเฟต์ไลน์ไม่อั้น ทั้งเมนูนานาชาติ พาสต้า ติ่มซำ และอีกมากมาย เพียง 526 บาท จนถึง 30 พ.ค. เท่านั้น</t>
  </si>
  <si>
    <t>EN_BKK_ctnoti_netcore_single_N_N_active_20250501_1500_pick-aground-cafe-and-restaurant-may25</t>
  </si>
  <si>
    <t>☕ Aground Cafe 20% Off!</t>
  </si>
  <si>
    <t>Enjoy homemade fusion dishes with secret recipes at a special price. Book by 26 June only!</t>
  </si>
  <si>
    <t>TH_BKK_ctnoti_netcore_single_N_N_active_20250501_1500_pick-aground-cafe-and-restaurant-may25</t>
  </si>
  <si>
    <t>☕ ลด 20% ที่ Aground Cafe</t>
  </si>
  <si>
    <t>สัมผัสรสชาติอาหารฟิวชั่นสไตล์โฮมเมด สูตรลับเฉพาะของร้าน ในราคาสุดพิเศษ จนถึง 26 มิ.ย. เท่านั้น จองเลย</t>
  </si>
  <si>
    <t>EN_BKK_ctnoti_netcore_single_N_N_active_20250501_1700_ads-baan-glom-gig-may25</t>
  </si>
  <si>
    <t>🍛 Baan Glom Gig Returns!</t>
  </si>
  <si>
    <t>Rediscover comforting Thai flavors, just like mom's. From only 545 THB. Book now!</t>
  </si>
  <si>
    <t>TH_BKK_ctnoti_netcore_single_N_N_active_20250501_1700_ads-baan-glom-gig-may25</t>
  </si>
  <si>
    <t>🍛 บ้านกลมกิ๊ก กลับมาแล้ว</t>
  </si>
  <si>
    <t>หวนคืนกลิ่นอายที่คุ้นเคยในย่านเพลินจิต กับอาหารไทยอารมณ์ดี สูตรลับฉบับรสมือแม่ เริ่มต้นเพียง 545 บาท เท่านั้น จองเลย</t>
  </si>
  <si>
    <t>TH_BKK_ctnoti_netcore_group_N_N_active_20250502_1100_thailand-s-ultimate-omakase-may25</t>
  </si>
  <si>
    <t>🍣 Omakase Odyssey เริ่มต้่นแล้ว!</t>
  </si>
  <si>
    <t>ชวนสัมผัสประสบการณ์โอมากาเสะสุดพิเศษ กับดีลโอมากาเสะที่เยอะที่สุดในไทย เริ่มต้นเพียง 499 บาท วันนี้ - 15 พ.ค. 68 เท่านั้น</t>
  </si>
  <si>
    <t>EN_BKK_ctnoti_netcore_group_N_N_active_20250502_1100_thailand-s-ultimate-omakase-may25</t>
  </si>
  <si>
    <t>🍣 Omakase Odyssey Begins!</t>
  </si>
  <si>
    <t>Dive into Thailand’s top omakase deals, starting at just 499 THB. Until May 15!</t>
  </si>
  <si>
    <t>EN_BKK_ctnoti_netcore_single_N_N_active_20250502_1500_peak-shabu-pannarai-hotel-may25</t>
  </si>
  <si>
    <t>แ Rooftop Shabu Time!</t>
  </si>
  <si>
    <t>Enjoy Peak Shabu at Pannarai Hotel + get 3 exclusive dishes for Hungry Hub guests only!</t>
  </si>
  <si>
    <t>TH_BKK_ctnoti_netcore_single_N_N_active_20250502_1500_peak-shabu-pannarai-hotel-may25</t>
  </si>
  <si>
    <t>🥩 ชาบูเนื้อเน้นๆ นั่งชิลบนรูฟท็อป</t>
  </si>
  <si>
    <t>ห้ามพลาดกับ Peak Shabu Pannarai Hotel ชาบูฟิลบนรูฟท็อป เฉพาะลูกค้า Hungry Hub รับ 3 เมนูสุดพิเศษไปเลย</t>
  </si>
  <si>
    <t>EN_BKK_ctnoti_netcore_single_N_N_active_20250502_1700_seasonal-tastes-may25</t>
  </si>
  <si>
    <t>🍤 Seafood &amp; Grill with Seasonal Tastes</t>
  </si>
  <si>
    <t>Indulge in unlimited dinner buffets on Fridays &amp; Saturdays with grilled meats, seafood, Japanese, desserts &amp; more at a special price!</t>
  </si>
  <si>
    <t>TH_BKK_ctnoti_netcore_single_N_N_active_20250502_1700_seasonal-tastes-may25</t>
  </si>
  <si>
    <t>🍤 Seafood &amp; Grill กับ Seasonal Tastes</t>
  </si>
  <si>
    <t>อร่อยไม่อั้นทุกศุกร์--เสาร์ กับบุฟเฟต์มื้อค่ำ จากหลากหลยสเตชั่น อาทิ สเตชั่นเนื้อย่าง ซีฟู้ด ญี่ปุ่น ของหวาน และอีกมากมาย ในราคาสุดพิเศษ</t>
  </si>
  <si>
    <t>Sunday Family Time</t>
  </si>
  <si>
    <t>☀️ Sunday Family Time!!</t>
  </si>
  <si>
    <t>Sunday Family Time EN</t>
  </si>
  <si>
    <t>TH_BKK_ctnoti_netcore_single_N_N_active_20250505_1100_ads-cutts-sathorn-omakase-may25</t>
  </si>
  <si>
    <t>🍣 จะมื้อเที่ยง หรือ เย็น ก็ทานโอมากาเสะได้</t>
  </si>
  <si>
    <t>เลือกได้ตามใจกับ CUTTS Sathorn Omakase โอมากาเสะพรีเมียม จากตลาดปลาญี่ปุ่น ในราคาสุดพิเศษ เริ่มต้น 1,399 บาท เท่านั้น</t>
  </si>
  <si>
    <t>EN_BKK_ctnoti_netcore_single_N_N_active_20250505_1100_ads-cutts-sathorn-omakase-may25</t>
  </si>
  <si>
    <t>🍣 Lunch or Dinner Omakase Anytime!</t>
  </si>
  <si>
    <t>Customize your experience at CUTTS Sathorn Omakase with premium Japanese seafood, starting at just 1,399 THB!</t>
  </si>
  <si>
    <t>EN_BKK_ctnoti_netcore_single_N_N_active_20250505_1400_siam-paragon-tropical-fruit-parade-may25</t>
  </si>
  <si>
    <t>🌴 Last Day! Durian Buffet at Siam Paragon</t>
  </si>
  <si>
    <t>Hurry and book Tropical Fruit Parade 2025 — indulge in unlimited durian varieties and tropical fruits for just 899 THB!</t>
  </si>
  <si>
    <t>TH_BKK_ctnoti_netcore_single_N_N_active_20250505_1400_siam-paragon-tropical-fruit-parade-may25</t>
  </si>
  <si>
    <t>🌴 วันสุดท้าย บุฟเฟต์ทุเรียน สยามพารากอน</t>
  </si>
  <si>
    <t>รีบจองด่วนๆ Tropical Fruit Parade 2025 บุฟเฟต์ทุเรียนหลายสายพันธุ์ พร้อมอิ่มอร่อยไม่อั้นจากผลไม้นานาชนิด เพียง 899 บาท</t>
  </si>
  <si>
    <t>TH_BKK_ctnoti_netcore_group_N_N_active_20250505_1700_oishi-grand-may25</t>
  </si>
  <si>
    <t>Oishi Grand วันธรรมดาคุ้มกว่า!!</t>
  </si>
  <si>
    <t>อิ่มไม่อั้น กับ 140+ เมนูไลน์บุฟเฟต์อาหารญี่ปุ่นพรีเมียม พร้อมเลือกรับเมนูสุดพิเศษ เพียง 823 บาท จองเลย 👉</t>
  </si>
  <si>
    <t>4039, 4258</t>
  </si>
  <si>
    <t>EN_BKK_ctnoti_netcore_group_N_N_active_20250505_1700_oishi-grand-may25</t>
  </si>
  <si>
    <t>Weekday Deal at Oishi Grand!</t>
  </si>
  <si>
    <t>Enjoy 140+ premium Japanese buffet items plus special dishes for just 823 THB. Book now 👉</t>
  </si>
  <si>
    <t>EN_BKK_ctnoti_netcore_single_N_N_active_20250506_1100_about-beef-lava-grill-may25</t>
  </si>
  <si>
    <t>🔥 Durian + BBQ Buffet All Year!</t>
  </si>
  <si>
    <t>About Beef Lava Grill serves up premium grilled meats plus all-you-can-eat Mon Thong durian — pick your favorite cuts, just 1,159 THB!</t>
  </si>
  <si>
    <t>EN_BKK_ctnoti_netcore_single_N_N_active_20250506_1100_ads-the-square-at-novotel-bangkok-may25</t>
  </si>
  <si>
    <t>🦐 Come 4 Pay 3 with The Square</t>
  </si>
  <si>
    <t>TH_BKK_ctnoti_netcore_single_N_N_active_20250506_1100_about-beef-lava-grill-may25</t>
  </si>
  <si>
    <t>🔥 บุฟเฟต์ทุเรียน + ปิ้งย่าง ทานได้ตลอดทั้งปี</t>
  </si>
  <si>
    <t>About Beef Lava Grill จัดให้ทั้งคู่ กับเมนูปิ้งย่างพร้อมทุเรียนหมอนทองพรีเมียม เลือกเนื้อทุเรียนได้ตามใจ เพียง 1,159 บาท เท่านั้น</t>
  </si>
  <si>
    <t>TH_BKK_ctnoti_netcore_single_N_N_active_20250506_1100_ads-the-square-at-novotel-bangkok-may25</t>
  </si>
  <si>
    <t>🦐 มา 4 จ่าย 3 กับ The Square</t>
  </si>
  <si>
    <t>EN_BKK_ctnoti_netcore_single_N_N_active_20250506_1500_riverside-terrace-may25</t>
  </si>
  <si>
    <t>Come 2 Pay 1 Riverside Terrace!</t>
  </si>
  <si>
    <t>Feast on BBQ &amp; Seafood Buffet plus a stunning Thai Cultual Performances for just 999 THB, now until 30 June 👉</t>
  </si>
  <si>
    <t>TH_BKK_ctnoti_netcore_single_N_N_active_20250506_1500_riverside-terrace-may25</t>
  </si>
  <si>
    <t>มา 2 จ่าย 1 กับ Riverside Terrace!</t>
  </si>
  <si>
    <t>อิ่มอร่อยกับ BBQ &amp; Seafood Buffet พร้อมชมการแสดงสุดตระการตา ในราคาเพียง 999 บาท จนถึง 30 มิถุนายนเท่านั้น 👉</t>
  </si>
  <si>
    <t>EN_BKK_ctnoti_netcore_single_N_N_active_20250506_1700_koko-japanese-omakase-may25</t>
  </si>
  <si>
    <t>🍣 Value Omakase + Free Refill Green Tea!</t>
  </si>
  <si>
    <t>Indulge in overflowing hand rolls at Koko Japanese Omakase, plus unlimited green tea, just 770 THB. Book now 👉</t>
  </si>
  <si>
    <t>TH_BKK_ctnoti_netcore_single_N_N_active_20250506_1700_koko-japanese-omakase-may25</t>
  </si>
  <si>
    <t>🍣 โอมากาเสะสุดคุ้ม เติบชาเขียวฟรีไม่อั้น</t>
  </si>
  <si>
    <t>จัดเต็มกับแฮนด์โรลไส้ทะลัก จาก Koko Japanese Omakase พร้อมเติบชาเขียวฟรีไม่อั้น ในราคาพิเศษเพียง 770 บาท จองเลย 👉</t>
  </si>
  <si>
    <t>TH_BKK_ctnoti_netcore_group_N_N_active_20250507_1100_weekly-new-week1-may25</t>
  </si>
  <si>
    <t>EN_BKK_ctnoti_netcore_group_N_N_active_20250507_1100_weekly-new-week1-may25</t>
  </si>
  <si>
    <t>EN_BKK_ctnoti_netcore_single_N_N_active_20250507_1500_mexicano-restaurante-may25</t>
  </si>
  <si>
    <t>🌮 Mexicano is back!</t>
  </si>
  <si>
    <t>No need to fly far — enjoy unlimited authentic Mexican dishes like tacos, churrasco &amp; more for just 941 THB. Book now! 👉</t>
  </si>
  <si>
    <t>TH_BKK_ctnoti_netcore_single_N_N_active_20250507_1500_mexicano-restaurante-may25</t>
  </si>
  <si>
    <t>🌮 Mexicano กลับมาแล้ว!</t>
  </si>
  <si>
    <t>ไม่ต้องบินไปไกลก็ได้ทานอาหารเม็กซิกันแท้ๆ แบบไม่อั้น อาทิ ทาโก้ ชูราสโก้ และอีกมากมาย เพียง 941 บาท จองเลย</t>
  </si>
  <si>
    <t>Yes, YOHO, Suning, 6IXTY8IGHT, ZALORA, and CHARLES &amp; KEITH have offers available with X Pay.</t>
  </si>
  <si>
    <t>EN_BKK_ctnoti_netcore_single_N_N_active_20250507_1700_ads-the-square-at-novotel-siam-square-may25</t>
  </si>
  <si>
    <t>🍤 Come 4 Pay 3 with The Square</t>
  </si>
  <si>
    <t>Enjoy Unlimited River Prawn with Fusion delights &amp; chef’s table picks at Novotel Bangkok Siam Square now only 1,141 THB From 1,521 THB Till May 31 only!</t>
  </si>
  <si>
    <t>TH_BKK_ctnoti_netcore_single_N_N_active_20250507_1700_ads-the-square-at-novotel-siam-square-may25</t>
  </si>
  <si>
    <t>🍤 มา 4 จ่าย 3 กับ The Square</t>
  </si>
  <si>
    <t>อิ่มจุใจกับบุฟเฟต์กุ้งแม่น้ำ เมนูฟิวชั่น และเมนูซิกเนเจอร์สไตล์เชฟเทเบิ้ล ที่ Novotel Bangkok Siam Square จ่ายเพียง 1,141 บาท จากปกติ 1,521 บาท วันนี้ - 31 พ.ค. เท่านั้น จองเลย!</t>
  </si>
  <si>
    <t>EN_BKK_ctnoti_netcore_group_N_N_active_20250507_1900_copper-beyond-buffet-mayround2-may25</t>
  </si>
  <si>
    <t>🥂 Find Your Happy Moment with Copper Buffet</t>
  </si>
  <si>
    <t>Reservations open at 10 AM for May 16–31! Indulge in premium dishes crafted by Michelin-star chefs, offering a fine dining experience without limits. Book now! 👉</t>
  </si>
  <si>
    <t>TH_BKK_ctnoti_netcore_group_N_N_active_20250507_1900_copper-beyond-buffet-mayround2-may25</t>
  </si>
  <si>
    <t>🥂 ค้นหาความสุข สุดคุ้มกับ Copper Buffet</t>
  </si>
  <si>
    <t>10 โมงเช้า เตรียมจองรอบ 16-31 พ.ค. พร้อมเต็มอิ่มกับเมนูพรีเมียมมากมาย รังสงรรค์จากเชฟมิชลินสตาร์ คุณภาพเทียบเท่า Fine Dining</t>
  </si>
  <si>
    <t>EN_BKK_ctnoti_netcore_group_N_N_active_20250508_900_copper-beyond-buffet-premayround2-may25</t>
  </si>
  <si>
    <t>Prepare to book Copper Beyond Buffet 2 Branches for May 16-31 with an exclusive world-class buffet package and special dishes!</t>
  </si>
  <si>
    <t>TH_BKK_ctnoti_netcore_group_N_N_active_20250508_900_copper-beyond-buffet-premayround2-may25</t>
  </si>
  <si>
    <t>เตรียมจองพร้อมกัน Copper Beyond Buffet ทั้ง 2 สาขา รอบ 16-31 พ.ค. พร้อมแพ็กเกจบุฟเฟต์ระดับเวิลด์คลาส และเมนูพิเศษอีกมากมาย</t>
  </si>
  <si>
    <t>EN_BKK_ctnoti_netcore_single_N_N_active_20250508_1500_w-omakase-pradit-manutham-may25</t>
  </si>
  <si>
    <t>🍣 Hokkaido Donburi Season is Here!</t>
  </si>
  <si>
    <t>Enjoy authentic Hokkaido flavors crafted by master chefs at W Omakase — special price only 999 THB. Book now! 👉</t>
  </si>
  <si>
    <t>No, the subject line "🍣 Hokkaido Donburi Season is Here!" does not contain an explicit offer such as "Come X Pay X".</t>
  </si>
  <si>
    <t>TH_BKK_ctnoti_netcore_single_N_N_active_20250508_1500_w-omakase-pradit-manutham-may25</t>
  </si>
  <si>
    <t>🍣 ฤดูกาล Hokkaido Donburi มาเยือนแล้ว</t>
  </si>
  <si>
    <t>สัมผัสความอร่อยแบบญี่ปุ่นแท้ๆ ส่งตรงจากฮอกไกโด ที่รังสรรค์โดยเชฟมากฝีมือ จาก W Omakase ในราคาพิเศษเพียง 999 บาท</t>
  </si>
  <si>
    <t>EN_BKK_ctnoti_netcore_single_N_N_active_20250508_1700_ads-lyon-french-cuisine-may25</t>
  </si>
  <si>
    <t>🍽 Lunch or Dinner in French Style</t>
  </si>
  <si>
    <t>Indulge in luxury French cuisine at Lyon French Cuisine, starting at just 607 THB. Book now! 👉</t>
  </si>
  <si>
    <t>TH_BKK_ctnoti_netcore_single_N_N_active_20250508_1700_ads-lyon-french-cuisine-may25</t>
  </si>
  <si>
    <t>🍽 เที่ยง-ค่ำ ก็ดินเนอร์ฝรั่งเศสได้</t>
  </si>
  <si>
    <t>เลือกได้ตามใจกับแพ็กเกจมื้อเที่ยง-ดินเนอร์ฝรั่งเศสสุดหรู จาก Lyon French Cuisine เริ่มต้นเพียง 607 บาทเท่านั้น จองเลย 👉</t>
  </si>
  <si>
    <t>TH_BKK_ctnoti_netcore_group_N_N_active_20250509_1100_before-long-weekend-may25</t>
  </si>
  <si>
    <t>🌴 หยุดยาวนี้ มีแพลนหรือยัง?</t>
  </si>
  <si>
    <t>กิน เที่ยว ให้สุดต้อนรับวันหยุดยาว กับร้านอาหาร และกิจกรรมมากมาย ในราคาสุดพิเศษ เฉพาะลูกค้า Hungry Hub เท่านั้น จองเลย 👉</t>
  </si>
  <si>
    <t>EN_BKK_ctnoti_netcore_group_N_N_active_20250509_1100_before-long-weekend-may25</t>
  </si>
  <si>
    <t>🌴 Long Weekend Plans?</t>
  </si>
  <si>
    <t>Make the most of your break with exclusive dining and activity deals—only on Hungry Hub. Book now! 👉</t>
  </si>
  <si>
    <t>EN_BKK_ctnoti_netcore_single_N_N_active_20250509_1500_romsai-banyan-tree-may25</t>
  </si>
  <si>
    <t>🥂 Come 2 Pay 1 at Romsai Banyan Tree</t>
  </si>
  <si>
    <t>Indulge in an international buffet + free-flow sparkling wine, just 1,132 THB until June 30. Book now! 👉</t>
  </si>
  <si>
    <t>TH_BKK_ctnoti_netcore_single_N_N_active_20250509_1500_romsai-banyan-tree-may25</t>
  </si>
  <si>
    <t>🥂 มา 2 จ่าย 1 กับ Romsai Banyan Tree</t>
  </si>
  <si>
    <t>อร่อยไม่อั้นต้อนรับสุดสัปดาห์ กับบุฟเฟต์นานาชาติ พร้อมสปาร์คกลิ้งไวน์ไม่อั้น ในราคาเพียง 1,132 บาท จนถึง 30 มิ.ย. เท่านั้น</t>
  </si>
  <si>
    <t>EN_BKK_ctnoti_netcore_single_N_N_active_20250509_1700_ads-kichi-omakase-bangkok-may25</t>
  </si>
  <si>
    <t>🍣 Kichi Omakase is here!</t>
  </si>
  <si>
    <t>Savor a top-tier 19-course omakase, with seafood straight from Toyosu Market, only 2,500 THB. Book now! 👉</t>
  </si>
  <si>
    <t>TH_BKK_ctnoti_netcore_single_N_N_active_20250509_1700_ads-kichi-omakase-bangkok-may25</t>
  </si>
  <si>
    <t>🍣 Kichi Omakase มาแล้ว</t>
  </si>
  <si>
    <t>สัมผัสโอมากาเสะชั้นเลิศ ส่งตรงจากตลาดโทโยสุ ตลาดปลาที่ใหญ่และดีที่สุดในโลก พร้อมเต็มอิ่มกับ 19 คอร์สในราคพิเศษเพียง 2,500 บาท</t>
  </si>
  <si>
    <t>EN_BKK_ctnoti_netcore_single_N_N_active_20250510_1100_jw-cafe-at-jw-marriott-may25</t>
  </si>
  <si>
    <t>☔ JW Café Rainy Deal!</t>
  </si>
  <si>
    <t>Come 2 Pay 1 for lunch or dinner international buffet, from just 495 THB. Until June 30 only! Book now 👉</t>
  </si>
  <si>
    <t>No, the exact phrase "Come X Pay X" is not in the subject line, but a deal or offer is implied by "Rainy Deal".</t>
  </si>
  <si>
    <t>TH_BKK_ctnoti_netcore_single_N_N_active_20250510_1100_jw-cafe-at-jw-marriott-may25</t>
  </si>
  <si>
    <t>☔ JW Cafe โปรแรงยังมีอยู่</t>
  </si>
  <si>
    <t>คุ้มท้าลมฝน กับโปรมา 2 จ่าย 1 บุฟเฟต์นานาชาติมื้อเที่ยง-ดินเนอร์ ในราคาพิเศษ เริ่มต้นเพียง 495 บาท จนถึง 30 มิ.ย. เท่านั้น</t>
  </si>
  <si>
    <t>The subject line mentions a strong promotion ("โปรแรง"), but the specific "Come X Pay X" offer details are not in the provided text or the search results. The search result mentions a 28% discount.</t>
  </si>
  <si>
    <t>EN_BKK_ctnoti_netcore_single_N_N_active_20250510_1500_pick-sushi-koge-omakase-may25</t>
  </si>
  <si>
    <t>🍣 Sushi Koge 30% Off!</t>
  </si>
  <si>
    <t>Indulge in premium 15-course Edo-style omakase, now just 2,290 THB. Book now! 👉</t>
  </si>
  <si>
    <t>TH_BKK_ctnoti_netcore_single_N_N_active_20250510_1500_pick-sushi-koge-omakase-may25</t>
  </si>
  <si>
    <t>🍣 ลด 30% Sushi Koge</t>
  </si>
  <si>
    <t>ต่อความฟินกันยาวๆ กับ 15 คอร์สพรีเมียมโอมากาเสะ สไตล์เอโดะ ในราคาพิเศษ เพียง 2,290 บาท เท่านั้น จองเลย</t>
  </si>
  <si>
    <t>EN_BKK_ctnoti_netcore_group_N_N_active_20250510_1700_ads-pengyou-cuisine-specialty-bar-may25</t>
  </si>
  <si>
    <t>🥟 Unlimited Dim Sum Feast!</t>
  </si>
  <si>
    <t>Pengyou Cuisine serves fresh dim sum, roast duck, crispy pork &amp; more, from just 990 THB. Book now! 👉</t>
  </si>
  <si>
    <t>TH_BKK_ctnoti_netcore_group_N_N_active_20250510_1700_ads-pengyou-cuisine-specialty-bar-may25</t>
  </si>
  <si>
    <t>🥟 บุฟเฟต์ติ่มซำ คุ้มตั้งแต่นาทีแรก</t>
  </si>
  <si>
    <t>Pengyou Cuisine &amp; Specialty Bar จัดให้กับติ่มซำปั้นสด พร้อมเป็ดย่าง หมูแดง หมูกรอบ สั่งได้ไม่อั้น ในราคาเริ่มต้นเพียง 990 บาท จองเลย</t>
  </si>
  <si>
    <t>5684, 5685</t>
  </si>
  <si>
    <t>TH_BKK_ctnoti_netcore_single_N_N_active_20250511_1100_pick-hao-chi-kitchen-at-cassia-rama-9-may25</t>
  </si>
  <si>
    <t>🥢 Hao Chi Kitchen มาแล้ว</t>
  </si>
  <si>
    <t>ลิ้มลองกับมื้อเที่ยง เซ็ตติ่มซำ และอาหารจีน ไทย ตะวันตกอีกมากมาย ในโรงแรม Cassia แห่งแรกในกรุงเทพ เริ่มต้น 316 บาท จองเลย</t>
  </si>
  <si>
    <t>EN_BKK_ctnoti_netcore_single_N_N_active_20250511_1100_pick-hao-chi-kitchen-at-cassia-rama-9-may25</t>
  </si>
  <si>
    <t>🥢 Hao Chi Kitchen Is Here!</t>
  </si>
  <si>
    <t>Enjoy dim sum lunch sets &amp; Chinese, Thai, Western dishes at Cassia Bangkok. From just 316 THB. Book now! 👉</t>
  </si>
  <si>
    <t>EN_BKK_ctnoti_netcore_single_N_N_active_20250511_1500_shoko-omakase-bangkok-may25__</t>
  </si>
  <si>
    <t>🌸 Relax at Shoko Omakase</t>
  </si>
  <si>
    <t>TH_BKK_ctnoti_netcore_single_N_N_active_20250511_1500_shoko-omakase-bangkok-may25__</t>
  </si>
  <si>
    <t>🌸 วันหยุดแบบนี้ต้องลอง Shoko Omakase</t>
  </si>
  <si>
    <t>TH_BKK_ctnoti_netcore_group_N_N_active_20250511_1700_ads-luna-48-rooftop-bar-may25</t>
  </si>
  <si>
    <t>🌇 ใกล้ค่ำแล้ว ได้เวลาปาร์ตี้</t>
  </si>
  <si>
    <t>สนุกรับตะวันตกดิน กับ LUNA 48 รูฟท็อปบาร์แห่งใหม่ใจกลางกรุง ชมวิวสวยๆ พร้อมอิ่มอร่อยกับเมนูนานาชาติ เริ่มต้นเพียง 322 บาท จองเลย</t>
  </si>
  <si>
    <t>EN_BKK_ctnoti_netcore_group_N_N_active_20250511_1700_ads-luna-48-rooftop-bar-may25</t>
  </si>
  <si>
    <t>🌇 Sunset Fun at LUNA 48 Rooftop</t>
  </si>
  <si>
    <t>Chill at the new rooftop bar in town! Enjoy stunning views &amp; international bites from just 322 THB. Book now! 👉</t>
  </si>
  <si>
    <t>EN_BKK_ctnoti_netcore_group_N_N_active_20250512_1100_the-luxe-of-taste-final-may25</t>
  </si>
  <si>
    <t>🌟 Discover Luxurious Dining Without Leaving Thailand</t>
  </si>
  <si>
    <t>Enjoy exclusive culinary experiences curated by The Luxe of Taste x Hungry Hub, with special discounts — only here!</t>
  </si>
  <si>
    <t>TH_BKK_ctnoti_netcore_group_N_N_active_20250512_1100_the-luxe-of-taste-final-may25</t>
  </si>
  <si>
    <t>🌟 เที่ยวไทย ก็สัมผัสประการณ์สุดพิเศษได้</t>
  </si>
  <si>
    <t>ไม่ต้องไปไหนไกล ก็เพลินเพลินกับร้านอาหารสุดพิเศษหลากหลายได้ง่ายๆ จากโครงการ The Luxe of Taste และ Hungry Hub พร้อมส่วนลดสุดพิเศษ เฉพาะที่นี่เท่านั้น</t>
  </si>
  <si>
    <t>EN_BKK_ctnoti_netcore_single_N_N_active_20250512_1500_pick-gingerbread-house-may25</t>
  </si>
  <si>
    <t>🏡 Gingerbread House is here!!</t>
  </si>
  <si>
    <t>Relax in a charming Thai heritage house with a special Afternoon Tea set. Don’t miss out — book now! 👉</t>
  </si>
  <si>
    <t>TH_BKK_ctnoti_netcore_single_N_N_active_20250512_1500_pick-gingerbread-house-may25</t>
  </si>
  <si>
    <t>🏡 บ้านขนมปังขิง เสาชิงช้า มาแล้ว!!</t>
  </si>
  <si>
    <t>เติมเต็มวันพักผ่อนกับคาเฟ่ในเรือนไทยโบราณ ที่หาไม่ได้จากที่ไหน พร้อม Afternoon Tea ในราคาสุดพิเศษ จองเลย</t>
  </si>
  <si>
    <t>EN_BKK_ctnoti_netcore_single_N_N_active_20250512_1700_ads-deja-brew-lifestyle-cafe-may25</t>
  </si>
  <si>
    <t>🍽 Come 2 Pay 1 at Deja Brew!</t>
  </si>
  <si>
    <t>Enjoy an international buffet with special dishes + free-flow drinks, starting at just 395 THB until Aug 2! Book now 👉</t>
  </si>
  <si>
    <t>TH_BKK_ctnoti_netcore_single_N_N_active_20250512_1700_ads-deja-brew-lifestyle-cafe-may25</t>
  </si>
  <si>
    <t>🍽 มา 2 จ่าย 1 กับ Deja Brew Lifestyle Cafe</t>
  </si>
  <si>
    <t>คุ้มสุดๆ กับบุฟเฟต์นานาชาติ พร้อมเมนูพิเศษ และเครื่องดื่มไม่อั้น เริ่มต้นเพียง 395 บาท จนถึง 2 ส.ค. 68 เท่านั้น</t>
  </si>
  <si>
    <t>TH_BKK_ctnoti_netcore_group_N_N_active_20250514_1100_weekly-new-week2-may25</t>
  </si>
  <si>
    <t>🌧 ฝนตกต้องมีร่ม ถ้าหิวต้องมีร้านในใจ</t>
  </si>
  <si>
    <t>ฝนตกแบบนี้ นึกไม่ออกจะไปไหน แวะดูร้านมาใหม่ประจำสัปดาห์ พิเศษ! เมื่อจองพร้อมรีวิวเป็น 5 คนแรก ของร้านใหม่แต่ละร้าน รับฟรี! ส่วนลดสูงสุด 200 บาท</t>
  </si>
  <si>
    <t>EN_BKK_ctnoti_netcore_group_N_N_active_20250514_1100_weekly-new-week2-may25</t>
  </si>
  <si>
    <t>🌧 Rainy Days? Dine Your Way!</t>
  </si>
  <si>
    <t>Check out this week’s new restaurants! Be among the first 5 to book &amp; review each place to get up to 200 THB off!</t>
  </si>
  <si>
    <t>EN_BKK_ctnoti_netcore_single_N_N_active_20250514_1500_pick-soulbrew-cafe-bistro-may25</t>
  </si>
  <si>
    <t>🐾 SoulBrew Café &amp; Bistro is here!</t>
  </si>
  <si>
    <t>Bring your furry friend to enjoy Gothic vibes and cozy bites. Dive into European-style dishes from just 290 THB!</t>
  </si>
  <si>
    <t>TH_BKK_ctnoti_netcore_single_N_N_active_20250514_1500_pick-soulbrew-cafe-bistro-may25</t>
  </si>
  <si>
    <t>🐾 SoulBrew Café &amp; Bistro มาแล้ว!!</t>
  </si>
  <si>
    <t>พาน้องสัตว์เลี้ยงคู่ใจ มาท่องเที่ยวในโลกสไตล์ Gothic บรรยากาศสุดชิล พร้อมอิ่มอร่อยกับเมนูยุโรปมากมาย เริ่มต้น 290 บาท</t>
  </si>
  <si>
    <t>EN_BKK_ctnoti_netcore_single_N_N_active_20250514_1700_ads-purple-laurel-may25</t>
  </si>
  <si>
    <t>🥢 New Fine Dining Cantonese Experience!</t>
  </si>
  <si>
    <t>Discover Purple Laurel at Gaysorn Amarin — premium Cantonese cuisine crafted by a Michelin-starred chef. Starting at just 995 THB!</t>
  </si>
  <si>
    <t>TH_BKK_ctnoti_netcore_single_N_N_active_20250514_1700_ads-purple-laurel-may25</t>
  </si>
  <si>
    <t>🥢 ไฟน์ไดนิ่งจีนเปิดใหม่ จากเชฟมิชลินสตาร์!!</t>
  </si>
  <si>
    <t>ลองเลย Purple Laurel ร้านอาหารีนกวางตุ้งไฟน์ไดนิ่ง ใน Gaysorn Amarin รังสรรค์ความอร่อยจจากเชฟมิชลินสตาร์ เริ่มต้นเพียง 995 บาท</t>
  </si>
  <si>
    <t>TH_BKK_ctnoti_netcore_group_N_N_active_20250515_1300_final-thailand-s-ultimate-omakase-may25</t>
  </si>
  <si>
    <t>🍣 โอกาสสุดท้าย Omakase Odyssey</t>
  </si>
  <si>
    <t>รีบมาสัมผัสประสบการณ์โอมากาเสะสุดพิเศษ กับดีลโอมากาเสะที่เยอะที่สุดในไทย เริ่มต้นเพียง 499 บาท วันนี้ - 15 พ.ค. 68 เท่านั้น</t>
  </si>
  <si>
    <t>No, the subject line "🍣 โอกาสสุดท้าย Omakase Odyssey" (translated as "🍣 Last Chance Omakase Odyssey") does not contain a "Come X Pay X" offer.</t>
  </si>
  <si>
    <t>EN_BKK_ctnoti_netcore_group_N_N_active_20250515_1300_final-thailand-s-ultimate-omakase-may25</t>
  </si>
  <si>
    <t>🍣 Final Call for Omakase Odyssey!</t>
  </si>
  <si>
    <t>Don’t miss Thailand’s biggest omakase deal festival. Exclusive sets from just 499 THB, now until 15 May 2025 only!</t>
  </si>
  <si>
    <t>Please clarify what you would like to generate or extract from the data.</t>
  </si>
  <si>
    <t>EN_BKK_ctnoti_netcore_single_N_N_active_20250515_1700_ads-meridian-cruise-may25</t>
  </si>
  <si>
    <t>🛳️ Dine 4 Pay 3 on Meridian Cruise</t>
  </si>
  <si>
    <t>Experience Chao Phraya dinner cruise with buffet delights—only 674 THB per person! Book now until 30 Sep only!</t>
  </si>
  <si>
    <t>TH_BKK_ctnoti_netcore_single_N_N_active_20250515_1700_ads-meridian-cruise-may25</t>
  </si>
  <si>
    <t>🛳️ มา 4 จ่าย 3 กับ Meridian Cruise</t>
  </si>
  <si>
    <t>สัมผัสประสบการณ์การล่องเรือดินเนอร์เจ้าพระยา ที่พิเศษกว่าที่เคยกับเมนูบุฟเฟต์มากมาย ในราคาเพียง 674 บาท ลดถึง 30 ก.ย. เท่านั้น</t>
  </si>
  <si>
    <t>มา 4 จ่าย 3 (Come 4 Pay 3)</t>
  </si>
  <si>
    <t>5900, 6460</t>
  </si>
  <si>
    <t>TH_BKK_ctnoti_netcore_single_N_N_active_20250516_1100_ava-brasserie-may25</t>
  </si>
  <si>
    <t>🍳 มา 2 จ่าย 1 กับ Ava Brasserie</t>
  </si>
  <si>
    <t>เริ่มต้นวันใหม่อย่างสมบูรณ์แบบ กับบุฟเฟต์มื้อเช้า 3 ชั่วโมงเต็ม อาทิ Egg Journey และอีกมากมาย ในราคาพิเศษเพียง 525 บาท ถึง 31 พ.ค. เท่านั้น</t>
  </si>
  <si>
    <t>EN_BKK_ctnoti_netcore_single_N_N_active_20250516_1100_ava-brasserie-may25</t>
  </si>
  <si>
    <t>🍳 Buy 1 Get 1 at Ava Brasserie</t>
  </si>
  <si>
    <t>Kickstart your day with a 3-hour breakfast buffet, including the Egg Journey, for just 525 THB! Until 31 May only.</t>
  </si>
  <si>
    <t>Yes, "Buy 1 Get 1" is an offer.</t>
  </si>
  <si>
    <t>EN_BKK_ctnoti_netcore_single_N_N_active_20250516_1500_chinda-buffet-may25</t>
  </si>
  <si>
    <t>🥢 Chinda Hot Pot Buffet is Here!</t>
  </si>
  <si>
    <t>Book ahead anytime and enjoy unlimited conveyor belt picks — pork collar, Aussie beef &amp; more. Just 359 THB!</t>
  </si>
  <si>
    <t>TH_BKK_ctnoti_netcore_single_N_N_active_20250516_1500_chinda-buffet-may25</t>
  </si>
  <si>
    <t>🥢 สุกี้จินดา บุฟเฟต์มาแล้ว!!</t>
  </si>
  <si>
    <t>อยากกินตอนไหน จองล่วงหน้าก่อนได้เลย พร้อมเต็มอิ่มกับเมนูสายพานไม่อั้น ทั้งสันคอ เนื้อออส และอีกมากมาย พิเศษ 359 บาท</t>
  </si>
  <si>
    <t>No, the subject line does not specify a "Come X Pay X" offer, but it announces that Suki Jinda now has a buffet.</t>
  </si>
  <si>
    <t>EN_BKK_ctnoti_netcore_single_N_N_active_20250516_1700_ads-throwback-bangkok-may25</t>
  </si>
  <si>
    <t>☔ Rainy Deal at Throwback Rooftop</t>
  </si>
  <si>
    <t>Enjoy 15% off on 2 curated sets—3 dishes with a bottle of wine or 2 dishes with alcohol. From just 450 THB/person!</t>
  </si>
  <si>
    <t>TH_BKK_ctnoti_netcore_single_N_N_active_20250516_1700_ads-throwback-bangkok-may25</t>
  </si>
  <si>
    <t>☔ ลดท้าฝนกับ Throwback Rooftop</t>
  </si>
  <si>
    <t>ลด 15% สุดคุ้ม กับ 2 แพ็กเกจเด็ด ทั้ง เซ็ต 3 เมนูพร้อมไวน์ 1 ขวด และ เซ็ต 2 เมนู พร้อมเครื่องดื่มแอลกอฮอล์ เริ่มต้นคนละ 450 บาท เท่านั้น</t>
  </si>
  <si>
    <t>The specific offer "Come X Pay X" is not found in the context. However, a search result states that "X is defined as the amount paid and is zero otherwise."</t>
  </si>
  <si>
    <t>TH_BKK_ctnoti_netcore_single_N_N_active_20250517_1100_the-map-mestyle-may25</t>
  </si>
  <si>
    <t>🍤 มา 4 จ่าย 3 กับ The Map Mestyle</t>
  </si>
  <si>
    <t>อิ่มไม่อั้นไม่จำกัดเวลา กับขบวนซีฟู้ดบุฟเฟต์ มาครบทั้งกุ้งแม่น้ำ หอย แซลมอน ซาชิมิ อาหารไทย และอีกเพียบ เพียง 644 บาท เท่านั้น จองเลย</t>
  </si>
  <si>
    <t>EN_BKK_ctnoti_netcore_single_N_N_active_20250517_1100_the-map-mestyle-may25</t>
  </si>
  <si>
    <t>🍤 Come 4 Pay 3 at The Map Mestyle</t>
  </si>
  <si>
    <t>Indulge in unlimited seafood buffet—river prawns, oysters, salmon sashimi, Thai dishes &amp; more. Just 644 THB! Book now.</t>
  </si>
  <si>
    <t>EN_BKK_ctnoti_netcore_single_N_N_active_20250517_1500_igniv-bangkok-may25</t>
  </si>
  <si>
    <t>⭐ Michelin-Starred Dining Awaits</t>
  </si>
  <si>
    <t>Experience fine dining at IGNIV Bangkok by a 3-star Michelin chef from Switzerland. Starting at 1,883 THB. Book now.</t>
  </si>
  <si>
    <t>TH_BKK_ctnoti_netcore_single_N_N_active_20250517_1500_igniv-bangkok-may25</t>
  </si>
  <si>
    <t>⭐ ที่สุดของร้านมิชลินสตาร์ 1 ดาว อยู่ที่นี่แล้ว</t>
  </si>
  <si>
    <t>ลิ้มลองรสชาติที่เหนือระดับ ที่ IGNIV Bangkok ไฟน์ไดนิ่งชั้นเลิศ จากเชฟมิชลินสตาร์ 3 ดาว ในสวิตเซอร์แลนด์ เริ่มต้น 1,883 จองเลย</t>
  </si>
  <si>
    <t>EN_BKK_ctnoti_netcore_single_N_N_active_20250517_1700_ads-albricias-at-chatrium-may25</t>
  </si>
  <si>
    <t>🥘 3 Pay 2 at Albricias</t>
  </si>
  <si>
    <t>Indulge in unlimited international &amp; Spanish buffet with 1 special dish for just 1,526 THB. Until 30 June only!</t>
  </si>
  <si>
    <t>TH_BKK_ctnoti_netcore_single_N_N_active_20250517_1700_ads-albricias-at-chatrium-may25</t>
  </si>
  <si>
    <t>🥘 มา 3 จ่าย 2 กับ Albricias</t>
  </si>
  <si>
    <t>เต็มอิ่มกับบุฟเฟต์นานาชาติ และอาหารสเปนไม่อั้น พร้อมเลือกรับ 1 เมนู สุดพิเศษ เพียง 1,526 บาท ตั้งแต่วันนี้ถึง 30 มิ.ย. เท่านั้น</t>
  </si>
  <si>
    <t>TH_BKK_ctnoti_netcore_group_N_N_active_20250519_1100_ultimate-fine-dining-destination-may25</t>
  </si>
  <si>
    <t>🍽️ รวมดีลดี Fine Dining มากที่สุดในไทย</t>
  </si>
  <si>
    <t>เริ่มแล้ว! มหกรรมรวมดีล Fine Dining สุดพิเศษที่มากที่สุดในไทย กับดีลจากร้านอาหารหรูชื่อดัง ในราคาสุดพิเศษ วันนี้ - 31 พ.ค. เท่านั้น</t>
  </si>
  <si>
    <t>EN_BKK_ctnoti_netcore_group_N_N_active_20250519_1100_ultimate-fine-dining-destination-may25</t>
  </si>
  <si>
    <t>🍽️ Thailand’s Biggest Fine Dining Deals</t>
  </si>
  <si>
    <t>Experience top fine dining at special prices from Thailand’s most luxurious restaurants. Now – 31 May only!</t>
  </si>
  <si>
    <t>EN_BKK_ctnoti_netcore_single_N_N_active_20250519_1500_xin-tian-di-crowne-plaza-may25</t>
  </si>
  <si>
    <t>🥟 Dimsum Buffet: Come 3 Pay 2!</t>
  </si>
  <si>
    <t>Enjoy a family feast at Xin Tian Di with unlimited dim sum + special dishes, only 592 THB. Now – 30 June only! Book now 👉</t>
  </si>
  <si>
    <t>TH_BKK_ctnoti_netcore_single_N_N_active_20250519_1500_xin-tian-di-crowne-plaza-may25</t>
  </si>
  <si>
    <t>🥟 มา 3 จ่าย 2 กับ Xin Tian Di</t>
  </si>
  <si>
    <t>อร่อยทั้งครอบครัวกับบุฟเฟต์ติ่มซำ พร้อมเลือกรับเมนูสุดพิเศษ ในราคาเพียง 592 บาท ตั้งแต่วันนี้ - 30 มิ.ย. เท่านั้น จองเลย</t>
  </si>
  <si>
    <t>EN_BKK_ctnoti_netcore_single_N_N_active_20250519_1700_gravity-87-rooftop-may25</t>
  </si>
  <si>
    <t>🌆 20% Off at Gravity 87 Rooftop</t>
  </si>
  <si>
    <t>Chill with city views and unique vibes, plus enjoy a premium tapas set at a special price. Book now 👉</t>
  </si>
  <si>
    <t>TH_BKK_ctnoti_netcore_single_N_N_active_20250519_1700_gravity-87-rooftop-may25</t>
  </si>
  <si>
    <t>🌆 ลด 20% Gravity 87 Rooftop</t>
  </si>
  <si>
    <t>สัมผัสกับไวบ์รูปแบบใหม่ที่ไม่เหมือนใคร กับรูฟท็อปวิวสวยใจกลางเมือง พร้อมเซ็ตทาปาสในราคาสุดพิเศษ จองเลย</t>
  </si>
  <si>
    <t>TH_BKK_ctnoti_netcore_group_N_N_active_20250520_1100_dough-bros-may25</t>
  </si>
  <si>
    <t>🍕 พิซซ่าซาวโดวจ์ จากฮ่องกงมาถึงแล้ว!!</t>
  </si>
  <si>
    <t>ลองเลย Dough Bros พิซซ่าแป้งซาวโดวจ์ เจ้าดัง ทำสดใหม่ทุกเมนู กับ 3 สาขาใกล้บ้าน เริ่มต้น 262 บาท จองเลย</t>
  </si>
  <si>
    <t>EN_BKK_ctnoti_netcore_group_N_N_active_20250520_1100_dough-bros-may25</t>
  </si>
  <si>
    <t>🍕 Dough Bros Arrives from Hong Kong!</t>
  </si>
  <si>
    <t>Try the famous sourdough pizza made fresh to order. Available at 3 locations near you, starting from just 262 THB. Book now 👉</t>
  </si>
  <si>
    <t>EN_BKK_ctnoti_netcore_single_N_N_active_20250520_1500_the-crystal-grill-house-may25</t>
  </si>
  <si>
    <t>🥩 Up to 35% Off at The Crystal Grill House</t>
  </si>
  <si>
    <t>Experience premium steaks in a stunning glasshouse by the Chao Phraya River. Starting at just 500 THB. Book now 👉</t>
  </si>
  <si>
    <t>TH_BKK_ctnoti_netcore_single_N_N_active_20250520_1500_the-crystal-grill-house-may25</t>
  </si>
  <si>
    <t>🥩 ลดสูงสุด 35% กับ The Crystal Grill House</t>
  </si>
  <si>
    <t>ที่สุดของสเต็กเฮาส์ ฟิลกลาสเฮ้าส์ติดวิวแม่น้่ำเจ้าพระยา ในราาคาสุดพิเศษ เริ่มต้นเพียง 500 บาท เท่านั้น จองเลย</t>
  </si>
  <si>
    <t>EN_BKK_ctnoti_netcore_single_N_N_active_20250520_1700_ads-orchid-cafe-at-sheraton-may25</t>
  </si>
  <si>
    <t>🍽 2 for 1 at Orchid Cafe</t>
  </si>
  <si>
    <t>Indulge in unlimited seafood &amp; international buffet with soft drinks, Monday–Sunday. Just 913 THB. Until 30 June only!</t>
  </si>
  <si>
    <t>TH_BKK_ctnoti_netcore_single_N_N_active_20250520_1700_ads-orchid-cafe-at-sheraton-may25</t>
  </si>
  <si>
    <t>🍽 มา 2 จ่าย 1 กับ Orchid Cafe</t>
  </si>
  <si>
    <t>อิ่มไม่อั้นวันจันทร์ถึงอาทิตย์ กับบุฟเฟต์ซีฟู้ด นานาชาติ พร้อมเครื่องดื่มซอฟท์ดริ้งค์สุดพิเศษ เริ่มต้นเพียง 913 บาท ถึง 31 มิ.ย. เท่านั้น</t>
  </si>
  <si>
    <t>TH_BKK_ctemail_netcore_group_N_N_active_20250520_1730_weekly-new-week2-may25</t>
  </si>
  <si>
    <t>EN_BKK_ctemail_netcore_group_N_N_active_20250520_1730_weekly-new-week2-may25</t>
  </si>
  <si>
    <t>TH_BKK_ctnoti_netcore_single_N_N_active_20250521_1500_ads-rossini-s-at-sheraton-grande-may25</t>
  </si>
  <si>
    <t>🎷 มา 4 จ่าย 3 กับ Rossini's</t>
  </si>
  <si>
    <t>จองล่วงหน้าก่อนวันอาทิตย์ กับ Sunday Brunch Buffet อิ่มไม่อั้นกับบุฟเฟต์หลากสัญชาติ พร้อมฟังเพลงแจ๊ส ในราคาพิเศษเพียง 1,727 บาท</t>
  </si>
  <si>
    <t>EN_BKK_ctnoti_netcore_single_N_N_active_20250521_1500_ads-rossini-s-at-sheraton-grande-may25</t>
  </si>
  <si>
    <t>🎷 4 Pay 3 at Rossini's</t>
  </si>
  <si>
    <t>Book early for Sunday Brunch Buffet with live jazz &amp; global cuisine. Just 1,727 THB per person. Don’t miss it!</t>
  </si>
  <si>
    <t>EN_BKK_ctnoti_netcore_group_N_N_active_20250521_1700_copper-beyond-buffet-pre-june-may25</t>
  </si>
  <si>
    <t>🔥 Craft &amp; Warm Buffet with Copper</t>
  </si>
  <si>
    <t>Cozy up this rainy season with Copper’s premium buffet! Booking opens 10AM for June 1–15. Enjoy unlimited fine dining–level menus,</t>
  </si>
  <si>
    <t>TH_BKK_ctnoti_netcore_group_N_N_active_20250521_1700_copper-beyond-buffet-pre-june-may25</t>
  </si>
  <si>
    <t>🔥 Craft &amp; Warm Buffet กับ Copper</t>
  </si>
  <si>
    <t>หน้าฝนนี้อบอุ่นหัวใจ กับรอบจองบุฟเฟต์ 1-15 มิ.ย. 68 เปิดพร้อมกับ 10 โมงเช้า พร้อมเมนูระดับพรีเมียมมากมาย เทียบเท่า Fine Dining</t>
  </si>
  <si>
    <t>EN_BKK_ctnoti_netcore_group_N_N_active_20250522_900_copper-beyond-buffet-pre-june-may25</t>
  </si>
  <si>
    <t>Prepare to book Copper Beyond Buffet 2 Branches for June 1-15 with an exclusive world-class buffet package and special dishes!</t>
  </si>
  <si>
    <t>TH_BKK_ctnoti_netcore_group_N_N_active_20250522_900_copper-beyond-buffet-pre-june-may25</t>
  </si>
  <si>
    <t>เตรียมจองพร้อมกัน Copper Beyond Buffet ทั้ง 2 สาขา รอบ 1-15 มิ.ย. พร้อมแพ็กเกจบุฟเฟต์ระดับเวิลด์คลาส และเมนูพิเศษอีกมากมาย</t>
  </si>
  <si>
    <t>EN_BKK_ctnoti_netcore_single_N_N_active_20250522_1500_ads-the-living-room-may25</t>
  </si>
  <si>
    <t>🍰 Luxurious Afternoon Tea Under 1,000 THB</t>
  </si>
  <si>
    <t xml:space="preserve">Indulge in 2 elegant Afternoon Tea styles at The Living Room for just 963 THB  — includes free sparkling wine!
</t>
  </si>
  <si>
    <t>has offer</t>
  </si>
  <si>
    <t>TH_BKK_ctnoti_netcore_single_N_N_active_20250522_1500_ads-the-living-room-may25</t>
  </si>
  <si>
    <t>🍰 Afternoon Tea สุดหรู จ่ายไม่ถึงพัน</t>
  </si>
  <si>
    <t>สัมผัสความหรูหรา กับ Afternoon Tea 2 สไตล์ จาก The Living Room ราคาพิเศษเพียง 963 บาท ฟรี! สปาร์คกลิ้งไวน์</t>
  </si>
  <si>
    <t>EN_BKK_ctnoti_netcore_single_N_N_active_20250522_1700_dynasty-centara-grand-may25</t>
  </si>
  <si>
    <t>🥟 Dim Sum Feast: 4 Pay Only 3</t>
  </si>
  <si>
    <t>Enjoy unlimited dim sum with 36+ items at Dynasty. Get 1 exclusive dish free — only 817 THB with Hungry Hub!</t>
  </si>
  <si>
    <t>TH_BKK_ctnoti_netcore_single_N_N_active_20250522_1700_dynasty-centara-grand-may25</t>
  </si>
  <si>
    <t>🥟 มา 4 จ่าย 3 กับ Dynasty</t>
  </si>
  <si>
    <t>อิ่มอร่อยกับบุฟเฟต์ติ่มซำไม่อั้น กว่า 36 เมนู พิเศษเฉพาะลูกค้า Hungry Hub เลือกรับ 1 เมนูพิเศษทันที เพียง 817 บาท เท่านั้น</t>
  </si>
  <si>
    <t>TH_BKK_ctnoti_netcore_single_N_N_active_20250523_1100_ads-orchid-cafe-at-sheraton-may25</t>
  </si>
  <si>
    <t>อิ่มไม่อั้นวันจันทร์ถึงอาทิตย์ กับบุฟเฟต์ซีฟู้ด นานาชาติ พร้อมเครื่องดื่มซอฟท์ดริ้งค์สุดพิเศษ เริ่มต้นเพียง 834 บาท ถึง 31 มิ.ย. เท่านั้น</t>
  </si>
  <si>
    <t>EN_BKK_ctnoti_netcore_single_N_N_active_20250523_1100_ads-orchid-cafe-at-sheraton-may25</t>
  </si>
  <si>
    <t>Indulge in unlimited seafood &amp; international buffet with soft drinks, Monday–Sunday. Just 834  THB. Until 30 June only!</t>
  </si>
  <si>
    <t>EN_BKK_ctnoti_netcore_partner_N_N_active_20250523_1500_krungsri-may25</t>
  </si>
  <si>
    <t>💳 Unlock Ultimate Online Perks!</t>
  </si>
  <si>
    <t>Get up to 13%* cashback when booking restaurants or stays via Hungry Hub with your Krungsri Credit Card. Until Oct 31, 2025 only!</t>
  </si>
  <si>
    <t>Come Now Pay Later</t>
  </si>
  <si>
    <t>TH_BKK_ctnoti_netcore_partner_N_N_active_20250523_1500_krungsri-may25</t>
  </si>
  <si>
    <t>คุ้มทะลุ ทุกเรื่องออนไลน์</t>
  </si>
  <si>
    <t>แลกรับเครดิตเงินคืนสูงสุด 13%* เมื่อใช้จ่ายในการจองร้านอาหาร ที่พัก ผ่าน Hungry Hub ด้วย บัตรเครดิตกรุงศรี วันนี้ - 31 ต.ค. 68 เท่านั้น</t>
  </si>
  <si>
    <t>Yes, the Google search results describe an "X Pay Thankful Week" with coupons and cash vouchers.</t>
  </si>
  <si>
    <t>EN_BKK_ctnoti_netcore_single_N_N_active_20250523_1700_savio-at-chatrium-grand-may25</t>
  </si>
  <si>
    <t>🍽️ Come 4 Pay 3 at Savio, Chatrium Grand</t>
  </si>
  <si>
    <t>Elevate your dining with a premium international buffet experience. Special price from just 742 THB. Book now until May 31 only!</t>
  </si>
  <si>
    <t>TH_BKK_ctnoti_netcore_single_N_N_active_20250523_1700_savio-at-chatrium-grand-may25</t>
  </si>
  <si>
    <t>🍽️ มา 4 จ่าย 3 กับ Savio at Chatrium Grand</t>
  </si>
  <si>
    <t>เหนือระดับกว่าเดิมกับบุฟเฟต์นานาชาติสุดหรู พร้อมเมนูพรีเมียมอีกมากมาย ในราคาสุดพิเศษเริ่มต้นที่ 742 บาท วันนี้ - 31 พ.ค. เท่านั้น</t>
  </si>
  <si>
    <t>TH_BKK_ctnoti_netcore_group_N_N_active_20250524_1100_okura-cruise-bangkok-may25</t>
  </si>
  <si>
    <t>☀️ ดินเนอร์ล่องเรือ สัมผัสแสงสีทอง</t>
  </si>
  <si>
    <t>สัมผัสวิวอันสวยงามริมแม่น้ำเจ้าพระยา กับ Okura Cruise และดื่มด่ำรสชาติสุดหรูหรา พร้อมเครื่องดื่ม ในราคาสุดพิเศษ จองเลย</t>
  </si>
  <si>
    <t>EN_BKK_ctnoti_netcore_group_N_N_active_20250524_1100_okura-cruise-bangkok-may25</t>
  </si>
  <si>
    <t>☀️ Sunset Cruise Dinner by Okura</t>
  </si>
  <si>
    <t>Savor golden-hour views along the Chao Phraya River with a luxury dinner and drinks onboard Okura Cruise. Book now for a special price!</t>
  </si>
  <si>
    <t>TH_BKK_ctnoti_netcore_group_N_N_active_20250526_1100_ads-gui-may25</t>
  </si>
  <si>
    <t>🍚 กุ๊ย รัชโย และ สะพานควาย มาแล้ว!!</t>
  </si>
  <si>
    <t>ร้านข้าวต้มข้างทางฟิลกู้ด สไตล์ใหม่ไม่เหมือนใคร รังสรรค์ความจัดจ้าน แบบฉบับที่คนไทยคุ้นเคย เริ่มต้นเพียง 287 บาท จองเลย</t>
  </si>
  <si>
    <t>EN_BKK_ctnoti_netcore_group_N_N_active_20250526_1100_ads-gui-may25</t>
  </si>
  <si>
    <t>🍚 Gui Is Here – Ratchayothin &amp; Saphan Khwai!</t>
  </si>
  <si>
    <t>Reimagine classic Thai rice porridge with a bold twist at this feel-good street-style eatery. Starts at just 287 THB — book now!</t>
  </si>
  <si>
    <t>EN_BKK_ctnoti_netcore_single_N_N_active_20250526_1500_suan-bua-centara-grand-ladprao-may25</t>
  </si>
  <si>
    <t>🍤 Thai Buffet Deal at Suan Bua</t>
  </si>
  <si>
    <t>Come 4 Pay 3! Enjoy premium Thai buffet with free-flow soft drinks &amp; grilled river prawns—only 674 THB!</t>
  </si>
  <si>
    <t>TH_BKK_ctnoti_netcore_single_N_N_active_20250526_1500_suan-bua-centara-grand-ladprao-may25</t>
  </si>
  <si>
    <t>🍤 มา 4 จ่าย 3 กับ สวนบัว</t>
  </si>
  <si>
    <t>อิ่มอร่อยกับบุฟเฟต์อาหารไทยสุดพรีเมียม พร้อมซอฟท์ดริงค์ไม่อั้น และเมนูกุ้งแม่น้ำเผาพิเศษ! เพียง 674 บาท เท่านั้น</t>
  </si>
  <si>
    <t>EN_BKK_ctnoti_netcore_single_N_N_active_20250526_1700_ads-bai-yun-banyan-tree-may25</t>
  </si>
  <si>
    <t>🥟 Bai Yun Dim Sum Buffet Deal</t>
  </si>
  <si>
    <t>Weekday Special! Come 2 Pay 1 for all-you-can-eat dim sum + free-flow mocktails at just 954 THB. Until 31 Jul only!</t>
  </si>
  <si>
    <t>TH_BKK_ctnoti_netcore_single_N_N_active_20250526_1700_ads-bai-yun-banyan-tree-may25</t>
  </si>
  <si>
    <t>🥟 บุฟเฟต์ไบยุน มา 2 จ่ายแค่ 1</t>
  </si>
  <si>
    <t>ราคาพิเศษเฉพาะวันจันทร์-ศุกร์ เท่านั้นกับบุฟเฟต์ติ่มซำและม็อกเทลไม่อั้น เพียง 954 บาท วันนี้-31 ก.ค. เท่านั้น</t>
  </si>
  <si>
    <t>TH_BKK_ctnoti_netcore_group_N_N_active_20250527_1100_audrey-cafe-may25</t>
  </si>
  <si>
    <t>🍽️ มา 4 จ่าย 3 กับ Audrey Cafe</t>
  </si>
  <si>
    <t>อิ่มอร่อยกับไลน์อัพเมนูนานาชาติกว่า 300+ เมนูไม่อั้น ในราคาสุดพิเศษเริ่มต้นเพียง 768 บาท วันนี้ - 31 ก.ค. เท่านั้น</t>
  </si>
  <si>
    <t>33, 425, 426</t>
  </si>
  <si>
    <t>EN_BKK_ctnoti_netcore_group_N_N_active_20250527_1100_audrey-cafe-may25</t>
  </si>
  <si>
    <t>🍽️ Audrey Cafe Come 4 Pay 3</t>
  </si>
  <si>
    <t>Enjoy 300+ international dishes in an all-you-can-eat feast. Starting at just 768 THB. Until 31 July only!</t>
  </si>
  <si>
    <t>EN_BKK_ctnoti_netcore_single_N_N_active_20250527_1500_sui-sian-restaurant-may25</t>
  </si>
  <si>
    <t>🥢 Sui Sian Come 2 Pay 1</t>
  </si>
  <si>
    <t>Enjoy a premium dim sum dinner buffet with roast duck, Sichuan soup &amp; more. Just 999 THB until 30 June only!</t>
  </si>
  <si>
    <t>TH_BKK_ctnoti_netcore_single_N_N_active_20250527_1500_sui-sian-restaurant-may25</t>
  </si>
  <si>
    <t>🥢 Sui Sian มา 2 จ่ายแค่ 1</t>
  </si>
  <si>
    <t>ท้าลมฝนกับ Dinner Special Buffet เต็มอิ่มกับพรีเมียมบุฟเฟต์ติ่มซำ ทั้งเป็ดย่าง ซุปเสฉวน ติ่มซำ และอีกมากมาย เพียง 999 บาท ถึง 30 มิ.ย. เท่านั้น</t>
  </si>
  <si>
    <t>EN_BKK_ctnoti_netcore_single_N_N_active_20250527_1700_ads-lyon-french-cuisine-may25</t>
  </si>
  <si>
    <t>15% Off French Fine Dining</t>
  </si>
  <si>
    <t>Book now at Lyon French Cuisine and enjoy refined French dishes starting from just 574 THB. Limited time only!</t>
  </si>
  <si>
    <t>Discount</t>
  </si>
  <si>
    <t>TH_BKK_ctnoti_netcore_single_N_N_active_20250527_1700_ads-lyon-french-cuisine-may25</t>
  </si>
  <si>
    <t>ลด 15% ทุกแพ็กเกจ</t>
  </si>
  <si>
    <t>จองด่วนกับ Lyon French Cuisine ไฟน์ไดนิ่งสุดหรู สไตล์ฝรั่งเศส ในราคาเริ่มต้นเพียง 574 บาท เท่านั้น</t>
  </si>
  <si>
    <t>TH_BKK_ctnoti_netcore_group_N_N_active_20250528_1100_weekly-new-week5-may25</t>
  </si>
  <si>
    <t>EN_BKK_ctnoti_netcore_group_N_N_active_20250528_1100_weekly-new-week5-may25</t>
  </si>
  <si>
    <t>EN_BKK_ctnoti_netcore_single_N_N_active_20250528_1500_57th-street-marriott-may25</t>
  </si>
  <si>
    <t>Come 3 Pay 2 at 57th Street</t>
  </si>
  <si>
    <t>Enjoy an all-you-can-eat international dinner buffet with a complimentary glass of beer for just 660 THB. Now until 30 June only!</t>
  </si>
  <si>
    <t>TH_BKK_ctnoti_netcore_single_N_N_active_20250528_1500_57th-street-marriott-may25</t>
  </si>
  <si>
    <t>มา 3 จ่าย 2 กับ 57th Street</t>
  </si>
  <si>
    <t>อิ่มไม่อั้นรับยามเย็นกับบุฟเฟต์นานาชาติ พร้อมรับพิเศษ เบียร์ 1 แก้ว เพิ่มเติม เพียง 660 บาท วันนี้ - 30 มิ.ย. เท่านั้น</t>
  </si>
  <si>
    <t>TH_BKK_ctnoti_netcore_single_N_N_active_20250529_1100_bangkok-sky-buffet-may25</t>
  </si>
  <si>
    <t>บุฟเฟต์ทุเรียนใบหยก ใกล้หมดเวลาแล้ว</t>
  </si>
  <si>
    <t>ห้ามพลาดกับ 2 บุฟเฟต์สุดฮิต ทั้งเมนูทุเรียนสุดครีเอทและซีฟู้ด ที่ชั้น 76 และ ชั้นที่ 78 เพียง 1,490 บาท ถึง 1 มิ.ย. เท่านั้น</t>
  </si>
  <si>
    <t>EN_BKK_ctnoti_netcore_single_N_N_active_20250529_1100_bangkok-sky-buffet-may25</t>
  </si>
  <si>
    <t>Last Chance for Baiyoke Durian Buffet!</t>
  </si>
  <si>
    <t>Don’t miss 2 best-selling buffets—creative durian dishes and premium seafood—on the 76th and 78th floors. Only 1,490 THB until 1 June!</t>
  </si>
  <si>
    <t>No, the subject line "Last Chance for Baiyoke Durian Buffet!" does not specify a "Come X Pay X" offer.</t>
  </si>
  <si>
    <t>TH_BKK_ctnoti_netcore_camp_N_N_active_20250529_1500_3-days-before-11th-hh-may25</t>
  </si>
  <si>
    <t>นับถอยหลัง อีก 3 วัน เท่านั้น</t>
  </si>
  <si>
    <t>เตรียมฉลองครบรอบ 11 ปี กับแคมเปญ Hungry Hub 11th Anniversary พร้อมโปรโมชั่นจากร้านชั้นนำ และสิทธิพิเศษมากมาย ดูก่อนใคร คลิกเลย</t>
  </si>
  <si>
    <t>EN_BKK_ctnoti_netcore_camp_N_N_active_20250529_1500_3-days-before-11th-hh-may25</t>
  </si>
  <si>
    <t>Countdown: Only 3 Days to Go!</t>
  </si>
  <si>
    <t>Get ready to celebrate Hungry Hub’s 11th Anniversary with top restaurant deals and exclusive perks. Be the first to discover what's coming – click now!</t>
  </si>
  <si>
    <t>TH_BKK_ctnoti_netcore_single_N_N_active_20250530_1100_savio-at-chatrium-grand-may25</t>
  </si>
  <si>
    <t>มา 4 จ่าย 3 กับ Savio</t>
  </si>
  <si>
    <t>ครบครันทั้งสัปดาห์ กับสุดยอดบุฟเฟต์หลากหลายสไตล์ทั้งนานาชาติ จีน เนื้อย่าง และอีกมากมาย ในราคาพิเศษ เริ่มต้น 742 บาท ถึง 31 พ.ค. เท่านั้น</t>
  </si>
  <si>
    <t>EN_BKK_ctnoti_netcore_single_N_N_active_20250530_1100_savio-at-chatrium-grand-may25</t>
  </si>
  <si>
    <t>Come 4 Pay 3 at Savio Buffet</t>
  </si>
  <si>
    <t>Enjoy a full week of indulgence with an all-you-can-eat international buffet, Chinese dishes, premium grilled meats, and more—starting at just 742 THB. Available until May 31 only!</t>
  </si>
  <si>
    <t>EN_BKK_ctnoti_netcore_single_N_N_active_20250530_1500_27-bites-brasserie-may25</t>
  </si>
  <si>
    <t>Friday-Only Feast at 27 Bites Brasserie</t>
  </si>
  <si>
    <t>Dive into the River Prawns Edition of the seafood buffet—packed with delights from various live stations, exclusively every Friday! Special price: just 762 THB, now through June 30 only.</t>
  </si>
  <si>
    <t>TH_BKK_ctnoti_netcore_single_N_N_active_20250530_1500_27-bites-brasserie-may25</t>
  </si>
  <si>
    <t>โปรแรงเฉพาะวันศุกร์เท่านั้น</t>
  </si>
  <si>
    <t>สัมผัสกับซีฟู้ดบุฟเฟต์ The River Prawns Edition จาก 27 Bites Brasserie พร้อมเมนูจากหลากหลายสเตชั่น เพียง 762 บาท ถึง 30 มิ.ย. เท่านั้น</t>
  </si>
  <si>
    <t>The subject line is "Strong promotion only on Friday," which indicates an offer, but it does not mention "X Pay X."</t>
  </si>
  <si>
    <t>TH_BKK_ctnoti_netcore_single_N_N_active_20250530_1700_mojjo-rooftop-lounge-bar-may25</t>
  </si>
  <si>
    <t>มา 2 จ่าย 1 กับ Mojjo Rooftop</t>
  </si>
  <si>
    <t>จิบชิลๆ รับยามเย็น กับ 2 เมนู พร้อมเบียร์และเครื่องดื่มซอร์ฟดริงค์ไม่อั้น เพียง 749 บาท วันนี้ - 30 มิ.ย. เท่านั้น</t>
  </si>
  <si>
    <t>EN_BKK_ctnoti_netcore_single_N_N_active_20250530_1700_mojjo-rooftop-lounge-bar-may25</t>
  </si>
  <si>
    <t>Come 2 Pay Only 1 at Mojjo Rooftop</t>
  </si>
  <si>
    <t>Chill out with scenic rooftop vibes! Enjoy 2 dishes plus unlimited beer and soft drinks—all for just 749 THB. Available now through June 30 only</t>
  </si>
  <si>
    <t>EN_BKK_ctnoti_netcore_single_N_N_active_20250531_1100_the-kitchen-table-buffet-may25</t>
  </si>
  <si>
    <t>Lunch Feast at The Kitchen Table</t>
  </si>
  <si>
    <t>Dive into a satisfying lunch buffet with a wide variety of dishes. Enjoy the special “Come 3 Pay 2” offer at just 526 THB. Available now – June 30 only!</t>
  </si>
  <si>
    <t>TH_BKK_ctnoti_netcore_single_N_N_active_20250531_1100_the-kitchen-table-buffet-may25</t>
  </si>
  <si>
    <t>มื้อเที่ยงอิ่มคุ้ม กับ The Kitchen Table</t>
  </si>
  <si>
    <t>อิ่มไม่อั้นกับบุฟเฟต์มื้อเที่ยง จากไลน์บุฟเฟต์มากมาย พร้อมโปรมา 3 จ่าย 2 ในราคาสุดพิเศษเพียง 526 บาท วันนี้ - 30 มิ.ย. เท่านั้น</t>
  </si>
  <si>
    <t>EN_BKK_ctnoti_netcore_single_N_N_active_20250531_1500_praya-kitchen-bangkok-may25</t>
  </si>
  <si>
    <t>Come 4 Pay 3 at Praya Kitchen</t>
  </si>
  <si>
    <t>Kick off your weekend with an indulgent buffet featuring seafood, sushi, sashimi, wagyu, and more. Special deal starts at only 599 THB. Book now!</t>
  </si>
  <si>
    <t>TH_BKK_ctnoti_netcore_single_N_N_active_20250531_1500_praya-kitchen-bangkok-may25</t>
  </si>
  <si>
    <t>มา 4 จ่าย 3 กับ Praya Kitchen</t>
  </si>
  <si>
    <t>ฟินกับมื้อสุดพิเศษต้อนรับสุดสัปดาห์ กับบุฟเฟต์ที่ครบครันทั้งซีฟู้ด ซูชิ ซาชิมิ วากิว และอีกมากมาย เริ่มต้น 599 บาท เท่านั้น จองเลย</t>
  </si>
  <si>
    <t>EN_BKK_ctnoti_netcore_single_N_N_active_20250531_1700_soshi-so-bangkok-may25</t>
  </si>
  <si>
    <t>🔥 The Legendary SOSHI Deal is Back!</t>
  </si>
  <si>
    <t>Enjoy a premium Japanese buffet at SOSHI with the hottest Come 2 Pay 1 deal! Starting at just 999 THB. Available now until 30 July only.</t>
  </si>
  <si>
    <t>TH_BKK_ctnoti_netcore_single_N_N_active_20250531_1700_soshi-so-bangkok-may25</t>
  </si>
  <si>
    <t>🔥 โปรแรง SOSHI กลับมาแล้ว!!</t>
  </si>
  <si>
    <t>กลับมาตามคำเรียกร้อง กับโปรบุฟเฟต์อาหารญี่ปุ่นพรีเมียม ในตำนานสุดร้อนแรง มา 2 คน จ่ายแค่ 1 คน เริ่มต้น 999 บาท วันนี้ - 30 ก.ค. เท่านั้น</t>
  </si>
  <si>
    <t>EN_BKK_ctnoti_netcore_single_N_N_active_20250601_1100_11th-anniversary-jun25</t>
  </si>
  <si>
    <t>🎉 Celebrate 11 Years with Epic Deals All Month!</t>
  </si>
  <si>
    <t>🎈 It’s here! Hungry Hub’s 11th Anniversary kicks off with massive deals — up to 50% off, Come 2 Pay 1, and tons of exclusive perks from top dining brands. Don’t miss out, now until 30 June only!</t>
  </si>
  <si>
    <t>TH_BKK_ctnoti_netcore_single_N_N_active_20250601_1100_11th-anniversary-jun25</t>
  </si>
  <si>
    <t>🎉 ฉลอง 11 ปี แจกดีลเด็ดทั้งเดือน ✨</t>
  </si>
  <si>
    <t>เริ่มแล้ว Hungry Hub 11th Anniversary จัดหนักแพ็กเกจจากแบรนด์ดัง ลดสูงสุดกว่า 50% พร้อมโปรมา 2 จ่าย 1 และสิทธิ์พิเศษอีกมากมาย วันนี้ - 30 มิ.ย. เท่านั้น</t>
  </si>
  <si>
    <t>EN_BKK_ctnoti_netcore_single_N_N_active_20250601_1500_11th-na-oh-bangkok-jun25</t>
  </si>
  <si>
    <t>✨ 30% Off at Na-oh Bangkok</t>
  </si>
  <si>
    <t>Step into a new world of culinary wonder inside a fine arts-inspired atmosphere. Enjoy a special dining experience with 30% off, now through 30 June only!</t>
  </si>
  <si>
    <t>TH_BKK_ctnoti_netcore_single_N_N_active_20250601_1500_11th-na-oh-bangkok-jun25</t>
  </si>
  <si>
    <t>✨ ลด 30% Na-oh Bangkok</t>
  </si>
  <si>
    <t>เตรียมตัวสู่โลกใบใหม่ กับมื้อสุดพิเศษ ท่ามกลางบรรยากาศสไตล์ Fine Arts ในราคาสุดพิเศษ จนถึง 30 มิ.ย. เท่านั้น</t>
  </si>
  <si>
    <t>EN_BKK_ctnoti_netcore_single_N_N_active_20250601_1700_11th-copper-aquarium-jun25</t>
  </si>
  <si>
    <t>🐠 Dine 2 Pay 1 at Copper Aquarium</t>
  </si>
  <si>
    <t>Dive into a 3-hour buffet dinner in an immersive aquarium-themed setting, complete with live shows. Special price just 875 THB for two! Until 30 June only.</t>
  </si>
  <si>
    <t>TH_BKK_ctnoti_netcore_single_N_N_active_20250601_1700_11th-copper-aquarium-jun25</t>
  </si>
  <si>
    <t>🐠 มา 2 จ่าย 1 กับ Copper Aquarium</t>
  </si>
  <si>
    <t>ชวนคนรู้ใจไปทานดินเนอร์ กับบุฟเฟต์สไตล์อวาเรียม 3 ชั่วโมงเต็ม พร้อมชมโชว์หลากหลาย เพียง 875 บาท วันนี้ - 30 มิ.ย. เท่านั้น</t>
  </si>
  <si>
    <t>TH_BKK_ctnoti_netcore_camp_N_N_active_20250602_1100_fast-track-11th-anniversary-jun25</t>
  </si>
  <si>
    <t>🎉 ฉลอง 11 ปี อัปเกรดสิทธิ์พิเศษทันที</t>
  </si>
  <si>
    <t>พิเศษสำหรับลูกค้า Hungry Hub เพียงซื้อกิฟต์การ์ดครบตามอดที่กำหนด อัปเกรดสู่ระดับสูงสุด Platinum ทันที วันนี้ - 30 มิ.ย. เท่านั้น</t>
  </si>
  <si>
    <t>EN_BKK_ctnoti_netcore_camp_N_N_active_20250602_1100_fast-track-11th-anniversary-jun25</t>
  </si>
  <si>
    <t>🎉 Celebrate 11 Years with an Instant Upgrade!</t>
  </si>
  <si>
    <t>Special for Hungry Hub customers! Purchase a gift card with the specified value and get instantly upgraded to Platinum membership now until 30 June only!</t>
  </si>
  <si>
    <t>EN_BKK_ctnoti_netcore_group_N_N_active_20250602_1500_11th-man-fu-yuan-jun25</t>
  </si>
  <si>
    <t>🥢 Come 4 Pay 3 at Man Fu Yuan</t>
  </si>
  <si>
    <t>Indulge in unlimited dim sum, main dishes, and over 50 menu items at a special price of just 881 THB! Available exclusively at QSNCC and One Bangkok</t>
  </si>
  <si>
    <t>TH_BKK_ctnoti_netcore_group_N_N_active_20250602_1500_11th-man-fu-yuan-jun25</t>
  </si>
  <si>
    <t>🥢 มา 4 จ่าย 3 กับ Man Fu Yuan</t>
  </si>
  <si>
    <t>อิ่มไม่อั้นกับติ่มซำ เมนูจานหลัก และอีกมากมายกว่า 50 เมนู ในราคาพิเศษเพียง 881 บาท เฉพาะที่สาขา QSNCC และ One Bangkok เท่านั้น</t>
  </si>
  <si>
    <t>EN_BKK_ctnoti_netcore_single_N_N_active_20250602_1700_copper-the-sense-birthday-jun25</t>
  </si>
  <si>
    <t>🎂 June Birthdays Get 10% OFF for the Whole Table!</t>
  </si>
  <si>
    <t>Celebrate your special month at Copper Beyond Buffet, The Sense branch. Dine with at least 2 guests and enjoy an exclusive 10% discount for the entire table. Valid until June 30 only!</t>
  </si>
  <si>
    <t>TH_BKK_ctnoti_netcore_single_N_N_active_20250602_1700_copper-the-sense-birthday-jun25</t>
  </si>
  <si>
    <t>🎂 เกิดเดือนมิถุนายน รับส่วนลด 10% ทั้งโต๊ะ</t>
  </si>
  <si>
    <t>โปรพิเศษเฉพาะคนเกิดเดือนนี้ ที่ Copper Beyond Buffet สาขา The Sense เมื่อมา 2 ท่านขึ้นไป รับส่วนลดเพิ่มอีก 10% รับสิทธิ์ถึง 30 มิ.ย.</t>
  </si>
  <si>
    <t>EN_BKK_ctnoti_netcore_mkt_N_N_active_20250603_1100_11th-sub-voucher-jun25</t>
  </si>
  <si>
    <t>✨ Secret Deal! Buy Once, Use for 3 Months</t>
  </si>
  <si>
    <t>June 3–8 only! Purchase a THB 69 or THB 159 voucher and receive dining credits worth up to THB 600. Exclusive for Hungry Hub customers</t>
  </si>
  <si>
    <t>TH_BKK_ctnoti_netcore_mkt_N_N_active_20250603_1100_11th-sub-voucher-jun25</t>
  </si>
  <si>
    <t>✨ โปรลับ!! ซื้อ Voucher ครั้งเดียว ใช้ได้ยาว 3 เดือน</t>
  </si>
  <si>
    <t>เฉพาะวันที่ 3-8 มิ.ย. เพียงซื้อ Voucher 69 บาท และ 159 บาท รับเวาเชอร์มูลค่าสูงสุด 600 บาท พิเศษเฉพาะลูกค้า Hungry Hub เท่านั้น</t>
  </si>
  <si>
    <t>TH_BKK_ctnoti_netcore_single_N_N_active_20250604_1100_copper-the-sense-new-package-jun25</t>
  </si>
  <si>
    <t>ฟัวกราส์ไม่อั้น จ่ายเพียง 1,599.- เท่านั้น</t>
  </si>
  <si>
    <t>โปรพิเศษสุดหรูเฉพาะที่ Copper Beyond Buffet สาขา The Sense Pinklao อิ่มไม่อั้นกับเมนูฟัวกราส์ พร้อมไลน์นานาชาติมากมาย วันนี้ - 30 มิ.ย. เท่านั้น</t>
  </si>
  <si>
    <t>EN_BKK_ctnoti_netcore_single_N_N_active_20250604_1100_copper-the-sense-new-package-jun25</t>
  </si>
  <si>
    <t>Unlimited Foie Gras for Just THB 1,599</t>
  </si>
  <si>
    <t>Dive into luxury with our exclusive deal at Copper Beyond Buffet, The Sense Pinklao. Enjoy unlimited foie gras and a wide selection of international dishes—only until June 30!</t>
  </si>
  <si>
    <t>EN_BKK_ctnoti_netcore_single_N_N_active_20250604_1500_11th-sushi-koge-jun25</t>
  </si>
  <si>
    <t>30% Off Premium Omakase at Sushi Koge</t>
  </si>
  <si>
    <t>Indulge in a 15-course premium Edomae Omakase experience at Sushi Koge for just THB 2,290 Until 30 June Only</t>
  </si>
  <si>
    <t>TH_BKK_ctnoti_netcore_single_N_N_active_20250604_1500_11th-sushi-koge-jun25</t>
  </si>
  <si>
    <t>ลดแรง 30% กับ Sushi Koge</t>
  </si>
  <si>
    <t>สัมผัส 15 คอร์สพรีเมียมโอมากาเสะ สไตล์เอโดะ ในราคาพิเศษเพียง 2,290 บาท วันนี้ - 30 มิ.ย. เท่านั้น จองเลย</t>
  </si>
  <si>
    <t>EN_BKK_ctnoti_netcore_single_N_N_active_20250604_1700_11th-feast-at-royal-orchid-jun25</t>
  </si>
  <si>
    <t>Come 2 Pay 1 at Feast At Royal Orchid</t>
  </si>
  <si>
    <t>Savor the flavors of international and seafood buffet every day at a special price starting from just THB 583! Valid through June 30 only.</t>
  </si>
  <si>
    <t>TH_BKK_ctnoti_netcore_single_N_N_active_20250604_1700_11th-feast-at-royal-orchid-jun25</t>
  </si>
  <si>
    <t>มา 2 จ่าย 1 กับ Feast At Royal Orchid</t>
  </si>
  <si>
    <t>ฟินได้ทุกวัน ราคาพิเศษกว่าเดิม กับบุฟเฟต์หลากหลายสไตล์ ทั้งนานาชาติและซีฟู้ด เริ่มต้นเพียง 583 บาท ถึง 30 มิ.ย. เท่านั้น</t>
  </si>
  <si>
    <t>Yes, Come 2 Pay 1</t>
  </si>
  <si>
    <t>TH_BKK_ctnoti_netcore_mkt_N_N_active_20250605_1100_go-gold-get-more-jun25</t>
  </si>
  <si>
    <t>จ่ายครั้งเดียว อัปเกรดเป็น Gold ทันที</t>
  </si>
  <si>
    <t>User Are Red or Silver</t>
  </si>
  <si>
    <t>EN_BKK_ctnoti_netcore_mkt_N_N_active_20250605_1100_go-gold-get-more-jun25</t>
  </si>
  <si>
    <t>One-Time Payment, Instant Gold Upgrade!</t>
  </si>
  <si>
    <t>EN_BKK_ctnoti_netcore_single_N_N_active_20250605_1500_11th-chatuchak-cafe-jun25</t>
  </si>
  <si>
    <t>🌎 Come 4 Pay 3 at Chatuchak Cafe</t>
  </si>
  <si>
    <t>Taste the world from 7 premium restaurants, all in one unlimited buffet. Special price only 749 THB now through June 30</t>
  </si>
  <si>
    <t>TH_BKK_ctnoti_netcore_single_N_N_active_20250605_1500_11th-chatuchak-cafe-jun25</t>
  </si>
  <si>
    <t>🌎 มา 4 จ่าย 3 Chatuchak Cafe</t>
  </si>
  <si>
    <t>ลิ้มรสชาติทั่วทุกมุมโลก จาก 7 ห้องอาหารชั้นนำ มาแล้วในที่เดียวแบบบไม่อั้น ในราคาสุดพิเศษ 749.- ตั้งแต่วันนี้ถึง 30 มิ.ย. เท่านั้น</t>
  </si>
  <si>
    <t>EN_BKK_ctnoti_netcore_group_N_N_active_20250605_1700_11th-jumbo-seafood-jun25</t>
  </si>
  <si>
    <t>🦀 Jumbo Seafood Now 30% Off</t>
  </si>
  <si>
    <t>Indulge in a premium seafood feast straight from Singapore at Siam Paragon and ICONSIAM. Enjoy the exclusive 30% discount now through June 30 only!</t>
  </si>
  <si>
    <t>TH_BKK_ctnoti_netcore_group_N_N_active_20250605_1700_11th-jumbo-seafood-jun25</t>
  </si>
  <si>
    <t>🦀 Jumbo Seafood ลดหนัก 30%</t>
  </si>
  <si>
    <t>สัมผัสมื้อพิเศษส่งตรงจากสิงคโปร์ ในราคาพิเศษกว่าที่เคย กับสาขาสยามพารากอน และ ไอคอนสยาม ถึง 30 มิ.ย. เท่านั้น</t>
  </si>
  <si>
    <t>TH_BKK_ctnoti_netcore_mkt_N_N_active_20250606_1100_11th-sub-voucher-jun25</t>
  </si>
  <si>
    <t>🎉 6.6 นี้ จ่าย 69.- รับไปเลย 300.-</t>
  </si>
  <si>
    <t>รีบซื้อด่วนๆ กับ Subcription Voucher ซื้อแพคเกจเวาเชอร์ 69.- รับมูลค่ารวม 300.- และเมื่อซื้อ 159.- รับมูลค่ารวม 600.-  ถึง 8 มิ.ย. เท่านั้น</t>
  </si>
  <si>
    <t>EN_BKK_ctnoti_netcore_mkt_N_N_active_20250606_1100_11th-sub-voucher-jun25</t>
  </si>
  <si>
    <t>🎉 6.6 Deal! Pay 69.- Get 300.-</t>
  </si>
  <si>
    <t>Limited time only! Buy Subscription Voucher for just 69.- to receive 300.- total value — or go bigger with 159.- and get 600.- ! Only until June 8</t>
  </si>
  <si>
    <t>TH_BKK_ctnoti_netcore_single_N_N_active_20250606_1500_11th-romsai-banyan-tree-jun25</t>
  </si>
  <si>
    <t>🍷 บุฟเฟต์นานาชาติ + สปาร์คกลิ้งไวน์ไม่อั้น</t>
  </si>
  <si>
    <t>พิเศษรับสุดสัปดาห์ กับ โปรดินเนอร์บุฟเฟต์ มา 2 จ่าย 1 จาก Romsai Banyan Tree พร้อมล็อบสเตอร์ครึ่งตัว เพียง 1,132 บาท ถึง 30 มิ.ย.</t>
  </si>
  <si>
    <t>EN_BKK_ctnoti_netcore_single_N_N_active_20250606_1500_11th-romsai-banyan-tree-jun25</t>
  </si>
  <si>
    <t>🍷 Dinner Buffet + Unlimited Sparkling Wine</t>
  </si>
  <si>
    <t>Weekend only! Enjoy the Come 2 Pay 1 deal at Romsai Banyan Tree with international buffet, unlimited sparkling wine, and a half lobster—just 1,132 THB. Until Jun 30 only!</t>
  </si>
  <si>
    <t>EN_BKK_ctnoti_netcore_single_N_N_active_20250606_1700_ads-11th-lyon-french-cuisine-jun25</t>
  </si>
  <si>
    <t>🍽️ Exquisite French Feast, Amazing Price!</t>
  </si>
  <si>
    <t>Elevate your dining! Experience the finest French cuisine at Lyon French Cuisine with special set menus, now 15% off for Hungry Hub's 11-year celebration. Book now! 👉</t>
  </si>
  <si>
    <t>TH_BKK_ctnoti_netcore_single_N_N_active_20250606_1700_ads-11th-lyon-french-cuisine-jun25</t>
  </si>
  <si>
    <t>🍽️ สัมผัสความหรู! อาหารฝรั่งเศสสุดคุ้ม</t>
  </si>
  <si>
    <t>ใครชอบ Fine Dining ห้ามพลาด! พบเซ็ตเมนูฝรั่งเศสระดับพรีเมียมที่ Lyon French Cuisine ลดพิเศษ 15% เฉพาะช่วงฉลอง 11 ปี จองด่วน! 👉</t>
  </si>
  <si>
    <t>EN_BKK_ctnoti_netcore_mkt_N_N_active_20250607_1100_11th-top-spender-jun25</t>
  </si>
  <si>
    <t>👑 Spend Big! Win Luxury Stay &amp; Buffet</t>
  </si>
  <si>
    <t>Hungry Hub's got prizes! Be June's Top Spender &amp; get a FREE Banyan Tree stay (7,000+ THB value) or Copper Beyond Buffet voucher (1,999 THB). Book more to win! 👉</t>
  </si>
  <si>
    <t>TH_BKK_ctnoti_netcore_mkt_N_N_active_20250607_1100_11th-top-spender-jun25</t>
  </si>
  <si>
    <t>👑 อิ่มให้สุด! ลุ้นที่พักหรู &amp; บุฟเฟต์</t>
  </si>
  <si>
    <t>Hungry Hub จัดหนัก! ใครคือ Top Spender เดือน มิ.ย. รับเลย! ที่พัก Banyan Tree (7,000+ บ.) หรือ Voucher Copper Beyond Buffet (1,999 บ.) ยิ่งจองเยอะยิ่งมีสิทธิ์! 👉</t>
  </si>
  <si>
    <t>EN_BKK_ctnoti_netcore_single_N_N_active_20250607_1500_ads-11th-vertigo-too-banyan-tree-jun25</t>
  </si>
  <si>
    <t>🥂 Vertigo TOO: Come 2 Pay 1!</t>
  </si>
  <si>
    <t>Experience stunning views at Vertigo TOO Banyan Tree! Enjoy All You Can Eat &amp; Free Flow Mocktails for just 1,799 THB/person (reg. 3,598 THB). Book now! 👉</t>
  </si>
  <si>
    <t>TH_BKK_ctnoti_netcore_single_N_N_active_20250607_1500_ads-11th-vertigo-too-banyan-tree-jun25</t>
  </si>
  <si>
    <t>🥂 บุฟเฟต์วิวหลักล้าน! มา 2 จ่าย 1</t>
  </si>
  <si>
    <t>ห้ามพลาด! บุฟเฟต์และม็อกเทลไม่อั้นที่ Vertigo TOO Banyan Tree ในราคาดีที่สุด 1,799 บ./คน (ปกติ 3,598 บ.) ถึง 31 ส.ค. 68 นี้! 👉</t>
  </si>
  <si>
    <t>EN_BKK_ctnoti_netcore_single_N_N_active_20250607_1700_11th-sushi-koge-jun25</t>
  </si>
  <si>
    <t>🍣 Omakase Premium: Up to 30% Off!</t>
  </si>
  <si>
    <t>Experience Sushi Koge Omakase! Try new Edo 15/18-Course menus with up to 30% discount for Hungry Hub's 11th Anniversary. Valid until June 30. Book now! 👉</t>
  </si>
  <si>
    <t>TH_BKK_ctnoti_netcore_single_N_N_active_20250607_1700_11th-sushi-koge-jun25</t>
  </si>
  <si>
    <t>🍣 โอมากาเสะพรีเมียม ลดสูงสุด 30%!</t>
  </si>
  <si>
    <t>สัมผัส Sushi Koge Omakase! กับ 2 คอร์สใหม่ Edo 15/18 พร้อมส่วนลดพิเศษ 30% ฉลอง 11 ปี Hungry Hub ถึง 30 มิ.ย. นี้ รีบจอง! 👉</t>
  </si>
  <si>
    <t>EN_BKK_ctnoti_netcore_mkt_N_N_active_20250608_1100_11th-sub-voucher-final-jun25_</t>
  </si>
  <si>
    <t>✨ Last Chance for 1,500 THB Vouchers!</t>
  </si>
  <si>
    <t>TH_BKK_ctnoti_netcore_mkt_N_N_active_20250608_1100_11th-sub-voucher-final-jun25_</t>
  </si>
  <si>
    <t>🔥 วันสุดท้าย รับเวาเชอร์สูงสุด 1,500 บาท</t>
  </si>
  <si>
    <t>EN_BKK_ctnoti_netcore_single_N_N_active_20250608_1500_11th-biscotti-anantara-jun25</t>
  </si>
  <si>
    <t>🇮🇹 Italian Fine Dining, 25% Off!</t>
  </si>
  <si>
    <t>Indulge in an exquisite Italian dining experience at Biscotti Anantara Siam Bangkok. Get an instant 25% discount on Dinner Sets. Book now! 👉</t>
  </si>
  <si>
    <t>TH_BKK_ctnoti_netcore_single_N_N_active_20250608_1500_11th-biscotti-anantara-jun25</t>
  </si>
  <si>
    <t>🇮🇹 มื้ออิตาเลียนสุดหรู ลด 25%!</t>
  </si>
  <si>
    <t>สัมผัสประสบการณ์อาหารอิตาเลียน Fine Dining ที่ Biscotti Anantara Siam Bangkok ลดพิเศษทันที 25% สำหรับ Dinner Set จองเลย! 👉</t>
  </si>
  <si>
    <t>EN_BKK_ctnoti_netcore_single_N_N_active_20250608_1700_11th-viu-the-st-regis-jun25</t>
  </si>
  <si>
    <t>🤩 Dinner Buffet Come 2 Pay Only 1</t>
  </si>
  <si>
    <t>Experience the international buffet at Viu The St. Regis Bangkok! Come 2 Pay 1 for only 1,200 THB/person with free-flow water. Indulge in luxury at an amazing price! Book now! 👉</t>
  </si>
  <si>
    <t>TH_BKK_ctnoti_netcore_single_N_N_active_20250608_1700_11th-viu-the-st-regis-jun25</t>
  </si>
  <si>
    <t>🤩 บุฟเฟต์มื้อค่ำ 2 จ่าย 1!</t>
  </si>
  <si>
    <t>สัมผัสบุฟเฟต์นานาชาติที่ Viu The St. Regis Bangkok! มา 2 จ่าย 1 เพียง 1,200 บ./ท่าน พร้อมเครื่องดื่ม! อิ่มหรูในราคาสุดคุ้ม จองเลย! 👉</t>
  </si>
  <si>
    <t>TH_BKK_ctnoti_netcore_single_N_N_active_20250609_1100_copper-gaysorn-amarin-jun25</t>
  </si>
  <si>
    <t>🍽️ Copper บุฟเฟต์กลางวันไม่อั้น!</t>
  </si>
  <si>
    <t>ฟินกับ Weekday Lunch Unlimited ที่ Copper Beyond Buffet Gaysorn Amarin! เลือก 1 เมนูพิเศษ พร้อมบุฟเฟต์ พิเศษ 1,999 บ. จองเลย!</t>
  </si>
  <si>
    <t>EN_BKK_ctnoti_netcore_single_N_N_active_20250609_1100_copper-gaysorn-amarin-jun25</t>
  </si>
  <si>
    <t>🍽️ Copper: Unlimited Weekday Lunch!</t>
  </si>
  <si>
    <t>Indulge in Weekday Lunch Unlimited at Copper Beyond Buffet Gaysorn Amarin! Select 1 special menu with unlimited buffet for 1,999 THB 👉</t>
  </si>
  <si>
    <t>EN_BKK_ctnoti_netcore_group_N_N_active_20250609_1500_vantage-point-jun25</t>
  </si>
  <si>
    <t>🥗 Lunch Sets from Just 399.- at Vantage Point</t>
  </si>
  <si>
    <t>Enjoy a brand-new selection of European-style lunch and dinner sets at Vantage Point (QSNCC &amp; One Bangkok) from just 399.- Book now!</t>
  </si>
  <si>
    <t>TH_BKK_ctnoti_netcore_group_N_N_active_20250609_1500_vantage-point-jun25</t>
  </si>
  <si>
    <t>🥗 พก 399.- ก็ทาน Vantage Point ได้!!</t>
  </si>
  <si>
    <t>ใหม่ล่าสุดกับเซ็ตมื้อเที่ยง และ เซ็ตอาหารยุโรป จากสองสาขาหลัก QSNCC และ One Bangkok ในราคาพิเศษ เริ่มต้นเพียง 399 บาท จองเลย</t>
  </si>
  <si>
    <t>TH_BKK_ctnoti_netcore_single_N_N_active_20250610_1100_chomsindh-at-amari-jun25</t>
  </si>
  <si>
    <t>✨ ChomSindh: ซีฟู้ดเซ็ต ลด 20%!</t>
  </si>
  <si>
    <t>ชวนแก๊งค์มาฟิน! Sharing Set อาหารทะเลไทยพรีเมียมที่ ChomSindh Amari Bangkok ลด 20% ทุกแพ็กเกจ เริ่ม 1,192 บ. จองด่วนก่อนหมดโปร! 👉</t>
  </si>
  <si>
    <t>EN_BKK_ctnoti_netcore_single_N_N_active_20250610_1100_chomsindh-at-amari-jun25</t>
  </si>
  <si>
    <t>✨ ChomSindh: Seafood Sets, 20% Off!</t>
  </si>
  <si>
    <t>Gather your loved ones! Enjoy premium Thai seafood sharing sets at ChomSindh Amari Bangkok with a special 20% discount. Prices start from 1,192 THB. Limited-time offer! 👉</t>
  </si>
  <si>
    <t>TH_BKK_ctnoti_netcore_single_N_N_active_20250610_1500_11th-ava-brasserie-jun25</t>
  </si>
  <si>
    <t>✨ บุฟเฟต์โรงแรมหรู เริ่ม 525 บ. เท่านั้น!</t>
  </si>
  <si>
    <t>ยิ่งมาเยอะ ยิ่งจ่ายน้อย กับบุฟเฟต์อาหารเช้าและดินเนอร์พรีเมียมที่ Ava Brasserie InterContinental จองด่วน ถึง 31 ก.ค เท่านั้น 👉</t>
  </si>
  <si>
    <t>EN_BKK_ctnoti_netcore_single_N_N_active_20250610_1500_11th-ava-brasserie-jun25</t>
  </si>
  <si>
    <t>✨ Luxury Hotel Buffet from 525 THB!</t>
  </si>
  <si>
    <t>The more you come, the less you pay! Indulge in premium breakfast &amp; dinner buffets at Ava Brasserie InterContinental. Reserve by July 31st! 👉</t>
  </si>
  <si>
    <t>EN_BKK_ctnoti_netcore_single_N_N_active_20250610_1700_ads-11th-shoko-omakase-jun25</t>
  </si>
  <si>
    <t>🍣 Shoko Omakase Up to 30% Off!</t>
  </si>
  <si>
    <t>Indulge in an authentic, chef-curated Omakase experience at Shoko Omakase! Enjoy multiple courses with up to 30% off. Book your journey! 👉</t>
  </si>
  <si>
    <t>TH_BKK_ctnoti_netcore_single_N_N_active_20250610_1700_ads-11th-shoko-omakase-jun25</t>
  </si>
  <si>
    <t>🍣 Shoko Omakase ลดสูงสุด 30%!</t>
  </si>
  <si>
    <t>สัมผัสประสบการณ์โอมากาเสะแท้ๆ คัดสรรโดยเชฟ ที่ Shoko Omakase! จัดเต็มหลายคอร์ส ลดสูงสุด 30% จองเลย! 👉</t>
  </si>
  <si>
    <t>TH_BKK_ctnoti_netcore_single_N_N_active_20250611_1100_weekly-new-week2-jun25</t>
  </si>
  <si>
    <t>EN_BKK_ctnoti_netcore_single_N_N_active_20250611_1100_weekly-new-week2-jun25</t>
  </si>
  <si>
    <t>TH_BKK_ctnoti_netcore_group_N_N_active_20250611_1500_boon-tong-kee-jun25</t>
  </si>
  <si>
    <t>🐔 ข้าวมันไก่ กำลังมาแรง</t>
  </si>
  <si>
    <t>รีบไปลอง ข้าวมันไก่ และบุฟเฟต์อาหารจีนไม่อั้น จาก บุญตงกี่ เริ่มต้นเพียง 599 บาท เท่านั้น จองเลย</t>
  </si>
  <si>
    <t>EN_BKK_ctnoti_netcore_group_N_N_active_20250611_1500_boon-tong-kee-jun25</t>
  </si>
  <si>
    <t>🐔 Chicken Rice is trending!</t>
  </si>
  <si>
    <t>Hurry and try Boon Tong Kee's Chicken Rice and all-you-can-eat Chinese buffet, starting from just 599 Baht. Book now!</t>
  </si>
  <si>
    <t>EN_BKK_ctnoti_netcore_single_N_N_active_20250611_1700_the-mayflower-restaurant-jun25</t>
  </si>
  <si>
    <t>✅ Dusit Dim Sum Come 3 Pay 2 for 800 THB!</t>
  </si>
  <si>
    <t>Indulge in authentic unlimited dim sum at The Mayflower Dusit Princess Srinakarin! Come 3 Pay 2 for just 800 THB/person until June 30th! Book now! 👉</t>
  </si>
  <si>
    <t>TH_BKK_ctnoti_netcore_single_N_N_active_20250611_1700_the-mayflower-restaurant-jun25</t>
  </si>
  <si>
    <t>🥟 ติ่มซำดุสิตฯ มา 3 จ่าย 2 เพียง 800 บ.!</t>
  </si>
  <si>
    <t>ฟินอิ่มไม่อั้นบุฟเฟต์ติ่มซำตำรับกวางตุ้งแท้ๆ ที่ The Mayflower Dusit Princess Srinakarin! จ่ายเพียง 800 บ./ท่าน ถึง 30 มิ.ย. นี้เท่านั้น! จองเลย!</t>
  </si>
  <si>
    <t>EN_BKK_ctnoti_netcore_single_N_N_active_20250612_1100_11th-china-table-radisson-blu-jun25</t>
  </si>
  <si>
    <t>🥟 China Table Buffet from 459 THB!</t>
  </si>
  <si>
    <t>Experience legendary flavors! Unlimited dim sum &amp; premium Chinese dishes at China Table Radisson Blu for only 459 THB/person. Happy 11th Anniv HH! Book your table! 👉</t>
  </si>
  <si>
    <t>TH_BKK_ctnoti_netcore_single_N_N_active_20250612_1100_11th-china-table-radisson-blu-jun25</t>
  </si>
  <si>
    <t>🥟 บุฟเฟต์ติ่มซำ มา 3 จ่าย 2 เริ่ม 459 บ.!</t>
  </si>
  <si>
    <t>สัมผัสรสชาติระดับตำนาน! บุฟเฟต์ติ่มซำและอาหารจีนพรีเมียมที่ China Table Radisson Blu จ่ายเพียง 459 บ./ท่าน ฉลอง 11 ปี HH จองด่วน! 👉</t>
  </si>
  <si>
    <t>EN_BKK_ctnoti_netcore_single_N_N_active_20250612_1500_11th-jim-thompson-jun25</t>
  </si>
  <si>
    <t>🌟 HH 11-Year Special! Jim Thompson 20% Off!</t>
  </si>
  <si>
    <t>Experience exquisite authentic Thai cuisine at Jim Thompson Restaurant! Sharing Sets + drink, from 957 THB/person. Book your elegant dining! 👉</t>
  </si>
  <si>
    <t>TH_BKK_ctnoti_netcore_single_N_N_active_20250612_1500_11th-jim-thompson-jun25</t>
  </si>
  <si>
    <t>🎂 ฉลอง 11 ปี! Jim Thompson ลด 20%!</t>
  </si>
  <si>
    <t>สัมผัสอาหารไทยรสเลิศ ณ Jim Thompson Restaurant! Sharing Set พร้อมเครื่องดื่ม เริ่ม 957 บ./ท่าน จองประสบการณ์สุดพิเศษ! 👉</t>
  </si>
  <si>
    <t>EN_BKK_ctnoti_netcore_single_N_N_active_20250612_1700_ads-ayame-restaurant-jun25</t>
  </si>
  <si>
    <t>AYAME Restaurant is Here!</t>
  </si>
  <si>
    <t>Experience premium Japanese cuisine, the only one in a hospital! Established over 20 years, serving finest ingredients, from just 1,170 THB. Book now! 👉</t>
  </si>
  <si>
    <t>TH_BKK_ctnoti_netcore_single_N_N_active_20250612_1700_ads-ayame-restaurant-jun25</t>
  </si>
  <si>
    <t>AYAME Restaurant มาแล้ว!</t>
  </si>
  <si>
    <t>สัมผัสรสชาติอาหารญี่ปุ่นพรีเมียมที่เดียวในโรงพยาบาล เปิดมานานกว่า 20 ปี คัดสรรวัตถุดิบอย่างดี ในราคาเริ่มต้นเพียง 1,170 บาท เท่านั้น 👉</t>
  </si>
  <si>
    <t>TH_BKK_ctnoti_netcore_single_N_N_active_20250613_1100_11th-the-siam-tea-room-jun25</t>
  </si>
  <si>
    <t>🏞️ มา 2 จ่ายแค่ 1! บุฟเฟต์ริมน้ำสุดคุ้ม!</t>
  </si>
  <si>
    <t>อิ่มฟินบุฟเฟต์ไทยพรีเมียม+1 เมนูพิเศษ! เฉลี่ยแค่ 495 บาท/คน ที่ The Siam Tea Room Asiatique! ห้ามพลาดถึง 31 ส.ค. 68!</t>
  </si>
  <si>
    <t>EN_BKK_ctnoti_netcore_single_N_N_active_20250613_1100_11th-the-siam-tea-room-jun25</t>
  </si>
  <si>
    <t>🏞️ Come 2 Pay 1 Riverside Buffet!</t>
  </si>
  <si>
    <t>Enjoy premium Thai buffet + 1 special dish at The Siam Tea Room Asiatique for just 495 THB/person! Don't miss out! Book by Aug 31, 2025!</t>
  </si>
  <si>
    <t>TH_BKK_ctnoti_netcore_single_N_N_active_20250613_1500_11th-okura-cruise-jun25</t>
  </si>
  <si>
    <t>🛥️ River of Gold Sunset Tour ลดโหดกว่า 35%!</t>
  </si>
  <si>
    <t>สัมผัสความงดงามของเจ้าพระยาที่ต้องมนต์เสน่ห์! กับ Okura Cruise ราคาพิเศษ 1,000 บาท/แพ็ก (1-2 ท่าน)! จองก่อน 30 มิ.ย. 68 เท่านั้น!</t>
  </si>
  <si>
    <t>EN_BKK_ctnoti_netcore_single_N_N_active_20250613_1500_11th-okura-cruise-jun25</t>
  </si>
  <si>
    <t>🛥️ River of Gold Sunset Tour Huge 35%+ OFF!</t>
  </si>
  <si>
    <t>Experience the enchanting beauty of the Chao Phraya River! With Okura Cruise, get this special price of just 1,000 THB/pack (1-2 people)! Book by June 30, 2025, only!</t>
  </si>
  <si>
    <t>EN_BKK_ctnoti_netcore_single_N_N_active_20250613_1700_ads-realpork-korean-pub-grill-jun25</t>
  </si>
  <si>
    <t>🔥 Realpork is calling, K-BBQ fans!</t>
  </si>
  <si>
    <t>Get the best Korean BBQ vibes at CentralWorld! Sharing sets start at just THB 498/person — premium pork, great drinks &amp; good times await!</t>
  </si>
  <si>
    <t>TH_BKK_ctnoti_netcore_single_N_N_active_20250613_1700_ads-realpork-korean-pub-grill-jun25</t>
  </si>
  <si>
    <t>🔥 สายเกาหลีต้องโดน Realpork!</t>
  </si>
  <si>
    <t>แชร์เซตสุดคุ้มเริ่มแค่ 498.-/คน ปิ้งย่างหมูพรีเมียม ซุปเกาหลี บรรยากาศสุดชิลล์ใจกลางเซ็นทรัลเวิลด์ จองเลย!</t>
  </si>
  <si>
    <t>EN_BKK_ctnoti_netcore_group_N_N_active_20250614_1100_11th-you-i-premium-suki-buffet-jun25</t>
  </si>
  <si>
    <t>🥩 15% OFF Premium Suki Buffet!</t>
  </si>
  <si>
    <t>Wagyu, seafood &amp; 10 rich broths — You&amp;I Buffet now from THB 507 at all branches. Promo ends June 30. Book your seat now!</t>
  </si>
  <si>
    <t>TH_BKK_ctnoti_netcore_group_N_N_active_20250614_1100_11th-you-i-premium-suki-buffet-jun25</t>
  </si>
  <si>
    <t>🥩 บุฟเฟ่ต์เนื้อพรีเมียมลดทั้งแบรนด์!</t>
  </si>
  <si>
    <t>You&amp;I ลด 15% ทุกสาขา! เริ่ม 507.- เนื้อวากิว ซีฟู้ด ซุป 10 รส ของหวานครบ รีบจองก่อนหมดโปร 30 มิ.ย.นี้!</t>
  </si>
  <si>
    <t>EN_BKK_ctnoti_netcore_single_N_N_active_20250614_1500_ads-giorgio-s-riverside-jun25</t>
  </si>
  <si>
    <t>Come 4, Pay 3 at Giorgio's! 🥂</t>
  </si>
  <si>
    <t>Your perfect group night out! Enjoy a premium AYCE Italian feast &amp; free-flow drinks for just ฿1,643/person. Offer valid until 30 Jun 25!</t>
  </si>
  <si>
    <t>TH_BKK_ctnoti_netcore_single_N_N_active_20250614_1500_ads-giorgio-s-riverside-jun25</t>
  </si>
  <si>
    <t>Giorgio's มา 4 จ่าย 3! 🥂</t>
  </si>
  <si>
    <t>ชวนแก๊งมาดินเนอร์หรูริมน้ำ! อิ่มไม่อั้นบุฟเฟต์อิตาเลียนพรีเมียมพร้อมฟรีโฟลว์ จ่ายเฉลี่ยเพียง 1,643.-/ท่าน ถึง 30 มิ.ย. 68 นี้!</t>
  </si>
  <si>
    <t>EN_BKK_ctnoti_netcore_single_N_N_active_20250614_1700_ads-saruda-finest-pastry-jun25</t>
  </si>
  <si>
    <t>🇫🇷 Saruda from just ฿299!</t>
  </si>
  <si>
    <t>More than just pastry at Saruda! Discover premium, artful savory dishes starting at just ฿299. The perfect Instagrammable treat, right by the BTS!</t>
  </si>
  <si>
    <t>TH_BKK_ctnoti_netcore_single_N_N_active_20250614_1700_ads-saruda-finest-pastry-jun25</t>
  </si>
  <si>
    <t>Saruda เริ่มต้นแค่ 299.- 🇫🇷</t>
  </si>
  <si>
    <t>Saruda ไม่ได้มีแค่ของหวาน! จัดเต็มเมนูคาวพรีเมียมสไตล์ฝรั่งเศส ที่สวยเหมือนงานศิลป์ ในราคาเริ่มต้นแค่ 299.- เท่านั้น! แวะไปง่ายๆ ติด BTS สนามกีฬาฯ</t>
  </si>
  <si>
    <t>Yes, it has an offer ("เริ่มต้นแค่ 299.-"), but it does not follow the "Come X Pay X" structure.</t>
  </si>
  <si>
    <t>EN_BKK_ctnoti_netcore_single_N_N_active_20250615_1100_11th-pengyou-cuisine-specialty-jun25</t>
  </si>
  <si>
    <t>🥟 Come 4 Pay 3 at PengYou!</t>
  </si>
  <si>
    <t>Assemble your foodie squad! The AYCE Chinese buffet &amp; fresh dim sum at PengYou is calling. It's just 743 THB/person with this deal, on until 31 Aug 25!</t>
  </si>
  <si>
    <t>TH_BKK_ctnoti_netcore_single_N_N_active_20250615_1100_11th-pengyou-cuisine-specialty-jun25</t>
  </si>
  <si>
    <t>🥟 PengYou มา 4 จ่าย 3!</t>
  </si>
  <si>
    <t>แท็กทีมด่วน! โปรนี้ต้องมาครบแก๊ง บุฟเฟต์อาหารจีนกับติ่มซำนึ่งสดๆ ที่ PengYou พระราม 9 จ่ายเฉลี่ยแค่คนละ 743.- ถึง 31 ส.ค. 68 นี้</t>
  </si>
  <si>
    <t>EN_BKK_ctnoti_netcore_single_N_N_active_20250615_1500_11th-dynasty-centara-grand-jun25</t>
  </si>
  <si>
    <t>🔥 Dynasty Anniversary: Come 4 Pay 3!</t>
  </si>
  <si>
    <t>Celebrate with an unbeatable offer! Feast on an AYCE dim sum buffet (36+ menus!) &amp; premium mains at Dynasty. Just 818 THB/person. Book now, offer ends 30 June!</t>
  </si>
  <si>
    <t>TH_BKK_ctnoti_netcore_single_N_N_active_20250615_1500_11th-dynasty-centara-grand-jun25</t>
  </si>
  <si>
    <t>🔥 โปรแรงแห่งปี! Dynasty มา 4 จ่าย 3</t>
  </si>
  <si>
    <t>มื้อหรูที่คุ้มที่สุดในรอบปี! อิ่มไม่อั้นติ่มซำกว่า 36 อย่างและเมนคอร์สพรีเมียมที่ Dynasty Centara Ladprao เฉลี่ยคนละ 818.- รีบจองก่อนหมดเขต 30 มิ.ย. นี้!</t>
  </si>
  <si>
    <t>EN_BKK_ctnoti_netcore_single_N_N_active_20250615_1700_ads-cutts-thonglor-omakase-jun25</t>
  </si>
  <si>
    <t>🍣 Omakase in Thonglor? CUTTS 1,150 THB!</t>
  </si>
  <si>
    <t>An authentic Omakase experience without breaking the bank! Enjoy a 12-course menu at CUTTS Thonglor for only 1,150 THB</t>
  </si>
  <si>
    <t>TH_BKK_ctnoti_netcore_single_N_N_active_20250615_1700_ads-cutts-thonglor-omakase-jun25</t>
  </si>
  <si>
    <t>🍣 ดีล Omakase ทองหล่อ! CUTTS 1,150.-</t>
  </si>
  <si>
    <t>เปิดประสบการณ์มื้อหรูในราคาที่เอื้อมถึง! ที่ CUTTS Thonglor Omakase คอร์ส 12 คำ วัตถุดิบพรีเมียม เริ่มเพียง 1,150.- เท่านั้น!</t>
  </si>
  <si>
    <t>TH_BKK_ctnoti_netcore_single_N_N_active_20250616_1100_11th-feast-at-royal-orchid-sheraton-jun25</t>
  </si>
  <si>
    <t>🦞 Feast มา 2 จ่ายแค่ 1</t>
  </si>
  <si>
    <t>วันธรรมดา หรือ สุดสัปดาห์ก็คุ้ม กับบุฟเฟต์นานาชาติและซีฟู้ด กว่า 3 ชั่วโมง ในราคาสุดพิเศษเริ่มต้นเพียง 583 บาท จองเลย</t>
  </si>
  <si>
    <t>EN_BKK_ctnoti_netcore_single_N_N_active_20250616_1100_11th-feast-at-royal-orchid-sheraton-jun25</t>
  </si>
  <si>
    <t>🦞 Feast Come 2 Pay Only 1</t>
  </si>
  <si>
    <t>Weekday or weekend, it’s always a great deal! Enjoy a 3-hour international and seafood buffet for just THB 583. Book now!</t>
  </si>
  <si>
    <t>EN_BKK_ctnoti_netcore_single_N_N_active_20250616_1500_11th-paii-at-the-house-jun25</t>
  </si>
  <si>
    <t>🍷 Paii 3-Course Lunch for 2 + Wine!</t>
  </si>
  <si>
    <t>Dine in timeless elegance at The House on Sathorn. Enjoy a 3-course Thai set lunch for two, including a full bottle of wine, for just 2,318 THB. Offer ends 30 June!</t>
  </si>
  <si>
    <t>TH_BKK_ctnoti_netcore_single_N_N_active_20250616_1500_11th-paii-at-the-house-jun25</t>
  </si>
  <si>
    <t>🍷 มื้อหรูคู่ไวน์ ลดสูงสุด 20%</t>
  </si>
  <si>
    <t>เดทมื้อหรูในบ้านทรงโคโลเนียล! ที่ Paii สาทร กับเซต 3 คอร์สสำหรับ 2 ท่านพร้อมไวน์ 1 ขวดเต็ม! เพียง 2,318.- (เฉลี่ยคนละ 1,159.-) ถึง 30 มิ.ย. นี้เท่านั้น!</t>
  </si>
  <si>
    <t>EN_BKK_ctnoti_netcore_single_N_N_active_20250616_1700_ads-albricias-jun25</t>
  </si>
  <si>
    <t>🥘 Albricias: Come 3 Pay for 2!</t>
  </si>
  <si>
    <t>Keep the indulgence going with unlimited international &amp; Spanish buffet, plus 1 special dish. Just THB 1,526. Until 31 Aug only!</t>
  </si>
  <si>
    <t>TH_BKK_ctnoti_netcore_single_N_N_active_20250616_1700_ads-albricias-jun25</t>
  </si>
  <si>
    <t>ต่อเวลาความฟิน กับโปรบุฟเฟต์นานาชาติ + อาหารสเปนไม่อั้น และเลือกรับ 1 เมนูพิเศษ เพียง 1,526 บาท ตั้งแต่วันนี้ถึง 31 ส.ค เท่านั้น</t>
  </si>
  <si>
    <t>TH_BKK_ctnoti_netcore_single_N_N_active_20250617_1100_11th-serina-japanese-teppanyaki-jun25</t>
  </si>
  <si>
    <t>เทปันยากิในตำนาน ลด 15% ทุกแพ็กเกจ</t>
  </si>
  <si>
    <t>สัมผัสความอร่อยแบบญี่ปุ่น ที่เปิดมานานกว่า 38 ปี กับ Serina Japanese Teppanyaki จัดเต็มทั้งวากิว A5 และอีกมากมย ในราคาสุดพิเศษ ถึง 31 ส.ค</t>
  </si>
  <si>
    <t>EN_BKK_ctnoti_netcore_single_N_N_active_20250617_1100_11th-serina-japanese-teppanyaki-jun25</t>
  </si>
  <si>
    <t>15% Off Legendary Teppanyaki!</t>
  </si>
  <si>
    <t>Serina Japanese Teppanyaki: 38 years of authentic Japanese flavor. Enjoy A5 Wagyu &amp; more. Special prices until August 31st!</t>
  </si>
  <si>
    <t>TH_BKK_ctnoti_netcore_single_N_N_active_20250617_1500_11th--hyde-seek-jun25</t>
  </si>
  <si>
    <t>🍽️ มา 4 จ่าย 3 กับ Hyde &amp; Seek</t>
  </si>
  <si>
    <t>ดินเนอร์บุฟเฟต์แบบไม่อั้น กับขบวนซุป สลัด เมนูจานหลัก พาสต้า พิซซ่า และอีกมากมาย พิเศษ 881 บาท ลดจนถึง 30 มิ.ย เท่านั้น</t>
  </si>
  <si>
    <t>EN_BKK_ctnoti_netcore_single_N_N_active_20250617_1500_11th--hyde-seek-jun25</t>
  </si>
  <si>
    <t>🍽️ Hyde &amp; Seek: Come 4 Pay for 3!</t>
  </si>
  <si>
    <t>Enjoy an unlimited dinner buffet featuring soups, salads, mains, pasta, pizza &amp; more—just THB 881. Promo valid until 30 June only!</t>
  </si>
  <si>
    <t>Yes, Come 4 Pay for 3.</t>
  </si>
  <si>
    <t>SG_BKK_ctnoti_netcore_group_N_N_active_20250617_1700_sg-restaurant-month-jun25</t>
  </si>
  <si>
    <t>SG Restaurant Month is Here! 🎉</t>
  </si>
  <si>
    <t>Dine smart and enjoy exclusive deals with discounts of up to 50% OFF. Book your table now!</t>
  </si>
  <si>
    <t>No, the subject line does not explicitly state a "Come X Pay X" offer.</t>
  </si>
  <si>
    <t>EN_BKK_ctnoti_netcore_single_N_N_active_20250617_1700_11th-ads-moxy-bar-restaurant-jun25</t>
  </si>
  <si>
    <t>🔥🥩 MOXY: Come 4 Pay for 3!</t>
  </si>
  <si>
    <t>Feast on unlimited BBQ ribs, brisket, and premium Brahman beef for just THB 750 at Moxy Bar &amp; Restaurant. Until 30 June only!</t>
  </si>
  <si>
    <t>TH_BKK_ctnoti_netcore_single_N_N_active_20250617_1700_11th-ads-moxy-bar-restaurant-jun25</t>
  </si>
  <si>
    <t>🔥🥩 MOXY มา 4 จ่ายแค่ 3</t>
  </si>
  <si>
    <t>อิ่มไม่อั้นกับบุฟเฟต์ซี่โครง บริสเก็ต เนื้อบราหมันท็อปเกรด เพียง 750 บาท ที่ Moxy Bar &amp; Restaurant วันนี้ - 30 มิ.ย เท่านั้น</t>
  </si>
  <si>
    <t>TH_BKK_ctnoti_netcore_group_N_N_active_20250618_1100_weekly-new-week3-jun25</t>
  </si>
  <si>
    <t>EN_BKK_ctnoti_netcore_group_N_N_active_20250618_1100_weekly-new-week3-jun25</t>
  </si>
  <si>
    <t>TH_BKK_ctnoti_netcore_single_N_N_active_20250618_1500_11th-rain-tree-cafe-jun25</t>
  </si>
  <si>
    <t>🌍 บุฟเฟต์ดิ แอทธินี มา 2 จ่ายแค่ 1</t>
  </si>
  <si>
    <t>ยิ่งมาเยอะ ยิ่งจ่ายน้อย กับบุฟเฟต์นานาชาติ จาก ดิ แอทธินี โฮเทล ในราาคาสุดพิเศษ 985 บาท วันนี้ถึง 30 ก.ย เท่านั้น</t>
  </si>
  <si>
    <t>EN_BKK_ctnoti_netcore_single_N_N_active_20250618_1500_11th-rain-tree-cafe-jun25</t>
  </si>
  <si>
    <t>🌍 The Athenee Buffet Come 2 Pay 1!</t>
  </si>
  <si>
    <t>The more, the merrier! Enjoy an all-you-can-eat international buffet for just THB 985. Available now–30 Sept only!</t>
  </si>
  <si>
    <t>EN_BKK_ctnoti_netcore_single_N_N_active_20250618_1700_moru-sushi-jun25</t>
  </si>
  <si>
    <t>🍣 Must-Try Sushi Buffet in Lat Krabang!</t>
  </si>
  <si>
    <t>Starting from just THB 599, enjoy unlimited salmon, sushi, sashimi, and more at Moru Sushi. Book now via Hungry Hub!</t>
  </si>
  <si>
    <t>TH_BKK_ctnoti_netcore_single_N_N_active_20250618_1700_moru-sushi-jun25</t>
  </si>
  <si>
    <t>🍣 บุฟเฟต์ซูชิร้านเด็ดลาดกระบัง มาถึงแล้ว!</t>
  </si>
  <si>
    <t>เริ่มต้น 599 ก็ทานได้ กับบุฟเฟต์แซลมอน ซูชิ ซาชิมิ อาหารญี่ปุ่น และอีกมากมาย ที่ Moru Sushi จองเลยที่ Hungry Hub</t>
  </si>
  <si>
    <t>TH_BKK_ctnoti_netcore_group_N_N_active_20250612_1100_11th-special-deal-jun25</t>
  </si>
  <si>
    <t>⚡️ ห้ามพลาดร้านดัง ลดสูงสุด 50%</t>
  </si>
  <si>
    <t>ฉลองต่อเนื่องกับ 11th Hungry Hub Anniversary กับดีลราคาพิเศษจากร้านดังมากมาย อาทิ Copper Buffet, Vantage Point, วันนี้ - 30 มิ.ย</t>
  </si>
  <si>
    <t>EN_BKK_ctnoti_netcore_group_N_N_active_20250612_1100_11th-special-deal-jun25</t>
  </si>
  <si>
    <t>⚡️ Don’t Miss: Up to 50% OFF at Top Restaurants!</t>
  </si>
  <si>
    <t>Celebrate Hungry Hub’s 11th Anniversary with unbeatable deals from famous spots like Copper Buffet and Vantage Point. Now–30 June only!</t>
  </si>
  <si>
    <t>EN_BKK_ctnoti_netcore_single_N_N_active_20250612_1500_11th-chon-som-jun25</t>
  </si>
  <si>
    <t>🍽️ Come 4 Pay 3 at Chon Som</t>
  </si>
  <si>
    <t>Indulge in an unlimited feast of international buffet, seafood, Asian favorites, and more—starting from just 592 THB. Now until 13 Sep only!</t>
  </si>
  <si>
    <t>TH_BKK_ctnoti_netcore_single_N_N_active_20250612_1500_11th-chon-som-jun25</t>
  </si>
  <si>
    <t>🍽️ มา 4 จ่าย 3 กับ Chon Som</t>
  </si>
  <si>
    <t>อิ่มอร่อยไม่อั้นกับบุฟเฟต์นานาชาติ ซีฟู้ด อาหารเชีย และอีกมากมาย ในราคาสุดพิเศษ เริ่มต้น 592 บาท วันนี้ - 13 ก.ย เท่านั้น</t>
  </si>
  <si>
    <t>EN_BKK_ctnoti_netcore_single_N_N_active_20250612_1700_11th-bai-yun-banyan-tree--jun25</t>
  </si>
  <si>
    <t>🥢 Premium Dim Sum Buffet with Stunning City Views</t>
  </si>
  <si>
    <t>The more, the merrier! Enjoy a luxurious dim sum buffet at Bai Yun, Banyan Tree Bangkok—starting from just 954 THB. Available now until 30 June only.</t>
  </si>
  <si>
    <t>Yes, the subject line "🥢 Premium Dim Sum Buffet with Stunning City Views" contains an offer. X Pay is a "buy now and pay later" payment option in the X Wallet App.</t>
  </si>
  <si>
    <t>TH_BKK_ctnoti_netcore_single_N_N_active_20250612_1700_11th-bai-yun-banyan-tree--jun25</t>
  </si>
  <si>
    <t>🥢 ติ่มซำบุฟเฟต์ ชมวิวเมืองสุดหรู</t>
  </si>
  <si>
    <t>ยิ่งมาเยอะ ยิ่งจ่ายน้อย กับบุฟเฟต์ติ่มซำสุดพรีเมียมจาก Bai Yun Banyan Tree Bangkok ในราคาพิเศษ เริ่มต้นเพียง 954 บาท วันนี้ - 30 มิ.ย เท่านั้น</t>
  </si>
  <si>
    <t>SG_BKK_ctnoti_netcore_single_N_N_active_20250618_1730_ads-M Thai-jun25</t>
  </si>
  <si>
    <t>M Thai Special: 20% OFF! 🌶️🌶️</t>
  </si>
  <si>
    <t>Get 20% OFF at M Thai till July 15. That’s your sign to book 😏</t>
  </si>
  <si>
    <t>TH_BKK_ctnoti_netcore_single_N_N_active_20250620_1100_11th-atrium-restaurant-jun25</t>
  </si>
  <si>
    <t>🍽️ มา 2 จ่าย 1 กับ Atrium Restaurant</t>
  </si>
  <si>
    <t>เต็มอิ่มทั้งมื้อเที่ยง ดินเนอร์แบบไม่อั้น กับบุฟเฟต์นานาชาติ ซีฟู้ด พร้อมเครื่องดื่มไม่อั้น ในราคาสุดพิเศษ เริ่มต้นเพียง 800 บาท วันนี้ - 31 ส.ค.</t>
  </si>
  <si>
    <t>EN_BKK_ctnoti_netcore_single_N_N_active_20250620_1100_11th-atrium-restaurant-jun25</t>
  </si>
  <si>
    <t>🍽️ Come 2 Pay 1 at Atrium Restaurant</t>
  </si>
  <si>
    <t>Feast all you want for lunch or dinner! Enjoy an unlimited international &amp; seafood buffet with free-flow drinks from just 800 THB. Valid until 31 Aug only.</t>
  </si>
  <si>
    <t>EN_BKK_ctnoti_netcore_partner_N_N_active_20250620_1500_krungsri-jun25</t>
  </si>
  <si>
    <t>TH_BKK_ctnoti_netcore_partner_N_N_active_20250620_1500_krungsri-jun25</t>
  </si>
  <si>
    <t>💳 คุ้มทะลุ ทุกเรื่องออนไลน์</t>
  </si>
  <si>
    <t>EN_BKK_ctnoti_netcore_group_N_N_active_20250620_1700_11th--ads-tham-me-jun25</t>
  </si>
  <si>
    <t>🌿 Tham-Me: Extra 20% Off!</t>
  </si>
  <si>
    <t>Enjoy wholesome, chemical-free Thai cuisine crafted with natural ingredients. Special prices starting from just 310 THB — only until 30 June!</t>
  </si>
  <si>
    <t>Come 100% Pay 80%</t>
  </si>
  <si>
    <t>TH_BKK_ctnoti_netcore_group_N_N_active_20250620_1700_11th--ads-tham-me-jun25</t>
  </si>
  <si>
    <t>🌿 Tham-Me ลดเพิ่ม 20%</t>
  </si>
  <si>
    <t>อิ่มอร่อยกับอาหารไทยธรรมชาติ ที่ได้สุขภาพ ไร้สารเคมี ในราคาสุดพิเศษ เริ่มต้นเพียง 310 บาท วันนี้ -  30 มิ.ย. เท่านั้น</t>
  </si>
  <si>
    <t>EN_BKK_ctnoti_netcore_single_N_N_active_20250621_1100_11th-yumcha-teahouse-jun25</t>
  </si>
  <si>
    <t>🥢 Come 3 Pay 2 at Yumcha Teahouse</t>
  </si>
  <si>
    <t>Indulge in premium all-you-can-eat dim sum and a variety of delicious side dishes, starting from just 498 THB. Available now – 16 Aug only!</t>
  </si>
  <si>
    <t>TH_BKK_ctnoti_netcore_single_N_N_active_20250621_1100_11th-yumcha-teahouse-jun25</t>
  </si>
  <si>
    <t>🥢 มา 3 จ่าย 2 กับ Yumcha Teahouse</t>
  </si>
  <si>
    <t>อิ่มไม่อั้นกับบุฟเฟต์ติ่มซำพรีเมียม พร้อมเมนูกับแกล้มมากมาย ในราคาสุดพิเศษ เริ่มต้นเพียง 498 บาท วันนี้ -  16 สิ.ค. เท่านั้น</t>
  </si>
  <si>
    <t>EN_BKK_ctnoti_netcore_single_N_N_active_20250621_1500_11th-bistro-m--jun25</t>
  </si>
  <si>
    <t>🔥 15% Off at Bistro M</t>
  </si>
  <si>
    <t>Enjoy an international buffet with 1 premium dish and unlimited drinks at a special price — only 757 THB. Available until 30 June only!</t>
  </si>
  <si>
    <t>TH_BKK_ctnoti_netcore_single_N_N_active_20250621_1500_11th-bistro-m--jun25</t>
  </si>
  <si>
    <t>🔥 ลด 15% กับ Bistro M</t>
  </si>
  <si>
    <t>จัดเต็มกับบุฟเฟต์นานาชาติ พร้อมเลือกรับ 1 เมนูพรีเมียม และเครื่องดื่มไม่อั้น ในราคาพิเศษเหลืองเพียง 757 บาท จนถึง 30 มิ.ย. เท่านั้น</t>
  </si>
  <si>
    <t>EN_BKK_ctnoti_netcore_single_N_N_active_20250621_1700_11th-zeta-cafe-holiday-inn-jun25</t>
  </si>
  <si>
    <t>🍽️ Zeta Cafe: Come 3, Pay for 2!</t>
  </si>
  <si>
    <t>Enjoy unlimited international dinner buffet plus exclusive special dishes for Hungry Hub customers — just 766 THB. Until 31 July only!</t>
  </si>
  <si>
    <t>TH_BKK_ctnoti_netcore_single_N_N_active_20250621_1700_11th-zeta-cafe-holiday-inn-jun25</t>
  </si>
  <si>
    <t>🍽️ Zeta Cafe มา 3 จ่ายแค่ 2</t>
  </si>
  <si>
    <t>ยิ่งชวนเพื่อน ยิ่งคุ้ม กับดินเนอร์บุฟเฟต์นานาชาติ พร้อมเมนูพิเศษสั่งได้ไม่อั้น เฉพาะลูกค้า Hungry Hub เพียง 766 บาท วันนี้ - 31 ก.ค. เท่านั้น</t>
  </si>
  <si>
    <t>EN_BKK_ctnoti_netcore_single_N_N_active_20250622_1100_11th-rain-tree-cafe-jun25</t>
  </si>
  <si>
    <t>🌍 Rain Tree Cafe Come 2 Pay 1</t>
  </si>
  <si>
    <t>Indulge in a full international buffet lineup with seafood and Asian specialties at a sizzling deal — only 985 THB for 2 people. Book now!</t>
  </si>
  <si>
    <t>TH_BKK_ctnoti_netcore_single_N_N_active_20250622_1100_11th-rain-tree-cafe-jun25</t>
  </si>
  <si>
    <t>🌍 มา 2 จ่าย 1 กับ Rain Tree Cafe</t>
  </si>
  <si>
    <t>ยกขบวนไลน์อัพบุฟเฟต์นานาชาติ ซีฟู้ด เอเชีย แบบจัดเต็ม ในราคาสุดร้อนแรง ที่ไม่ควรพลาด เพียง 985 บาท (สำหรับ 2 ท่าน) จองเลย</t>
  </si>
  <si>
    <t>EN_BKK_ctnoti_netcore_single_N_N_active_20250622_1500_11th-red-oven-jun25_</t>
  </si>
  <si>
    <t>🔥 Robata Grill Dinner Buffet is Here!</t>
  </si>
  <si>
    <t>TH_BKK_ctnoti_netcore_single_N_N_active_20250622_1500_11th-red-oven-jun25_</t>
  </si>
  <si>
    <t>🔥 Robata Grill Dinner Buffet มาแล้ว!!</t>
  </si>
  <si>
    <t>EN_BKK_ctnoti_netcore_single_N_N_active_20250622_1700_11th-open-at-doubletree-jun25</t>
  </si>
  <si>
    <t>🍽️ Special Buffet Under 500 THB!</t>
  </si>
  <si>
    <t>Wrap up your evening with an exclusive dinner buffet at OPEN, DoubleTree. Enjoy the Buy 1 Get 1 Free deal starting from just 352 THB. Until July 31 only!</t>
  </si>
  <si>
    <t>TH_BKK_ctnoti_netcore_single_N_N_active_20250622_1700_11th-open-at-doubletree-jun25</t>
  </si>
  <si>
    <t>🍽️ บุฟเฟต์ราคาพิเศษ จ่ายไม่ถึง 500.-</t>
  </si>
  <si>
    <t>มาปิดท้ายดินเนอร์ของวัน กับบุฟเฟต์สุดพิเศษจาก OPEN at DoubleTree พร้อมโปรมา 2 จ่าย 1 เริ่มต้นเพียง 352 บาท วันนี้ - 31 ก.ค. เท่านั้น</t>
  </si>
  <si>
    <t>TH_BKK_ctnoti_netcore_single_N_N_active_20250623_1100_11th-fast-track-jun25</t>
  </si>
  <si>
    <t>🚀 7 วันสุดท้าย อัปเกรดสู่ระดับ Platinum</t>
  </si>
  <si>
    <t>โค้งสุดท้าย กับการยกระดับสู่ Platinum รับสิทธิพิเศษที่มากกว่า เพียงซื้อกิฟต์การ์ดครบตามอดที่กำหนด วันนี้ - 30 มิ.ย. เท่านั้น</t>
  </si>
  <si>
    <t>EN_BKK_ctnoti_netcore_single_N_N_active_20250623_1100_11th-fast-track-jun25</t>
  </si>
  <si>
    <t>Last 7 Days to Upgrade to Platinum! 🚀</t>
  </si>
  <si>
    <t>Final chance to elevate your status to Platinum and unlock exclusive benefits! ✨ Simply purchase gift cards totaling the specified amount between today and June 30th</t>
  </si>
  <si>
    <t>SG_BKK_ctnoti_netcore_single_N_N_active_20250620_1730_ads-Oscars At Conrad Singapore jun25</t>
  </si>
  <si>
    <t>Shiok Seafood &amp; More, 4‑for‑3 at Oscar’s!</t>
  </si>
  <si>
    <t>EN_BKK_ctnoti_netcore_group_N_N_active_20250623_1500_11th-pengyou-cuisine-jun25</t>
  </si>
  <si>
    <t>🦆 PengYou Cuisine Come 4 Pay 3!</t>
  </si>
  <si>
    <t>Enjoy an all-you-can-eat feast roasted duck, red BBQ pork, crispy pork belly, plus over 50 Chinese dishes &amp; desserts! Only 742 Baht. Today - August 31st! 🥢</t>
  </si>
  <si>
    <t>TH_BKK_ctnoti_netcore_group_N_N_active_20250623_1500_11th-pengyou-cuisine-jun25</t>
  </si>
  <si>
    <t>🦆 มา 4 จ่าย 3 กับ PengYou Cuisine</t>
  </si>
  <si>
    <t>ทานไม่อั้นทั้งเป็ดย่าง หมูแดง หมูกรอบ พร้อมอาหารจีนและของหวานอีกกว่า 50 รายการ เพียง 742 บาท วันนี้ - 31 ส.ค. เท่านั้น 🥢</t>
  </si>
  <si>
    <t>EN_BKK_ctnoti_netcore_single_N_N_active_20250623_1700_11th-the-square-jun25</t>
  </si>
  <si>
    <t>🍤 Come 4 Pay 3 at The Square</t>
  </si>
  <si>
    <t>Indulge in an all-you-can-eat River Prawn buffet, fusion dishes, and chef's table signatures at Novotel Bangkok Siam Square — only 1,141 THB (from 1,521 THB). Until June 30 only!</t>
  </si>
  <si>
    <t>TH_BKK_ctnoti_netcore_single_N_N_active_20250623_1700_11th-the-square-jun25</t>
  </si>
  <si>
    <t>อิ่มไม่อั้นกับบุฟเฟต์กุ้งแม่น้ำ เมนูฟิวชั่น และเมนูซิกเนเจอร์สไตล์เชฟเทเบิ้ล ที่ Novotel Bangkok Siam Square เพียง 1,141 บาท จากปกติ 1,521 บาท วันนี้ - 30 มิ.ย. เท่านั้น</t>
  </si>
  <si>
    <t>TH_BKK_ctnoti_netcore_group_N_N_active_20250624_1700_11th-beef-express-jun25</t>
  </si>
  <si>
    <t>🥩 มา 3 จ่าย 2 กับ Beef Express</t>
  </si>
  <si>
    <t>จัดเต็มบุฟเฟต์สเต็กสุดพรีเมียมแบบไม่อั้น พร้อมเมนูทานเล่น สลัด พาสต้า 2 ชั่วโมงเต็ม ในราคาสุดพิเศษ เริ่มต้น 526 บาท วันนี้ - 30 มิ.ย. เท่านั้น</t>
  </si>
  <si>
    <t>2252, 2447, 3181</t>
  </si>
  <si>
    <t>EN_BKK_ctnoti_netcore_group_N_N_active_20250624_1700_11th-beef-express-jun25</t>
  </si>
  <si>
    <t>🥩 Come 3 Pay 2 at Beef Express</t>
  </si>
  <si>
    <t>Feast on premium steak buffet with unlimited appetizers, salads, and pasta for 2 full hours — all starting at just 526 THB. Available now until June 30 only!</t>
  </si>
  <si>
    <t>EN_BKK_ctnoti_netcore_single_N_N_active_20250624_1900_11th-purple-laurel-jun25</t>
  </si>
  <si>
    <t>🥢 Up to 15% Off at Purple Laurel</t>
  </si>
  <si>
    <t>Savor exquisite Cantonese fine dining in an elegant setting at Gaysorn Amarin. Special prices start from just 845 THB, now until July 31 only!</t>
  </si>
  <si>
    <t>TH_BKK_ctnoti_netcore_single_N_N_active_20250624_1900_11th-purple-laurel-jun25</t>
  </si>
  <si>
    <t>🥢 Purple Laurel ลดสูงสุด 15%</t>
  </si>
  <si>
    <t>สัมผัสความอร่อยกับอาหารจีนกวางตุ้งไฟน์ไดนิ่ง พร้อมบรรยากาศสุดหรูใจกลาง Gaysorn Amarin เริ่มต้น 845 บาท วันนี้ - 31 ก.ค. เท่านั้น</t>
  </si>
  <si>
    <t>TH_BKK_ctnoti_netcore_single_N_N_active_20250625_1100_11th-food-exchange-restaurant-jun25</t>
  </si>
  <si>
    <t>Food Exchange มา 2 จ่าย 1</t>
  </si>
  <si>
    <t>จ่ายแค่ 349.- อิ่มไม่อั้นกับมื้อเที่ยงสุดคุ้ม 3 ชั่วโมงเต็ม รวมครบทั้งอาหารไทย นานาชาติ พร้อมเลือกเครื่องดื่ม ม็อกเทล/ค็อกเทล ประจำวัน จองเลย</t>
  </si>
  <si>
    <t>EN_BKK_ctnoti_netcore_single_N_N_active_20250625_1100_11th-food-exchange-restaurant-jun25</t>
  </si>
  <si>
    <t>Lunch Buffet Come 2 Pay 1</t>
  </si>
  <si>
    <t>Only 349.- for 3-hr feast! Enjoy Thai &amp; global dishes + daily mocktail/cocktail at Food Exchange. Book now!</t>
  </si>
  <si>
    <t>SG_BKK_ctnoti_netcore_single_N_N_active_20250625_1730_ads-Crossroads Buffet at Singapore</t>
  </si>
  <si>
    <t>Crossroads Buffet: Dine 3, Pay for 2 – Don't Miss Out!</t>
  </si>
  <si>
    <t>SG_BKK_ctnoti_netcore_single_N_N_active_20250625_1730_ads-Nozomi at The Star Vista</t>
  </si>
  <si>
    <t>Nozomi’s All-You-Can-Eat Party Feast!</t>
  </si>
  <si>
    <t>SG_BKK_ctnoti_netcore_single_N_N_active_20250625_1730_ads-Nozomi at Millenia Walk</t>
  </si>
  <si>
    <t>AYCE!! Nozomi at Millenia Walk</t>
  </si>
  <si>
    <t>EN_BKK_ctnoti_netcore_group_N_N_active_20250625_1500_weekly-new-week4-jun25</t>
  </si>
  <si>
    <t>TH_BKK_ctnoti_netcore_group_N_N_active_20250625_1500_weekly-new-week4-jun25</t>
  </si>
  <si>
    <t>EN_BKK_ctnoti_netcore_single_N_N_active_20250625_1700_11th-seasonal-tastes--jun25</t>
  </si>
  <si>
    <t>🦐 Seafood Feast Come 2 Pay 1</t>
  </si>
  <si>
    <t>🔥 Just 870.- for 2! Grilled and seafood buffet at Seasonal Tastes. Until 31 Aug only—book now!</t>
  </si>
  <si>
    <t>TH_BKK_ctnoti_netcore_single_N_N_active_20250625_1700_11th-seasonal-tastes--jun25</t>
  </si>
  <si>
    <t>🦐 ซีฟู้ดไม่อั้น จ่ายไม่ถึงหลักพัน</t>
  </si>
  <si>
    <t>จองโปรแรง มา 2 จ่าย 1 ก่อนสุดสัปดาห์ กับบุฟเฟต์ซีฟู้ด เมนูย่าง จาก Seasonal Tastes ในราคาสุดพิเศษ 870 บาท วันนี้ - 31 ส.ค. เท่านั้น</t>
  </si>
  <si>
    <t>EN_BKK_ctnoti_netcore_single_N_N_active_20250626_1100_11th-top-spender-jun25</t>
  </si>
  <si>
    <t>🎁 Who will win FREE stay &amp; buffet?</t>
  </si>
  <si>
    <t>Last chance to win a luxury stay at Banyan Tree (worth 7,000 THB) + FREE Copper Buffet! Book by June 30 only! 🏨🍴</t>
  </si>
  <si>
    <t>TH_BKK_ctnoti_netcore_single_N_N_active_20250626_1100_11th-top-spender-jun25</t>
  </si>
  <si>
    <t>🎁 ใครจะได้ที่พัก &amp; บุฟเฟต์ ฟรีไปในครั้งนี้?</t>
  </si>
  <si>
    <t>โอกาศสุดท้ายจองมากที่สุด ลุ้นรับที่พักจาก Banyan Tree มูลค่ากว่า 7,000 บาท ฟรี และ บุฟเฟต์จาก Copper Buffet ถึง 30 มิ.ย. เท่านั้น</t>
  </si>
  <si>
    <t>SG_BKK_ctnoti_netcore_single_N_N_active_20250626_1730_ads-Basilico at Conrad Singapore Orchard</t>
  </si>
  <si>
    <t>Special Offer: 4 for 3 at BASILICO – Don't Miss Out!</t>
  </si>
  <si>
    <t>Hey 
,‌ Gather your friends for an Italian culinary adventure at Basilico! With our '4 for the price of 3' deal, it's the perfect time to indulge in deliciousness!</t>
  </si>
  <si>
    <t>EN_BKK_ctnoti_netcore_single_N_N_active_20250626_1500_11th-orbit-restaurant-grande-jun25</t>
  </si>
  <si>
    <t>🥭 Come 4 Pay 3 at Orbit Restaurant!</t>
  </si>
  <si>
    <t>Tango Mango Buffet with tropical vibes starts from just 585 THB — until June 30 only! 🌺🍤</t>
  </si>
  <si>
    <t>TH_BKK_ctnoti_netcore_single_N_N_active_20250626_1500_11th-orbit-restaurant-grande-jun25</t>
  </si>
  <si>
    <t>🥭 มา 4 จ่าย 3 กับ Orbit Restaurant</t>
  </si>
  <si>
    <t>จุใจกับบุฟเฟต์ Tango Mango ครบครันทั้งเมนูนานาชาติ และเมนูสไตล์ทรอปิคอล ในราคาสุดพิเศษ เริ่มต้น 585 บาท วันนี้ - 30 มิ.ย. เท่านั้น</t>
  </si>
  <si>
    <t>EN_BKK_ctnoti_netcore_single_N_N_active_20250626_1700_ads-escape-bangkok-emquartier-jun25</t>
  </si>
  <si>
    <t>🌴 Escape Bangkok is here at EmQuartier!</t>
  </si>
  <si>
    <t>Enjoy Beach club vibes, live DJ, global bites — all from just 499 THB! Book Now At Hungry Hub 🎧🍽️</t>
  </si>
  <si>
    <t>TH_BKK_ctnoti_netcore_single_N_N_active_20250626_1700_ads-escape-bangkok-emquartier-jun25</t>
  </si>
  <si>
    <t>🌴 Escape Bangkok Emquartier มาแล้ว!!</t>
  </si>
  <si>
    <t>เพลิดเพลินกับบาร์สไตล์บีชคลับใจกลางเอ็มสเฟียร์ พร้อมเต็มอิ่มกับเมนูนานาชาติ พร้อมดีเจและดนตรีสด เริ่มต้น 499 บาท จองเลย</t>
  </si>
  <si>
    <t>TH_BKK_ctnoti_netcore_group_N_N_active_20250627_1100_11th-house-of-chandra-jun25</t>
  </si>
  <si>
    <t>🍮 House of Chandra มีขนมหวานบุฟเฟต์ด้วย?</t>
  </si>
  <si>
    <t>สัมผัสกับรสชาติขนมไทยที่คุ้นเคย ในบรรยากาศไทยโคโลเนียลสุดวินเทจ พร้อมโปรมา 2 จ่าย 1 วันนี้ - 30 มิ.ย. เท่านั้น</t>
  </si>
  <si>
    <t>SG_BKK_ctnoti_netcore_single_N_N_active_20250627_1730_ads-Lobby Lounge &amp; The Terrace At Conrad Sing</t>
  </si>
  <si>
    <t>15% Off Afternoon Tea at Lobby Lounge 🫖</t>
  </si>
  <si>
    <t>EN_BKK_ctnoti_netcore_group_N_N_active_20250627_1100_11th-house-of-chandra-jun25</t>
  </si>
  <si>
    <t>🍮 Thai Dessert Buffet Deal!</t>
  </si>
  <si>
    <t>2 pay 1 at House of Chandra! Enjoy classic Thai sweets in vintage colonial vibes. Until 30 June only—book now 🇹🇭</t>
  </si>
  <si>
    <t>SG_BKK_ctnoti_netcore_single_N_N_active_20250627_1730_ads-Tea Lounge at Conrad Singapore Orchard</t>
  </si>
  <si>
    <t>Afternoon Tea 20% Off @ Conrad Orchard</t>
  </si>
  <si>
    <t>SG_BKK_ctnoti_netcore_single_N_N_active_20250627_1730_ads-Golden Peony At Conrad Singapore Marina Ba</t>
  </si>
  <si>
    <t>Enjoy Golden Peony Set Menus Starting at $50++ – Offer Ends 15 July!</t>
  </si>
  <si>
    <t>SG_BKK_ctnoti_netcore_single_N_N_active_20250627_1730_ads-Yi Pin Ju Chinese Restaurant</t>
  </si>
  <si>
    <t>Yi Pin Ju:Grab Sharing Sets with 15%–25% OFF</t>
  </si>
  <si>
    <t>Delicious Chinese meals for 2–4 from 15% up to 25% off. Perfect for lunch or dinner meetups. Near Tanjong Pagar MRT!</t>
  </si>
  <si>
    <t>EN_BKK_ctnoti_netcore_single_N_N_active_20250627_1500_11th-crave-aloft-bangkok-jun25</t>
  </si>
  <si>
    <t>🦐 Crave Buffet Come 2 pay 1</t>
  </si>
  <si>
    <t>Seafood, river prawns, sushi &amp; more—only 735.- for 2! At Crave, till 30 June only. Don’t miss this deal 🍣🔥</t>
  </si>
  <si>
    <t>TH_BKK_ctnoti_netcore_single_N_N_active_20250627_1500_11th-crave-aloft-bangkok-jun25</t>
  </si>
  <si>
    <t>🦐 มา 2 จ่าย 1 กับ Crave</t>
  </si>
  <si>
    <t>อิ่มไม่อั้นกับเมนูบุฟเฟต์ซีฟู้ด กุ้งแม่น้ำ อาหารญี่ปุ่น พาสต้า และอีกมากมาย ในราคาสุดพิเศษเพียง 735 บาท วันนี้ - 30 มิ.ย. เท่านั้น</t>
  </si>
  <si>
    <t>EN_BKK_ctnoti_netcore_single_N_N_active_20250627_1700_ads-11th-cafe22-by-courtyard-jun25</t>
  </si>
  <si>
    <t>🦞 Cafe22: 3 Pay 2 Deal!</t>
  </si>
  <si>
    <t>Seafood buffet in Pattaya just 888.-! All-you-can-eat ocean-fresh picks. Until 31 Dec only—book now! 🌊🍤</t>
  </si>
  <si>
    <t>TH_BKK_ctnoti_netcore_single_N_N_active_20250627_1700_ads-11th-cafe22-by-courtyard-jun25</t>
  </si>
  <si>
    <t>🦞 มา 3 จ่าย 2 กับ Cafe22 by Courtyard</t>
  </si>
  <si>
    <t>ใครจะไปพัทยา ห้ามพลาดกับ บุฟเฟต์ซีฟู้ดสดๆจากทะเล สั่งได้ไม่อั้น ในราคาพิเศษ 888 บาท ลดกันยาวๆ วันนี้- 31 ธ.ค. เท่านั้น จองเลย</t>
  </si>
  <si>
    <t>EN_BKK_ctnoti_netcore_single_N_N_active_20250628_1100_11th-market-cafe-hyatt-regency--jun25</t>
  </si>
  <si>
    <t>Hyatt Buffet Deal: Come 2 Pay 1! 🍽️</t>
  </si>
  <si>
    <t>Indulge in our International Breakfast Buffet at Market Cafe with a world of flavours for just 500 THB per person — available until 31 July 2025 only!</t>
  </si>
  <si>
    <t>TH_BKK_ctnoti_netcore_single_N_N_active_20250628_1100_11th-market-cafe-hyatt-regency--jun25</t>
  </si>
  <si>
    <t>โปรบุฟเฟต์ Hyatt! มา 2 จ่าย 1 🍽️</t>
  </si>
  <si>
    <t>จัดเต็มอาหารเช้านานาชาติที่ Market Cafe ทั้งไลน์อาหารตะวันตก ไทย ญี่ปุ่น และอีกมากมาย ในราคาสบายๆ เฉลี่ยเพียง 499 บาท/ท่าน วันนี้ - 31 ก.ค. 68 เท่านั้น</t>
  </si>
  <si>
    <t>EN_BKK_ctnoti_netcore_single_N_N_active_20250628_1500_11th-stock-room-jun25</t>
  </si>
  <si>
    <t>🦞 Kimpton Buffet: Come 3 Pay 2!</t>
  </si>
  <si>
    <t>Indulge in Sea+Land Dinner Buffet at Stock.Room, complete with free-flow alcohol. A feast of seafood and grilled meats awaits for 1,400 THB per person. Offer ends 31 July 2025</t>
  </si>
  <si>
    <t>TH_BKK_ctnoti_netcore_single_N_N_active_20250628_1500_11th-stock-room-jun25</t>
  </si>
  <si>
    <t>🦞 บุฟเฟต์ Kimpton สุดคุ้ม! มา 3 จ่าย 2</t>
  </si>
  <si>
    <t>ฟินกับ Sea+Land Dinner Buffet ที่ Stock.Room ทั้งซีฟู้ดสดใหม่ เนื้อย่างพรีเมียม และฟรีโฟลว์แอลกอฮอล์ 2 ชม.เต็ม เฉลี่ยเพียง 1,400 บาท/ท่าน ถึง 31 ก.ค. 68 เท่านั้น</t>
  </si>
  <si>
    <t>EN_BKK_ctnoti_netcore_single_N_N_active_20250628_1700_11th-reap-factory--jun25</t>
  </si>
  <si>
    <t>🍕 Unlimited A La Carte Feast at Marriott!</t>
  </si>
  <si>
    <t>Enjoy an all-you-can-eat à la carte feast at Reap Factory for just ~฿1,013 per person. Book now before this amazing offer ends June 30!</t>
  </si>
  <si>
    <t>TH_BKK_ctnoti_netcore_single_N_N_active_20250628_1700_11th-reap-factory--jun25</t>
  </si>
  <si>
    <t>🥩 สั่งได้ไม่อั้น! ที่ Courtyard by Marriott</t>
  </si>
  <si>
    <t>ฟินกับเมนู A La Carte ปรุงสดใหม่ที่ Reap Factory ทั้งแกงเขียวหวานเนื้อนุ่มและเมนูนานาชาติอีกเพียบ กับโปรมา 3 จ่าย 2 เฉลี่ยเพียง 1,013 บาท/ท่าน ถึง 30 มิ.ย. 68</t>
  </si>
  <si>
    <t>I cannot determine if a "Come X Pay X" offer is included from the subject line alone.</t>
  </si>
  <si>
    <t>EN_BKK_ctnoti_netcore_single_N_N_active_20250629_1100_11th-ginggai-ramkhamhaeng-jun25</t>
  </si>
  <si>
    <t>🍗 Thai Chicken Buffet Deal 4 Pay 3</t>
  </si>
  <si>
    <t>Dine at “Ginggai” for just 258.-! Fine Thai chicken &amp; 4-region flavors. Until 30 June only—book now!</t>
  </si>
  <si>
    <t>TH_BKK_ctnoti_netcore_single_N_N_active_20250629_1100_11th-ginggai-ramkhamhaeng-jun25</t>
  </si>
  <si>
    <t>🍗 หิวไก่ ต้องมา "กิงไก่"</t>
  </si>
  <si>
    <t>คลายหิวกับรสชาติ 4 ภาค และไก่ทอดแดนสยาม แบบฉบับไฟน์ไดนิ่งสัญชาติไทย พร้อมโปร มา 4 จ่าย 3 เพียง 258 บาท วันนี้ - 30 มิ.ย. จองเลย</t>
  </si>
  <si>
    <t>EN_BKK_ctnoti_netcore_single_N_N_active_20250629_1500_11th-ancient-tea-house-jun25</t>
  </si>
  <si>
    <t>✨ Asiatique Deal! Come 2 Pay 1</t>
  </si>
  <si>
    <t>Enjoy a premium Chinese buffet at Ancient Tea House with stunning riverfront views for just 444 THB person. Valid until 31 Aug 2025.</t>
  </si>
  <si>
    <t>TH_BKK_ctnoti_netcore_single_N_N_active_20250629_1500_11th-ancient-tea-house-jun25</t>
  </si>
  <si>
    <t>✨ โปรเด็ดเอเชียทีค! มา 2 จ่าย 1</t>
  </si>
  <si>
    <t>ฟินกับบุฟเฟต์อาหารจีนพรีเมียมที่ Ancient Tea House ทั้งเมนูปูอลาสก้าและปลาเก๋า! เฉลี่ยเพียง 444.-/ท่าน วันนี้ - 31 ส.ค. 68</t>
  </si>
  <si>
    <t>EN_BKK_ctnoti_netcore_single_N_N_active_20250629_1700_11th-bangkok-78-jun25</t>
  </si>
  <si>
    <t>🍛 Bangkok’78: 4 Pay 3 Deal</t>
  </si>
  <si>
    <t>Just 742.- for Thai buffet! Enjoy spicy seafood, golden bags &amp; stuffed eggs. Until 30 June—book now! 🥢🇹🇭</t>
  </si>
  <si>
    <t>TH_BKK_ctnoti_netcore_single_N_N_active_20250629_1700_11th-bangkok-78-jun2025</t>
  </si>
  <si>
    <t>🍛 มา 4 จ่าย 3 กับ Bangkok'78</t>
  </si>
  <si>
    <t>EN_BKK_ctnoti_netcore_camp_N_N_active_20250630_1100_11th-anniversary-final-jun25</t>
  </si>
  <si>
    <t>🎉 Last Day: 11th Anniversary Deal!</t>
  </si>
  <si>
    <t>Keep it up with Up to 50% off + Come More Pay Less Deals from Top brands and get top perks—ends tonight at midnight! ⏳🔥</t>
  </si>
  <si>
    <t>TH_BKK_ctnoti_netcore_camp_N_N_active_20250630_1100_11th-anniversary-final-jun25</t>
  </si>
  <si>
    <t>🎉 วันสุดท้ายกับดีลแรง ฉลองครบรอบ 11 ปี</t>
  </si>
  <si>
    <t>ห้ามพลาดในการจองแพ็กเกจจากแบรนด์ดัง ลดสูงสุดกว่า 50% พร้อมโปรมา 2 จ่าย 1 และสิทธิ์พิเศษอีกเพียบ ถึงเที่ยงคืนนี้เท่านั้น</t>
  </si>
  <si>
    <t>EN_BKK_ctnoti_netcore_camp_N_N_active_20250630_1500_11th-top-spender-final-jun25</t>
  </si>
  <si>
    <t>🏨 Win Stay at Banyan Tree!</t>
  </si>
  <si>
    <t>Last day to be a Top Spender! Win a luxury stay + Copper Beyond Buffet. Book now before it’s too late! 🍽️🎁</t>
  </si>
  <si>
    <t>TH_BKK_ctnoti_netcore_camp_N_N_active_20250630_1500_11th-top-spender-final-jun25</t>
  </si>
  <si>
    <t>🏨 โอกาสคว้าที่บันยันทรี อยู่ตรงหน้าแล้ว</t>
  </si>
  <si>
    <t>รู้หรือยัง Top Spender วันสุดท้ายแล้ว ลุ้นรับที่พักจาก Banyan Tree และ บุฟเฟต์จาก Coppper Beyond Buffet รีบมาจองเลย!!</t>
  </si>
  <si>
    <t>EN_BKK_ctnoti_netcore_camp_N_N_active_20250630_1700_11th-fast-track-final-jun25</t>
  </si>
  <si>
    <t>⏳ Last Day to Go Platinum!</t>
  </si>
  <si>
    <t>Upgrade to Platinum by reaching the gift card target—exclusive perks await! Ends tonight at midnight! 🎁💳</t>
  </si>
  <si>
    <t>TH_BKK_ctnoti_netcore_camp_N_N_active_20250630_1700_11th-fast-track-final-jun25</t>
  </si>
  <si>
    <t>⏳ วันสุดท้าย อัปเกรดสู่ระดับ Platinum</t>
  </si>
  <si>
    <t>รีบคว้าสิทธิในการยกระดับสู่ Platinum รับสิทธิพิเศษที่มากกว่า เพียงซื้อกิฟต์การ์ดครบตามอดที่กำหนด ถึงเที่ยงคืนนี้เท่านั้น</t>
  </si>
  <si>
    <t>TH_BKK_ctnoti_netcore_camp_N_N_active_20250701_1100_hungry-hub-super-brand-day-jul25</t>
  </si>
  <si>
    <t>🎉 Super Brand Day เริ่มแล้ว</t>
  </si>
  <si>
    <t>ลดจัดหนักกว่า 50% ตลอดทั้งเดือนกรกฎาคม กับดีลเด็ดจากร้านอาหาร โรงแรม บุฟเฟต์ชั้นนำจาก 50 แบรนด์ดัง วันนี้ - 31 ก.ค. เท่านั้น</t>
  </si>
  <si>
    <t>Yes, it indicates a Super Brand Day, which is a promotion.</t>
  </si>
  <si>
    <t>EN_BKK_ctnoti_netcore_camp_N_N_active_20250701_1100_hungry-hub-super-brand-day-jul25</t>
  </si>
  <si>
    <t>🎉 Super Brand Day Starts!</t>
  </si>
  <si>
    <t>50%+ off top dining &amp; hotel deals all July! From 50+ famous brands. Until 31 July only—don’t miss out! 🍽️</t>
  </si>
  <si>
    <t>EN_BKK_ctnoti_netcore_camp_N_N_active_20250701_1500_copper-beyond-buffet-the-sense-jul25</t>
  </si>
  <si>
    <t>🦆 Unlimited Foie Gras!</t>
  </si>
  <si>
    <t>Indulge at Copper Beyond Buffet The Sense foie gras &amp; global dishes for just 1,599.-. Until 31 July only—book now! 🍽️✨</t>
  </si>
  <si>
    <t>TH_BKK_ctnoti_netcore_camp_N_N_active_20250701_1500_copper-beyond-buffet-the-sense-jul25</t>
  </si>
  <si>
    <t>🦆 ฟัวกราส์ไม่อั้น จ่ายเพียงพันห้าเท่านั้น!!</t>
  </si>
  <si>
    <t>หรูหราต่อถึงสิ้นเดือน ก.ค. กับแพ็กเกจพิเศษจาก Copper Beyond Buffet The Sense จุใจกับเมนูนานาชาติ และฟัวกราส์ไม่อั้น เพียง 1,599-</t>
  </si>
  <si>
    <t>EN_BKK_ctnoti_netcore_camp_N_N_active_20250701_1700_ads-82-concept-jul25</t>
  </si>
  <si>
    <t>🍽️ Try 82 Concept Buffet?</t>
  </si>
  <si>
    <t>Thai, global dishes &amp; 80+ drinks—unlimited! From just 759.-. Book now and feast away! 👉✨</t>
  </si>
  <si>
    <t>TH_BKK_ctnoti_netcore_camp_N_N_active_20250701_1700_ads-82-concept-jul25</t>
  </si>
  <si>
    <t>🍽️ ลองหรือยัง 82 Concept บุฟเฟต์?</t>
  </si>
  <si>
    <t>อิ่มไม่อั้นกับเมนูอาหารไทย นานาชาติ และเครื่องดื่มกว่า 80+ รายการ ในราคาสุดพิเศษ เริ่มต้นเพียง 759 บาท จองเลย 👉</t>
  </si>
  <si>
    <t>TH_BKK_ctnoti_netcore_group_N_N_active_20250702_1100_weekly-new-week1-jul25</t>
  </si>
  <si>
    <t>🟢 พุธแรกของเดือน มีดีลดีมาฝาก</t>
  </si>
  <si>
    <t>สัปดาห์นี้มีร้านไหนมาใหม่บ้าง? และห้ามพลาดกับส่วนลดสูงสุด 200 บาทฟรี! เมื่อจองพร้อมรีวิวเป็น 5 คนแรก ของร้านอาหารมาใหม่แต่ละร้าน</t>
  </si>
  <si>
    <t>EN_BKK_ctnoti_netcore_group_N_N_active_20250702_1100_weekly-new-week1-jul25</t>
  </si>
  <si>
    <t>🟢 New Month, New Deals!</t>
  </si>
  <si>
    <t>Check out new spots! Get up to 200.- off FREE when you book &amp; review as the first 5 booking for each restaurants. Don’t miss it!</t>
  </si>
  <si>
    <t>SG_BKK_ctnoti_netcore_single_N_N_active_20250702_1730_ads-China Taste</t>
  </si>
  <si>
    <t>China Taste Sets – 15% to 20% Off!</t>
  </si>
  <si>
    <t>SG_BKK_ctnoti_netcore_single_N_N_active_20250702_1730_ads-Kapitan Bar &amp; Restaurant</t>
  </si>
  <si>
    <t>Grab Up to 32% Off on Kapitan's Feast for 4!</t>
  </si>
  <si>
    <t>SG_BKK_ctnoti_netcore_single_N_N_active_20250702_1730_ads-The Butchers Wife</t>
  </si>
  <si>
    <t>Now 20% Off Everything! Dont miss it!!</t>
  </si>
  <si>
    <t>SG_BKK_ctnoti_netcore_single_N_N_active_20250702_1730_ads-Nalan Restaurant Little India</t>
  </si>
  <si>
    <t>15–20% Off Sharing Sets @ Nalan (Little India)!</t>
  </si>
  <si>
    <t>The offer is a percentage discount, not a "Come X Pay X" offer.</t>
  </si>
  <si>
    <t>SG_BKK_ctnoti_netcore_single_N_N_active_20250702_1730_ads-Manam</t>
  </si>
  <si>
    <t>Grab 20% Discount on Every Offer @ Manam! 🍽️ Limited Time!</t>
  </si>
  <si>
    <t>EN_BKK_ctnoti_netcore_group_N_N_active_20250702_1500_kouen-premium-buffet-jul25</t>
  </si>
  <si>
    <t>🍣 Luxe Sushi Buffet &lt; 1,000!</t>
  </si>
  <si>
    <t>Kouen Premium Buffet: unlimited Japanese, shabu, sushi, drinks &amp; desserts from 940.-. Book now! 👉</t>
  </si>
  <si>
    <t>TH_BKK_ctnoti_netcore_group_N_N_active_20250702_1500_kouen-premium-buffet-jul25</t>
  </si>
  <si>
    <t>🍣 บุฟเฟต์ซูชิสุดหรู ในงบไม่ถึงพัน ❗️</t>
  </si>
  <si>
    <t>ลองเลย✨ Kouen Premium Buffet บุฟเฟต์อาหารญี่ปุ่น ชาบู ซูชิ พร้อมเครื่องดื่มและของหวานไม่อั้น เริ่มต้น 940 บาท จองเลย 👉</t>
  </si>
  <si>
    <t>1168, 1170, 1171, 1864, 1865, 1866, 1867, 1868, 4203, 4204, 4205, 4206, 4207, 4208, 4209</t>
  </si>
  <si>
    <t>EN_BKK_ctnoti_netcore_camp_N_N_active_20250702_1700_ads-ekkaluck-madi-paidi-jul25</t>
  </si>
  <si>
    <t>💫 Secret Date, Secret Deal</t>
  </si>
  <si>
    <t>Savor sparkling wine, champagne &amp; special secret dishes at Ekkaluck Bangkok. From just 213.-/person. 🥂✨ Book now!</t>
  </si>
  <si>
    <t>No, the subject line "💫 Secret Date, Secret Deal" does not explicitly contain a "Come X Pay X" offer.</t>
  </si>
  <si>
    <t>TH_BKK_ctnoti_netcore_camp_N_N_active_20250702_1700_ads-ekkaluck-madi-paidi-jul25</t>
  </si>
  <si>
    <t>💫 Secret Date Secret Deal</t>
  </si>
  <si>
    <t>ดื่มด่ำกับสปาร์คกลิ้งไวน์ สไตล์ Fleur de France และแชมเปญ พร้อมเมนูซีเคร็ทสุดพิเศษจาก Ekkaluck Bangkok เริ่มต้น 213 ต่อท่าน</t>
  </si>
  <si>
    <t>TH_BKK_ctnoti_netcore_group_N_N_active_20250703_1100_special-promotion-july-jul25</t>
  </si>
  <si>
    <t>ห้ามพลาด กับดีลพิเศษเดือนกรกฎาคมนี้</t>
  </si>
  <si>
    <t>ยิ่งมาเยอะ ยิ่งจ่ายน้อยกว่า! พบกับดีลสุดคุ้มจากร้านอาหารชั้นนำกว่า 70 แห่ง รีบเข้าแอปแล้วจองเลย</t>
  </si>
  <si>
    <t>EN_BKK_ctnoti_netcore_group_N_N_active_20250703_1100_special-promotion-july-jul25</t>
  </si>
  <si>
    <t>Nothing Beat a Special Deals in July</t>
  </si>
  <si>
    <t>Get more, pay less! Discover incredible deals from over 70 top restaurants. Book your table today!</t>
  </si>
  <si>
    <t>TH_BKK_ctnoti_netcore_group_N_N_active_20250703_1500_bangkok-butcher-jul25</t>
  </si>
  <si>
    <t>🥩 2 ความอร่อยจาก Bangkok Butcher</t>
  </si>
  <si>
    <t>สัมผัสรสชาติเนื้อไทย-วากิวที่ดีที่สุด และเมนูเนื้อดรายเอจแบบไม่อั้น ในราคาสุดพิเศษ เริ่มต้นเพียง 849 บาท จองเลย</t>
  </si>
  <si>
    <t>EN_BKK_ctnoti_netcore_group_N_N_active_20250703_1500_bangkok-butcher-jul25</t>
  </si>
  <si>
    <t>🥩 2 Meaty Feasts Await!</t>
  </si>
  <si>
    <t>Thai-Wagyu &amp; unlimited dry-aged beef at Bangkok Butcher. From just 849.-. Book now for the ultimate meat fix! 🍽️🔥</t>
  </si>
  <si>
    <t>EN_BKK_ctnoti_netcore_single_N_N_active_20250703_1700_ads-serina-japanese-teppanyaki-jul25</t>
  </si>
  <si>
    <t>🔥 Serina Teppanyaki is Here!</t>
  </si>
  <si>
    <t>Taste 36 years of authentic Japanese delights—NZ beef teppanyaki, Hokkaido pork &amp; more. Special price now! 🍱✨</t>
  </si>
  <si>
    <t>TH_BKK_ctnoti_netcore_single_N_N_active_20250703_1700_ads-serina-japanese-teppanyaki-jul25</t>
  </si>
  <si>
    <t>🔥 Serina Teppanyaki อยู่ที่นี่แล้ว</t>
  </si>
  <si>
    <t>ลิ้มลองความอร่อยกับอาหารญี่ปุ่นแบบดั้งเดิม ที่เปิดมานานกว่า 36 ปี อาทิ เทปันยากิเนื้อนิวซีแลนด์ หมูฮอกไกโด ในราคาสุดพิเศษ</t>
  </si>
  <si>
    <t>SG_BKK_ctnoti_netcore_single_N_N_active_20250702_1730_ads-Bar Cicheti</t>
  </si>
  <si>
    <t>Bar Cicheti: 10% Off Everything 🍝🍷</t>
  </si>
  <si>
    <t>EN_BKK_ctnoti_netcore_group_N_N_active_20250704_1100_vantage-point-jul25</t>
  </si>
  <si>
    <t>🥂 Lunch Pairing from 399.-</t>
  </si>
  <si>
    <t>New Vantage Point lunch set! Pick your courses + drink, from just 399.-. Book now and savor your midday treat! 🍽️✨</t>
  </si>
  <si>
    <t>TH_BKK_ctnoti_netcore_group_N_N_active_20250704_1100_vantage-point-jul25</t>
  </si>
  <si>
    <t>🥂 จับคู่มื้อเที่ยงอร่อย เริ่มต้น 399 บาท</t>
  </si>
  <si>
    <t>เลือกคอร์สได้ตามใจกับ แพ็กเกจใหม่จาก Vantage Point เริ่มต้น 2 คอร์สพร้อมเครื่องดื่ม เพียง 399 บาท เท่านั้น จองเลย</t>
  </si>
  <si>
    <t>3901, 5267</t>
  </si>
  <si>
    <t>SG_BKK_ctnoti_netcore_single_N_N_active_20250702_1730_ads-Forma</t>
  </si>
  <si>
    <t>Enjoy Up to 29% Off @ Forma!</t>
  </si>
  <si>
    <t xml:space="preserve">From tortellini to tiramisu, Forma brings regional Italian flavours to life.there’s never been a better time to dine Italian-style in Joo Chiat.
</t>
  </si>
  <si>
    <t>SG_BKK_ctnoti_netcore_single_N_N_active_20250702_1730_ads-The Canteen by Enjoy</t>
  </si>
  <si>
    <t>Jio Your Kakis-Sharing Sets 15–20% Off!</t>
  </si>
  <si>
    <t>From Hokkien Mee to prawn crackers, The Canteen by Enjoy is your Jalan Besar hangout.Dig into upgraded local classics</t>
  </si>
  <si>
    <t>Yes, it has an offer, but it is a percentage discount and does not follow the "Come X Pay X" format.</t>
  </si>
  <si>
    <t>SG_BKK_ctnoti_netcore_single_N_N_active_20250704_1730_ads-SG_NDP_Fireworks</t>
  </si>
  <si>
    <t>Big views, Big vibes!!</t>
  </si>
  <si>
    <t>Let’s just say you’ll want to clear your Saturday nights.</t>
  </si>
  <si>
    <t>TH_BKK_ctnoti_netcore_single_N_N_active_20250707_1200_gyu-en-siam-yakiniku-jul25</t>
  </si>
  <si>
    <t>🥩 มา 4 จ่าย 3 Gyu En Siam Yakiniku</t>
  </si>
  <si>
    <t>EN_BKK_ctnoti_netcore_single_N_N_active_20250707_1200_gyu-en-siam-yakiniku-jul25</t>
  </si>
  <si>
    <t>🥩 Gyu En: 4 Pay 3 Deal!</t>
  </si>
  <si>
    <t>EN_BKK_ctnoti_netcore_single_N_N_active_20250704_1700_57th-street-marriott-jul25</t>
  </si>
  <si>
    <t>🍽️ 57th Street: 3 Pay 2!</t>
  </si>
  <si>
    <t>2-hr International buffet with cold cuts, sushi, pizza &amp; more + 1 beer each. Only 660.-. Don’t miss it! 🍣🍕🍺</t>
  </si>
  <si>
    <t>TH_BKK_ctnoti_netcore_single_N_N_active_20250704_1700_57th-street-marriott-jul25</t>
  </si>
  <si>
    <t>🍽️ มา 3 จ่าย 2 กับ 57th Street Marriott</t>
  </si>
  <si>
    <t>อิ่มไม่อั้น 2 ชั่วโมงเต็็ม กับบุฟเฟต์นานาชาติ ทั้งโคลด์คัท อาหารญี่ปุ่น พิซซ่า และอีกมากมาย พร้อมรับเบียร์ 1 แก้วต่อท่าน เพียง 660 บาท</t>
  </si>
  <si>
    <t>SG_BKK_ctnoti_netcore_single_N_N_active_20250707_1500_sg-baia-rooftop-dining-lounge-bar-jul25</t>
  </si>
  <si>
    <t>✨ Up to 27% OFF rooftop dining!</t>
  </si>
  <si>
    <t>🍽️ Share stunning skyline views at Baia Rooftop from just S$48/person Perfect for a chic night out with friends! Book now before it’s gone!</t>
  </si>
  <si>
    <t>SG_BKK_ctnoti_netcore_single_N_N_active_20250707_1700_sg-o-bba-jjajang-singapore-jul25</t>
  </si>
  <si>
    <t>K‑Chinese feast with O.BBa Jjajang</t>
  </si>
  <si>
    <t>Jjajangmyeon, Jjamppong &amp; crispy Tangsuyuk — big portions, cozy vibes. From just S$24. Perfect for groups &amp; late-night eats!</t>
  </si>
  <si>
    <t>SG_BKK_ctnoti_netcore_single_N_N_active_20250707_2100_sg-r-italian-kitchen-jul25</t>
  </si>
  <si>
    <t>Up to 36% OFF Italian feast! 🇮🇹</t>
  </si>
  <si>
    <t>Seafood, pasta &amp; smoky platters to share — from just S$57.5/pax. Perfect for groups at R Italian Kitchen. Book now for an epic Italian night!</t>
  </si>
  <si>
    <t>TH_BKK_ctnoti_netcore_group_N_N_active_20250705_1100_hotaru-119-omakase-jul25</t>
  </si>
  <si>
    <t>🔥 โอมากาเสะ ร้านนี้กำลังมาแรง</t>
  </si>
  <si>
    <t>สด ฉ่ำ ตระการตา กับโอมากาเสะในราคาจับต้องได้ ที่ Hotaru 119 Omakase &amp; Izakaya 2 สาขา เริ่มต้น 14 คอร์ส 1,176.- และรับเลยเมนูพิเศษ!!</t>
  </si>
  <si>
    <t>The requested offer format "Come X Pay X" is not available in the provided data.</t>
  </si>
  <si>
    <t>EN_BKK_ctnoti_netcore_group_N_N_active_20250705_1100_hotaru-119-omakase-jul25</t>
  </si>
  <si>
    <t>🔥 Trending: Hotaru Omakase</t>
  </si>
  <si>
    <t>Fresh &amp; stunning omakase from 1,176.- (14 courses) + special dish! At Hotaru 119 Omakase &amp; Izakaya. 🍣✨</t>
  </si>
  <si>
    <t>TH_BKK_ctnoti_netcore_single_N_N_active_20250705_1500_orchid-cafe-jul25</t>
  </si>
  <si>
    <t>🍽️ มา 2 จ่าย 1 Orchid Cafe</t>
  </si>
  <si>
    <t>ต่อกันยาวๆ กับบุฟเฟต์นานาชาติ เอาทั้งมื้อเที่ยง มื้อค่ำ ในราคาสุดคุ้ม เริ่มต้นเพียง 834 บาท วันนี้ - 30 ก.ย. เท่านั้น</t>
  </si>
  <si>
    <t>Yes, the offer is "Come 2 Pay 1."</t>
  </si>
  <si>
    <t>EN_BKK_ctnoti_netcore_single_N_N_active_20250705_1500_orchid-cafe-jul25</t>
  </si>
  <si>
    <t>🍽️ Orchid Cafe: 2 Pay 1!</t>
  </si>
  <si>
    <t>International buffet lunch &amp; dinner from just 834.-. Great deal till 30 Sept only—don’t miss out! 🌟🥂</t>
  </si>
  <si>
    <t>SG_BKK_ctnoti_netcore_single_N_N_active_20250708_1500_sg-hanjip-korean-grill-house-jul25__</t>
  </si>
  <si>
    <t>✨ Premium K-BBQ Feast!</t>
  </si>
  <si>
    <t>S$57/person at Hanjip! Indulge in a 16-dish set with premium meats, grilled to perfection by the staff. Reserve your table</t>
  </si>
  <si>
    <t>EN_BKK_ctnoti_netcore_single_N_N_active_20250705_1700_stock-room-jul25</t>
  </si>
  <si>
    <t>🔥 Stock.Room: 3 Pay 2!</t>
  </si>
  <si>
    <t>Super value! All-you-can-eat seafood and international buffet. Until 31 July only—book now! 🦐🍣✨</t>
  </si>
  <si>
    <t>TH_BKK_ctnoti_netcore_single_N_N_active_20250705_1700_stock-room-jul25</t>
  </si>
  <si>
    <t>🔥 Stock.Room ลดแรงถึงสิ้นเดือนนี้</t>
  </si>
  <si>
    <t>คุ้มสุดๆ กับโปรบุฟเฟต์ มา 3 จ่าย 2 อิ่มอร่อยแบบไม่อั้นกับเมนูซีฟู้ด นานาชาติ และอีกมากมาย วันนี้ถึง 31 ก.ค. เท่านั้น จองเลย</t>
  </si>
  <si>
    <t>SG_BKK_ctnoti_netcore_single_N_N_active_20250708_1700_sg-tanoke-singapore-jul25</t>
  </si>
  <si>
    <t>🎉 43% OFF Japanese Lunch Set!</t>
  </si>
  <si>
    <t>Just S$48/pax! Indulge in TANOKE's 4-course modern Japanese lunch, featuring premium charcoal-grilled mains 🔥. Book your amazing deal near Bugis!</t>
  </si>
  <si>
    <t>Yes, the offer is "43% OFF". It is not a "Come X Pay X" offer.</t>
  </si>
  <si>
    <t>SG_BKK_ctnoti_netcore_single_N_N_active_20250708_2100_sg-fu-yuan-teochew-dining-jul25</t>
  </si>
  <si>
    <t>🥢 27% OFF Authentic Teochew Feast!</t>
  </si>
  <si>
    <t>Enjoy a 6-dish sharing set at Fu Yuan for only S$50/pax! Taste authentic Teochew dishes like steamed fish and more. Perfect for a family meal. Book now!</t>
  </si>
  <si>
    <t>EN_BKK_ctnoti_netcore_group_N_N_active_20250709_1100_weekly-new-week2-jul25</t>
  </si>
  <si>
    <t>TH_BKK_ctnoti_netcore_group_N_N_active_20250709_1100_weekly-new-week2-jul25</t>
  </si>
  <si>
    <t>EN_BKK_ctnoti_netcore_group_N_N_active_20250709_1500_you-i-premium-suki-buffet-jul25</t>
  </si>
  <si>
    <t>Get 15% off at You&amp;I!</t>
  </si>
  <si>
    <t>Calling all buffet lover! Prices start at just 507 for a feast of Kurobuta pork, premium beef, seafood, and more. until July 31.</t>
  </si>
  <si>
    <t>TH_BKK_ctnoti_netcore_group_N_N_active_20250709_1500_you-i-premium-suki-buffet-jul25</t>
  </si>
  <si>
    <t>You&amp;I ลด 15% ตลอดทั้งเดือน</t>
  </si>
  <si>
    <t>ลดทุกแพ็กเกจ เอาใจสายกินคุ้ม เริ่มต้นเพียง 507 บาท ทานได้ทั้งหมูคุโรบุตะ เนื้อพรีเมียม ซีฟู้ด และอีกมากมาย วันนี้ - 31 ก.ค. เท่านั้น</t>
  </si>
  <si>
    <t>TH_BKK_ctnoti_netcore_group_N_N_active_20250710_1100_long-weekend-jul25</t>
  </si>
  <si>
    <t>หยุดยาวทั้งที บุฟเฟต์สักมื้อไหม?</t>
  </si>
  <si>
    <t>เดือนนี้ โปรยิ่งมาเยอะ ยิ่งมาน้อย กำลังรออยู่อีกเพียบ ทั้งบุฟเฟต์นานาชาติ ชาบู ปิ้งย่าง และอีกมากมาย รีบเข้าไปจองเลย</t>
  </si>
  <si>
    <t>EN_BKK_ctnoti_netcore_group_N_N_active_20250710_1100_long-weekend-jul25</t>
  </si>
  <si>
    <t>It's a long holiday. How about a buffet?</t>
  </si>
  <si>
    <t>We're loaded with Come More Pay Less Deals!! Dive into our international buffets, Shabu, Grills, and more. Go ahead and book your table!</t>
  </si>
  <si>
    <t>EN_BKK_ctnoti_netcore_single_N_N_active_20250710_1500_bai-yun-banyan-tree-jul25</t>
  </si>
  <si>
    <t>Bai Yun at Banyan Tree Come 2, Pay 1</t>
  </si>
  <si>
    <t>Indulge in our all-you-can-eat Dim Sum buffet in a luxurious atmosphere with panoramic city views. All for the special price of just THB 954 for two.</t>
  </si>
  <si>
    <t>TH_BKK_ctnoti_netcore_single_N_N_active_20250710_1500_bai-yun-banyan-tree-jul25</t>
  </si>
  <si>
    <t>มา 2 จ่าย 1 Bai Yun Banyan Tree</t>
  </si>
  <si>
    <t>อิ่มอร่อยไม่อั้นกับบุฟเฟต์ติ่มซำ ในบรรยากาศสุดหรูหรา พร้อมชมวิวมุมสูงใจกลางเมือง ในราคาพิเศษ เพียง 954.- (สำหรับ 2 ท่าน) จองเลย</t>
  </si>
  <si>
    <t>EN_BKK_ctnoti_netcore_group_N_N_active_20250710_1700_oishi-grand-jul25</t>
  </si>
  <si>
    <t>✨ Weekday Deal at Oishi Grand!</t>
  </si>
  <si>
    <t>TH_BKK_ctnoti_netcore_group_N_N_active_20250710_1700_oishi-grand-jul25</t>
  </si>
  <si>
    <t>✨ Oishi Grand วันธรรมดาคุ้มกว่า!!</t>
  </si>
  <si>
    <t>SG_BKK_ctnoti_netcore_single_N_N_active_20250710_1900_sg-singapore-month-jul25__</t>
  </si>
  <si>
    <t>⏳ Last Call: Up to 50% OFF Deals!</t>
  </si>
  <si>
    <t>EN_BKK_ctnoti_netcore_group_N_N_active_20250711_1100_open-at-doubletree-jul25</t>
  </si>
  <si>
    <t>🇺🇸 Come 2, Pay 1 at OPEN, DoubleTree</t>
  </si>
  <si>
    <t>Enjoy a complete international buffet for both lunch and dinner, featuring our special "United Taste of America" theme. Prices start from just THB 352 net per person. Available until July 31st.</t>
  </si>
  <si>
    <t>TH_BKK_ctnoti_netcore_group_N_N_active_20250711_1100_open-at-doubletree-jul25</t>
  </si>
  <si>
    <t>🇺🇸 มา 2 จ่าย 1 กับ OPEN at DoubleTree</t>
  </si>
  <si>
    <t>อร่อยครบทั้งมื้อกลางวัน และ มื้อเย็น กับบุฟเฟต์นานาชาติ ในธีมสุดพิเศษ "United Taste of America" เริ่มต้น 352 บาท จนถึง 31 ก.ค.</t>
  </si>
  <si>
    <t>EN_BKK_ctnoti_netcore_single_N_N_active_20250711_1500_time-s-dining-ari-hills-jul25</t>
  </si>
  <si>
    <t>🍱 Time's Dining: Japanese Feast Deals!</t>
  </si>
  <si>
    <t>Come More Pay Less with all-you-can-eat authentic Japanese food—sushi, grills, donburi &amp; more. Prices start from only 253 THB Book now!</t>
  </si>
  <si>
    <t>SG_BKK_ctnoti_netcore_single_N_N_active_20250711_1500_sg-colony-at-the-ritz-jul25__</t>
  </si>
  <si>
    <t>🍽️ World-Class Buffet from S$89!</t>
  </si>
  <si>
    <t>Dine in style at Colony, The Ritz-Carlton. Discover amazing flavors from 7 live kitchens, showcasing the best of Singaporean, Chinese, and Western Cuisines. Reserve your seat</t>
  </si>
  <si>
    <t>TH_BKK_ctnoti_netcore_single_N_N_active_20250711_1500_time-s-dining-ari-hills-jul25</t>
  </si>
  <si>
    <t>🍱 Time‘s Dining ยิ่งมาเยอะ ยิ่งจ่ายน้อย</t>
  </si>
  <si>
    <t>ทานอาหารญี่ปุ่น รสชาติแบบดั้งเดิมไม่อั้น ทั้งเมนูย่าง ซูชิ ข้าวปั้น ดงบุริ และอีกมากมาย ในราคาสุดคุ้มกว่าเดิม เริ่มต้นเพียง 253 บาท จองเลย</t>
  </si>
  <si>
    <t>EN_BKK_ctnoti_netcore_single_N_N_active_20250711_1700_korea-house-gold-the-fourth-jul25</t>
  </si>
  <si>
    <t>🥩 A5 Wagyu Buffet at THB 695!</t>
  </si>
  <si>
    <t>Indulge in unlimited, premium A4-A5 Wagyu and as much Häagen-Dazs as you can eat at Korea House Gold - The Fourth Until 30 Sep</t>
  </si>
  <si>
    <t>SG_BKK_ctnoti_netcore_single_N_N_active_20250711_1700_sg-enjoy-eating-house-and-bar-jul25</t>
  </si>
  <si>
    <t>🤩 42% OFF Modern Chinese Feast!</t>
  </si>
  <si>
    <t>Dine at Enjoy Eating House for just S$36/pax! Indulge in a 7-course modern Chinese sharing menu. A perfect deal for your Orchard outing. Book now!</t>
  </si>
  <si>
    <t>TH_BKK_ctnoti_netcore_single_N_N_active_20250711_1700_korea-house-gold-the-fourth-jul25</t>
  </si>
  <si>
    <t>🥩 วากิว A5 บุฟเฟต์ คนละ 695 บาท</t>
  </si>
  <si>
    <t>โปรแรงแบบนี้ ต้องรีบมาด่วน ที่ Korea House Gold - The Fourth พร้อมทานวากิว A4-A5 และ ฮาเกน-ดาซส์ ไม่อั้น ถึง 30 ก.ย. เท่านั้น</t>
  </si>
  <si>
    <t>SG_BKK_ctnoti_netcore_single_N_N_active_20250711_1730_ads-SG_NDP_Fireworks_12_July</t>
  </si>
  <si>
    <t>Missed the first fireworks? 🎆</t>
  </si>
  <si>
    <t>SG_BKK_ctnoti_netcore_single_N_N_active_20250711_2100_sg-santi-s-pizza-jul25</t>
  </si>
  <si>
    <t>🍕 45% OFF Artisanal Pizza Lunch!</t>
  </si>
  <si>
    <t>For just S$31.50/pax! Enjoy a 3-course modern fusion lunch at Santi's, featuring their famous sourdough pizzas. A must-try deal in Telok Ayer. Book Now!</t>
  </si>
  <si>
    <t>EN_BKK_ctnoti_netcore_group_N_N_active_20250712_1100_feast-at-royal-orchid-jul25</t>
  </si>
  <si>
    <t>🧑‍🤝‍🧑 Feast: 2-for-1 Sat. Lunch Deal!</t>
  </si>
  <si>
    <t>Every Saturday at Feast, Royal Orchid Sheraton: Get our 2-for-1 int'l buffet deal. Pasta, cold cuts, sushi &amp; more. Just 583 THB Book now!</t>
  </si>
  <si>
    <t>TH_BKK_ctnoti_netcore_group_N_N_active_20250712_1100_feast-at-royal-orchid-jul25</t>
  </si>
  <si>
    <t>🧑‍🤝‍🧑 ทุกมื้อเที่ยงวันเสาร์อิ่มคุ้ม</t>
  </si>
  <si>
    <t>มา 2 จ่าย 1 กับบุฟเฟต์นานาชาติ จาก Feast At Royal Orchid Sheraton ครบทั้งพาสต้า โคลด์คัท ซูชิ และอีกมากมาย เพียง 583 บาท จองเลย</t>
  </si>
  <si>
    <t>EN_BKK_ctnoti_netcore_single_N_N_active_20250712_1500_sky-on-20-rooftop-bar-jul25</t>
  </si>
  <si>
    <t>Come 2, Pay 1 at Sky on 20 🍴🍸</t>
  </si>
  <si>
    <t>Experience the first buffet at a glamorous rooftop bar in the heart of the city. Indulge in unlimited food paired with free-flow mocktails, cocktails, or beer. start from THB 1,149 for two.</t>
  </si>
  <si>
    <t>SG_BKK_ctnoti_netcore_single_N_N_active_20250712_1500_sg-edge-at-pan-pacific-hotel-jul25__</t>
  </si>
  <si>
    <t>✨ An Epic Buffet from S$73!</t>
  </si>
  <si>
    <t>Embark on a culinary tour at Edge! Feast on a lavish spread from 7 live kitchens, featuring fresh seafood 🦀, sizzling grills, and decadent desserts 🍰. Book your feast!</t>
  </si>
  <si>
    <t>TH_BKK_ctnoti_netcore_single_N_N_active_20250712_1500_sky-on-20-rooftop-bar-jul25</t>
  </si>
  <si>
    <t>🍴🍸 มา 2 จ่าย 1 กับ Sky on 20</t>
  </si>
  <si>
    <t>ครั้งแรกกับบุฟเฟต์บนรูฟท็อปบาร์สุดแกรมใจกลางเมือง อาหาร + ม็อกเทล ค็อกเทล หรือ เบียร์ไม่อั้น เริ่มต้น 1,149 (สำหรับ 2 ท่าน)</t>
  </si>
  <si>
    <t>EN_BKK_ctnoti_netcore_single_N_N_active_20250712_1700_riverside-terrace-jul25</t>
  </si>
  <si>
    <t>🦀 2-for-1 Riverside Seafood Feast!</t>
  </si>
  <si>
    <t>Only until the end of July, enjoy our "Come 2, Pay 1" buffet promotion at Riverside Terrace, Anantara Riverside. Two can dine for just THB 999. Book now.</t>
  </si>
  <si>
    <t>SG_BKK_ctnoti_netcore_single_N_N_active_20250712_1700_sg-morita-unigoro-jul25</t>
  </si>
  <si>
    <t>✨ The Ultimate Uni &amp; Wagyu Feast!</t>
  </si>
  <si>
    <t>Experience Morita UNIGORO's exquisite tasting menu from S$110. Indulge in premium A5 Wagyu and the freshest Uni from Japan 🇯🇵. A true fine dining treat. Book now.</t>
  </si>
  <si>
    <t>TH_BKK_ctnoti_netcore_single_N_N_active_20250712_1700_riverside-terrace-jul25</t>
  </si>
  <si>
    <t>🦀 ทานซีฟู้ดริมน้ำไม่อั้น จ่ายไม่ถึงพัน</t>
  </si>
  <si>
    <t>ถึงสิ้นเดือน ก.ค. เท่านั้น กับโปรบุฟเฟต์มา 2 จ่าย 1 จาก Riverside Terrace at Anantara Riverside เพียง 999 บาท จองเลย</t>
  </si>
  <si>
    <t>SG_BKK_ctnoti_netcore_single_N_N_active_20250712_1900_sg-synthesis-chinese-cuisine-jul25</t>
  </si>
  <si>
    <t>🍸 Chic Chinese Dining from S$59!</t>
  </si>
  <si>
    <t>Experience Synthesis — where modern Chinese cuisine meets a vibrant lounge bar. Enjoy creative fusion dishes and unique cocktails 🍹 in a stunning setting. Book your night out!</t>
  </si>
  <si>
    <t>EN_BKK_ctnoti_netcore_single_N_N_active_20250713_1100_man-fu-lou-jul25</t>
  </si>
  <si>
    <t>Man Fu Lou: 3-for-2 Buffet!</t>
  </si>
  <si>
    <t>Get our Come 3, Pay 2 deal on the premium Cantonese buffet. Indulge for just 799 THB per person. Available until Sep 30. Book your table now!</t>
  </si>
  <si>
    <t>TH_BKK_ctnoti_netcore_single_N_N_active_20250713_1100_man-fu-lou-jul25</t>
  </si>
  <si>
    <t>มา 3 จ่าย 2 กับ Man Fu Lou</t>
  </si>
  <si>
    <t>สัมผัสรสชาติิอาหารจีนกวางตุ้งพรีเมียมแบบไม่อั้น ในราคาสุดพิเศษ เพียง 799 บาท ต่อท่าน ตั้งแต่วันนี้ - 30 ก.ย. เท่านั้น จองเลย</t>
  </si>
  <si>
    <t>SG_BKK_ctnoti_netcore_single_N_N_active_20250713_1500_sg-highhouse-jul25</t>
  </si>
  <si>
    <t>🌇 Rooftop Drinks &amp; Bites from S$52</t>
  </si>
  <si>
    <t>Sip, dine, and unwind at HighHouse. Enjoy stunning panoramic city views from Level 62 with amazing drinks and Pacific Coast inspired cuisine. Book your sky-high experience!</t>
  </si>
  <si>
    <t>EN_BKK_ctnoti_netcore_single_N_N_active_20250713_1500_romsai-banyan-tree-jul25</t>
  </si>
  <si>
    <t>🥂 Come 2 Pay 1 with Romsai Banyan Tree</t>
  </si>
  <si>
    <t>Enjoy an international &amp; seafood buffet with free-flow sparkling wine This special offer is valid until July 31. Book Now</t>
  </si>
  <si>
    <t>TH_BKK_ctnoti_netcore_single_N_N_active_20250713_1500_romsai-banyan-tree-jul25</t>
  </si>
  <si>
    <t>เพลิดเพลินไปกับบุฟเฟต์นานาชาติ ซีฟู้ด อาหารญี่ปุ่น และอีกเพียบ พร้อมสปาร์คกลิ้งไวน์ไม่อั้น ในราคาพิเศษ ตั้งแต่วันนี้ - 31 ก.ค. เท่านั้น จองเลย</t>
  </si>
  <si>
    <t>EN_BKK_ctnoti_netcore_single_N_N_active_20250713_1700_charoen-rung-rueang-jul25</t>
  </si>
  <si>
    <t>✨ Charoen Rung Rueang 8 Unlimited Special Dishes!</t>
  </si>
  <si>
    <t>Go all out with our special buffet package! Indulge in unlimited international dishes, featuring premium Otoro, Foie Gras, and Wagyu. This exclusive offer is available only on Hungry Hub</t>
  </si>
  <si>
    <t>SG_BKK_ctnoti_netcore_group_N_N_active_20250713_1700_sg-warm-up-cafe-jul25</t>
  </si>
  <si>
    <t>🇹🇭 Authentic Thai Feast from S$34</t>
  </si>
  <si>
    <t>Craving real Thai food? Enjoy a 4-course sharing set at Warm Up Cafe. Great value and authentic taste, now at 3 locations: Mackenzie Rd, Macpherson &amp; Star Vista. Book now!</t>
  </si>
  <si>
    <t>TH_BKK_ctnoti_netcore_single_N_N_active_20250713_1700_charoen-rung-rueang-jul25</t>
  </si>
  <si>
    <t>✨ เจริญรุ่งเรือง 8 เมนูพิเศษไม่อั้น!!</t>
  </si>
  <si>
    <t>จัดเต็มทุกเมนูกับบุฟเฟต์แพ็กเกจพิเศษ เต็มอิ่มกับเมนูนานาชาติ พร้อม โอโทโร่ ฟัวกราส์ วากิวไม่อั้น เฉพาะที่ Hungry Hub เท่านั้น จองเลย</t>
  </si>
  <si>
    <t>SG_BKK_ctnoti_netcore_single_N_N_active_20250713_1900_sg-alma-by-juan-amador-jul25</t>
  </si>
  <si>
    <t>✨ An Artful Michelin Star Meal</t>
  </si>
  <si>
    <t>Discover the soul of Spain at Alma. Indulge in an artful 4-course lunch menu from just S$108. Reserve your unforgettable experience at Goodwood Park Hotel.</t>
  </si>
  <si>
    <t>TH_BKK_ctnoti_netcore_group_N_N_active_20250714_1100_neta-grill-jul25</t>
  </si>
  <si>
    <t>🔥 มา 3 จ่าย 2 กับ Neta Grill</t>
  </si>
  <si>
    <t>พกมาเริ่มต้นคนละ 350 ก็อิ่มได้ไม่อั้นกับขบวนปิ้งย่างทั้งเนื้อ หมู อาหารญี่ปุ่น ของทานเล่นและอีกมากมาย วันนี้ - 31 ก.ค. เท่านั้น รีบจองเลย</t>
  </si>
  <si>
    <t>915, 1000, 1803, 2029, 3785, 3786</t>
  </si>
  <si>
    <t>EN_BKK_ctnoti_netcore_group_N_N_active_20250714_1100_neta-grill-jul25</t>
  </si>
  <si>
    <t>🔥 Neta Grill: 3-for-2 BBQ Deal!</t>
  </si>
  <si>
    <t>Come 3, Pay 2 on our all-you-can-eat grill! Enjoy beef, pork, Japanese dishes &amp; more. From just 350 THB/person. Offer ends July 31. Book now!</t>
  </si>
  <si>
    <t>EN_BKK_ctnoti_netcore_single_N_N_active_20250714_1500_bangkok-wonderland-jul25</t>
  </si>
  <si>
    <t>🦐 Riverside Seafood Buffet with No Time Limit!</t>
  </si>
  <si>
    <t>Head to the Bangkok Wonderland buffet featuring river prawns, a wide array of international and Japanese dishes, and so much more. just THB 625 net per person.</t>
  </si>
  <si>
    <t>TH_BKK_ctnoti_netcore_single_N_N_active_20250714_1500_bangkok-wonderland-jul25</t>
  </si>
  <si>
    <t>🦐 บุฟเฟต์ซีฟู้ดริมเจ้าพระยา ไม่จำกัดเวลา!!</t>
  </si>
  <si>
    <t>สายซีฟู้ดห้ามพลาด กับ Bangkok Wonderland บุฟเฟต์ซีฟู้ด กุ้งแม่น้ำ เมนูนานาชาติ ญี่ปุ่น และอีกมากมายไม่อั้น ไม่จำกัดเวลา เพียง 625 บาท</t>
  </si>
  <si>
    <t>SG_BKK_ctnoti_netcore_single_N_N_active_20250714_1500_sg-beach-road-kitchen-jul25</t>
  </si>
  <si>
    <t>🦀 Int'l Buffet from S$78/Pax!</t>
  </si>
  <si>
    <t>Feast at Beach Road Kitchen! Enjoy premium seafood on ice, live charcoal grills, fresh pizzas, and a stunning dessert bar. Book your epic meal now!</t>
  </si>
  <si>
    <t>EN_BKK_ctnoti_netcore_single_N_N_active_20250714_1700_ads-shoko-omakase-jul25</t>
  </si>
  <si>
    <t>Shoko Omakase up to 27% OFF! 🌸🍣</t>
  </si>
  <si>
    <t>Experience premium omakase flavors in a dreamy floral garden vibe at a special price! 🌺✨ Starting from 10 courses at just 1,299 THB. Book now!</t>
  </si>
  <si>
    <t>TH_BKK_ctnoti_netcore_single_N_N_active_20250714_1700_ads-shoko-omakase-jul25</t>
  </si>
  <si>
    <t>🌸🍣 Shoko Omakase ลดสูงสุด 27%</t>
  </si>
  <si>
    <t>สัมผัสรสชาติโอมากาเสะระดับพรีเมียม ในบรรยากาศสไตล์สวนดอกไม้ ในราคาสุดพิเศษ เริ่มต้น 10 คอร์ส 1,299 บาท จองเลย</t>
  </si>
  <si>
    <t>SG_BKK_ctnoti_netcore_single_N_N_active_20250714_1700_sg-kintub-thai-mookata-jul25</t>
  </si>
  <si>
    <t>🔥 Authentic Thai Mookata Feast!</t>
  </si>
  <si>
    <t>Sizzle up your evening at Kintub! Taste high-quality meats grilled to perfection, paired with amazing homemade sauces. Sets start from just S$49.90/pax. Reserve your spot</t>
  </si>
  <si>
    <t>No, the subject line "🔥 Authentic Thai Mookata Feast!" does not contain a "Come X Pay X" offer.</t>
  </si>
  <si>
    <t>SG_BKK_ctnoti_netcore_single_N_N_active_20250714_1900_sg-level33-craft-brewery--jul25__</t>
  </si>
  <si>
    <t>✨ Dine Above the City at LeVeL33!</t>
  </si>
  <si>
    <t xml:space="preserve">Experience spectacular Marina Bay views with a 6-course fine dining menu from S$248. The perfect spot for an unforgettable night 🌃. Book your view.
</t>
  </si>
  <si>
    <t>EN_BKK_ctnoti_netcore_single_N_N_active_20250715_1100_audrey-cafe-emquartier-jul25</t>
  </si>
  <si>
    <t>Audrey Cafe: Come 4, Pay for 3! 👭</t>
  </si>
  <si>
    <t>Indulge in over 300 premium international dishes with free-flow drinks, starting at just 768 THB per person! 🍽️🥂 Available Mon – Fri at EmQuartier branch only.</t>
  </si>
  <si>
    <t>TH_BKK_ctnoti_netcore_single_N_N_active_20250715_1100_audrey-cafe-emquartier-jul25</t>
  </si>
  <si>
    <t>👭 Audrey Cafe มา 4 จ่ายแค่ 3</t>
  </si>
  <si>
    <t>อิ่มอร่อยกับเมนูนานาชาติพรีเมียมและเครื่องดื่มไม่อั้น กว่า 300 รายการ เริ่มต้นคนละ 768 บาท เฉพาะวันจันทร์ - ศุกร์ ที่สาขาเอ็มควอเทียร์ เท่านั้น</t>
  </si>
  <si>
    <t>EN_BKK_ctnoti_netcore_single_N_N_active_20250715_1500_vertigo-too--jul25</t>
  </si>
  <si>
    <t>🥂 Hot Deal! Buffet with a Million-Dollar View! 🌆✨</t>
  </si>
  <si>
    <t>Don’t miss the Come 2 Pay 1 at Vertigo TOO, Banyan Tree Bangkok! Enjoy international dishes and unlimited cocktails for just 1,799 THB. Available now – 31 Aug only!</t>
  </si>
  <si>
    <t>TH_BKK_ctnoti_netcore_single_N_N_active_20250715_1500_vertigo-too--jul25</t>
  </si>
  <si>
    <t>🥂 ดีลแรงทานบุฟเฟต์ ชมวิวหลักล้าน!</t>
  </si>
  <si>
    <t>ห้ามพลาดกับโปร มา 2 จ่าย 1 จาก Vertigo TOO Banyan Tree Bangkok สั่งเมนูนานาชาติพร้อมค็อกเทลไม่อั้น เพียง 1,799 บาท วันนี้ - 31 ส.ค. เท่านั้น</t>
  </si>
  <si>
    <t>SG_BKK_ctnoti_netcore_group_N_N_active_20250715_1000_sg-restaurant-month-final-jul25</t>
  </si>
  <si>
    <t>🚨 Last Day for SG Restaurant Month!</t>
  </si>
  <si>
    <t>Don't miss out! Grab exclusive deals from famous Singaporean restaurants with discounts of up to 50% OFF. Book your table now until midnight!</t>
  </si>
  <si>
    <t>EN_BKK_ctnoti_netcore_single_N_N_active_20250715_1700_ads-ava-brasserie-jul25</t>
  </si>
  <si>
    <t>Come 3 Pay 2 at AVA Brasserie! 👨‍👩‍👧✨</t>
  </si>
  <si>
    <t>Enjoy your choice of breakfast buffet or a satisfying 2-hour semi-buffet dinner, starting from just 525 THB! 🍽️🥐 Available now – 30 Sep only!</t>
  </si>
  <si>
    <t>TH_BKK_ctnoti_netcore_single_N_N_active_20250715_1700_ads-ava-brasserie-jul25</t>
  </si>
  <si>
    <t>มา 3 จ่าย 2 กับ AVA Brasserie 👨‍👩‍👧✨</t>
  </si>
  <si>
    <t>เลือกได้ดั่งใจกับบุฟเฟต์มื้อเช้า หรือ มื้อเย็นสไตล์ Semi-Buffet จุใจ 2 ชั่วโมงเต็ม ในราคาพิเศษเริ่มต้น 525 บาท วันนี้ - 30 ก.ย. เท่านั้น</t>
  </si>
  <si>
    <t>SG_BKK_ctnoti_netcore_single_N_N_active_20250715_1500_sg-hai-tien-lo-at-pan-jul25__</t>
  </si>
  <si>
    <t>🥟 ~20% OFF Award-Winning Yum Cha!</t>
  </si>
  <si>
    <t>Indulge in Hai Tien Lo's famous weekday yum cha lunch for just S$75! Savour exquisite, handcrafted dim sum in an elegant setting at Pan Pacific Hotel. Book your treat!</t>
  </si>
  <si>
    <t>SG_BKK_ctnoti_netcore_single_N_N_active_20250715_1700_sg-keyaki-at-pan-pacific-jul25</t>
  </si>
  <si>
    <t>🇯🇵 Brunch in a Japanese Garden!</t>
  </si>
  <si>
    <t>Dine amidst a tranquil koi pond at Keyaki. Their popular 7-course weekend brunch is now ~17% OFF at S$88. An authentic experience awaits. Reserve now.</t>
  </si>
  <si>
    <t>EN_BKK_ctnoti_netcore_group_N_N_active_20250716_1100_weekly-new-week2-jul25</t>
  </si>
  <si>
    <t>TH_BKK_ctnoti_netcore_group_N_N_active_20250716_1100_weekly-new-week2-jul25</t>
  </si>
  <si>
    <t>SG_BKK_ctnoti_netcore_single_N_N_active_20250716_1400_sg-mizuya-omakase-jul25</t>
  </si>
  <si>
    <t>✨ Affordable Omakase Experience!</t>
  </si>
  <si>
    <t>Let the chef delight you at Mizuya Omakase. Enjoy a 7-course lunch featuring seasonal ingredients from just S$119, including free-flow green tea 🍵. Reserve your seat</t>
  </si>
  <si>
    <t>TH_BKK_ctnoti_netcore_partner_N_N_active_20250716_1500_line-gift-jul25</t>
  </si>
  <si>
    <t>🎁 ส่งความสุขแทนใจ ลดสูงสุด 50%</t>
  </si>
  <si>
    <t>🟢🔴 มาแล้ว! Hungry Hub Line Gift ส่งของขวัญเป็นมื้อสุดพิเศษให้เพื่อนในไลน์ได้ง่ายๆ ทั้ง Gift Card และ แพ็กเกจจากร้านอาหารดัง เช็ควิธีซื้อเลย</t>
  </si>
  <si>
    <t>SG_BKK_ctnoti_netcore_single_N_N_active_20250716_1600_sg-one-prawn-co-jul25__</t>
  </si>
  <si>
    <t>🌟 ~18% OFF Michelin Bib Dining!</t>
  </si>
  <si>
    <t>Experience One Prawn &amp; Co's 6-course dinner for just S$118. Discover creative "Mod-Sin" dishes born from their legendary prawn broth 🦐. Book your award-winning meal.</t>
  </si>
  <si>
    <t>No, it has an 18% OFF discount.</t>
  </si>
  <si>
    <t>EN_BKK_ctnoti_netcore_single_N_N_active_20250716_1700_ads-moxy-bar-restaurant-jul25</t>
  </si>
  <si>
    <t>🔥🍖 Come 4 Pay 3 at Moxy Bar &amp; Restaurant!</t>
  </si>
  <si>
    <t>BBQ lovers can’t miss this! Enjoy the Moxy Backyard BBQ buffet with stunning skyline views, live DJ vibes, and get a free drink! 🍻🎉</t>
  </si>
  <si>
    <t>TH_BKK_ctnoti_netcore_single_N_N_active_20250716_1700_ads-moxy-bar-restaurant-jul25</t>
  </si>
  <si>
    <t>🔥🍖 มา 4 จ่าย 3 กับ Moxy Bar &amp; Restaurant</t>
  </si>
  <si>
    <t>สายปิ้งย่างต้องโดน!! กับโปร Moxy Backyard BBQ พบกับบาร์บีคิวบุฟเฟต์ สกายไลน์วิวพร้อมสนุกสนานกับดีเจเล่นสด และรับเครื่องดื่มฟรี 1 แก้ว</t>
  </si>
  <si>
    <t>SG_BKK_ctnoti_netcore_single_N_N_active_20250716_1800_sg-riviera-jul25</t>
  </si>
  <si>
    <t>🌃 Unbeatable Marina Bay Views!</t>
  </si>
  <si>
    <t>Your perfect date night awaits. Get ~43% OFF a 3-course dinner at Riviera, with spectacular views of the city skyline. An elegant experience from S$117.5. Reserve now.</t>
  </si>
  <si>
    <t>EN_BKK_ctnoti_netcore_single_N_N_active_20250717_1100_jw-cafe-jul25</t>
  </si>
  <si>
    <t>Come 2, Pay 1 at JW Cafe! 🍽️✨</t>
  </si>
  <si>
    <t>Feast every day from Mon to Sun with a luxurious international breakfast or dinner buffet, starting at just 495 THB per person! 🌍🥐 Available now – 30 Sep only. Book now!</t>
  </si>
  <si>
    <t>TH_BKK_ctnoti_netcore_single_N_N_active_20250717_1100_jw-cafe-jul25</t>
  </si>
  <si>
    <t>มา 2 จ่าย 1 กับ JW Cafe 🍽️✨</t>
  </si>
  <si>
    <t>จัดหนักจันทร์ถึงอาทิตย์ กับบุฟเฟต์นานาชาติ มื้อเช้าแและมื้อดินเนอร์สุดหรู เริ่มต้นเพียงคนละ 495 บาท วันนี้ - 30 ก.ย. เท่านั้น จองเลย</t>
  </si>
  <si>
    <t>SG_BKK_ctnoti_netcore_single_N_N_active_20250717_1400_sg-mama-diam-jul25</t>
  </si>
  <si>
    <t>🇸🇬 A Taste of Modern Singapore! Body:</t>
  </si>
  <si>
    <t>Step into Mama Diam, a speakeasy bar with a twist. Enjoy creative "Mod-Sin" dishes inspired by local flavours. Sharing sets from S$45/pax. Reserve your spot.</t>
  </si>
  <si>
    <t>EN_BKK_ctnoti_netcore_group_N_N_active_20250717_1500_oishi-eaterium-jul25</t>
  </si>
  <si>
    <t>Oishi Eaterium Buffet at a Special Price! 🍣🔥</t>
  </si>
  <si>
    <t>Indulge in authentic Japanese flavors for 1 hour 45 minutes — enjoy salmon, tuna sashimi, surf clams, sushi, sukiyaki, and more for just 699 THB! 🎌✨</t>
  </si>
  <si>
    <t>TH_BKK_ctnoti_netcore_group_N_N_active_20250717_1500_oishi-eaterium-jul25</t>
  </si>
  <si>
    <t>Oishi Eaterium Buffet ราคาพิเศษ!! 🍣🔥</t>
  </si>
  <si>
    <t>สัมผัสความอร่อยแบบต้นตำรับกับ 1 ชั่วโมง 45 นาทีทั้ง ปลาแซลมอน ทูน่าซาชิมิ หอยปีกนก ซูชิ สุกี้ยากี้ และอีกมากมาย เพียง 699 บาท เท่านั้น</t>
  </si>
  <si>
    <t>No, the subject line indicates a "special price" (ราคาพิเศษ!!), but does not specify a "Come X Pay X" offer.</t>
  </si>
  <si>
    <t>SG_BKK_ctnoti_netcore_single_N_N_active_20250717_1600_sg-path-restaurant-jul25__</t>
  </si>
  <si>
    <t>PATH: A Michelin Guide Experience</t>
  </si>
  <si>
    <t>Embark on a culinary journey at Path. Savour a creative 6-course lunch blending European techniques with Asian flavours, now from S$153 👨‍🍳. Reserve your table.</t>
  </si>
  <si>
    <t>EN_BKK_ctnoti_netcore_single_N_N_active_20250717_1700_ads-thong-shabu-yakiniku-jul25</t>
  </si>
  <si>
    <t>Famous Japanese Shabu Brand Launches First Branch in Thailand! 🇯🇵🔥</t>
  </si>
  <si>
    <t>Try Thong Shabu &amp; Yakiniku — premium yakiniku grill and Kyoto-style shabu, loaded with top-quality meats and Thai-Japanese dishes. Starting from just 459 THB. Book now! 🍲🥩✨</t>
  </si>
  <si>
    <t>TH_BKK_ctnoti_netcore_single_N_N_active_20250717_1700_ads-thong-shabu-yakiniku-jul25</t>
  </si>
  <si>
    <t>ชาบูแบรนด์ดังจากญี่ปุ่น เปิดสาขาแรกในไทยแล้ว 🇯🇵🔥</t>
  </si>
  <si>
    <t>ลองเลย Thong Shabu &amp; Yakiniku ปิ้งย่างพรีเมี่ยม และ เกียวโตชาบู เต็มพิกัดด้วย เนื้อพรีเมียม อาหารไทย-ญี่ปุ่น เริ่มต้น 459 บาท จองเลย</t>
  </si>
  <si>
    <t>SG_BKK_ctnoti_netcore_single_N_N_active_20250717_1800_sg-dolcetto-at-conrad-jul25__</t>
  </si>
  <si>
    <t>🍕 Italian Feast from S$28.75/Pax!</t>
  </si>
  <si>
    <t>Gather your crew for a casual Italian feast at Dolcetto in Conrad Orchard. Get ~35% OFF their sharing sets. Perfect for a delicious, laid-back meal. Reserve now</t>
  </si>
  <si>
    <t>EN_BKK_ctnoti_netcore_group_N_N_active_20250718_1100_beef-express-jul25</t>
  </si>
  <si>
    <t>How about some steak today? 🥩✨</t>
  </si>
  <si>
    <t>Grab this deal before it’s gone! Come 3, Pay for 2 at Beef Express — indulge in premium steaks, unlimited fried bites, soups, salads, and pasta. Starting from just 666 THB! 🍟🥗🍝</t>
  </si>
  <si>
    <t>TH_BKK_ctnoti_netcore_group_N_N_active_20250718_1100_beef-express-jul25</t>
  </si>
  <si>
    <t>มื้อนี้สเต็กสักหน่อยไหม? 🥩✨</t>
  </si>
  <si>
    <t>จัดเลยก่อนหมดโปร กับมา 3 จ่าย 2 กับ Beef Express เต็มอิ่มกับเมนูสเต็กพรีเมียม พร้อมเมนูของทอด ซุป สลัด พาสต้าไม่อั้น เริ่มต้น 666 บาท</t>
  </si>
  <si>
    <t>SG_BKK_ctnoti_netcore_single_N_N_active_20250718_1400_sg-wild-child-pizzette-jul25</t>
  </si>
  <si>
    <t>🍕 ~38% OFF Pizzette Party!</t>
  </si>
  <si>
    <t>Time for a pizza party! Wild Child's 7-course sharing set for 4 is now only S$50/pax. Taste their famous wood-fired Neapolitan pizzettes 🔥. Book this wild deal!</t>
  </si>
  <si>
    <t>EN_BKK_ctnoti_netcore_single_N_N_active_20250718_1500_mojjo-rooftop-jul25</t>
  </si>
  <si>
    <t>Come 2 Pay 1 at Mojjo Rooftop! 🌇🍻</t>
  </si>
  <si>
    <t>Chill out and party with a stunning rooftop view! Enjoy 2 dishes plus unlimited beer and soft drinks for just 749 THB. Available now – 31 July only! 🎉✨</t>
  </si>
  <si>
    <t>TH_BKK_ctnoti_netcore_single_N_N_active_20250718_1500_mojjo-rooftop-jul25</t>
  </si>
  <si>
    <t>มา 2 จ่าย 1 กับ Mojjo Rooftop 🌇🍻</t>
  </si>
  <si>
    <t>ปาร์ตี้แบบชิลๆ ชมวิวสวยบนรูฟท็อป พร้อมเลือกทาน 2 เมนู และดื่มเบียร์กับซอฟท์ดริ้งค์ได้ไม่อั้น เพียง 749 บาท วันนี้ - 31 ก.ค. เท่านั้น</t>
  </si>
  <si>
    <t>SG_BKK_ctnoti_netcore_single_N_N_active_20250718_1600_sg-kintamani-at-furama-jul25</t>
  </si>
  <si>
    <t>✨ All-You-Can-Eat Indo Buffet!</t>
  </si>
  <si>
    <t>Craving authentic Indonesian food? Kintamani's halal buffet starts from just S$36 on weekdays (~37% OFF) 🥘. Don't miss this delicious deal. Reserve your spot.</t>
  </si>
  <si>
    <t>EN_BKK_ctnoti_netcore_single_N_N_active_20250718_1700_ads-moru-sushi-2-jul25</t>
  </si>
  <si>
    <t>Moru Sushi — So Good, You Can’t Resist! 🍣😍</t>
  </si>
  <si>
    <t>Indulge in a buffet packed with salmon, sushi, sashimi, tempura, and many more Japanese delights at a special price, starting from just 599 THB! Book now! 🎌✨</t>
  </si>
  <si>
    <t>TH_BKK_ctnoti_netcore_single_N_N_active_20250718_1700_ads-moru-sushi-2-jul25</t>
  </si>
  <si>
    <t>🍣😍 Moru Sushi อิ่มถูกใจ อร่อยเกินต้าน</t>
  </si>
  <si>
    <t>จุใจกับบุฟเฟต์แซลมอน ซูชิ ซาชิมิ เทมปุระ และอาหารญี่ปุ่นอีกมากมาย ในราคาพิเศษ เริ่มต้นเพียง 599 บาท เท่านั้น จองเลย</t>
  </si>
  <si>
    <t>SG_BKK_ctnoti_netcore_single_N_N_active_20250718_1800_sg-pulsii-woodfire-bar-jul25__</t>
  </si>
  <si>
    <t>🔥 ~22% OFF Woodfire Lunch!</t>
  </si>
  <si>
    <t>Experience the smoky flavours of Pulsii's woodfire grill! Their 2-course lunch set is now only S$42. A perfect and affordable gourmet treat. Book now!</t>
  </si>
  <si>
    <t>SG_BKK_ctnoti_netcore_single_N_N_active_20250718_1730_ads-SG_NDP_Fireworks_19_July</t>
  </si>
  <si>
    <t>NDP fireworks every Sat till Aug 9</t>
  </si>
  <si>
    <t>Skyline. Fireworks. Cocktails. Your Saturday plan = sorted! 🍸✨</t>
  </si>
  <si>
    <t>EN_BKK_ctnoti_netcore_single_N_N_active_20250719_1200_amaya-food-gallery-jul25</t>
  </si>
  <si>
    <t>Amaya Season Buffet is here! 🍽️✨</t>
  </si>
  <si>
    <t>Enjoy the grand buffet with a Come 3, Pay for 2 deal — feast on wagyu, otoro, Alaskan king crab, European seafood, and so much more! Starting from just 993 THB. Until 31 Aug only! 🦀🥩🍣</t>
  </si>
  <si>
    <t>TH_BKK_ctnoti_netcore_single_N_N_active_20250719_1200_amaya-food-gallery-jul25</t>
  </si>
  <si>
    <t>เริ่มแล้ว Amaya Season Buffet 🍽️✨</t>
  </si>
  <si>
    <t>มหกรรมบุฟเฟต์พร้อมโปรมา 3 จ่าย 2 ทานได้ทั้งวากิว โอโทโร่ ปูอลาสก้า ยูโรเปียนซีส และอีกมากมาย เริ่มต้น 993 บาท ถึง 31 ส.ค. เท่านั้น 🦀🥩🍣</t>
  </si>
  <si>
    <t>SG_BKK_ctnoti_netcore_single_N_N_active_20250719_1400_sg-the-spot-jul25</t>
  </si>
  <si>
    <t>✨ European Dining at The Spot!</t>
  </si>
  <si>
    <t>Discover this stylish all-day dining spot. Perfect for after-work drinks 🥂 or a gourmet meal. Course menus start from S$66. Reserve your experience.</t>
  </si>
  <si>
    <t>EN_BKK_ctnoti_netcore_single_N_N_active_20250719_1500_gentle-butcher-jul25</t>
  </si>
  <si>
    <t>Come 4, Pay for 3 at Gentle Butcher! 🥩🔥</t>
  </si>
  <si>
    <t>Indulge in a full-on feast of premium Hakata A5 wagyu, foie gras, dry-aged steak, and much more! At a special price, averaging just 1,792 THB per person. Available now – 31 July only! 🍷✨</t>
  </si>
  <si>
    <t>TH_BKK_ctnoti_netcore_single_N_N_active_20250719_1500_gentle-butcher-jul25</t>
  </si>
  <si>
    <t>🥩🔥 มา 4 จ่าย 3 กับ Gentle Butcher</t>
  </si>
  <si>
    <t>เต็มพิกัดกับบุฟเฟต์เนื้อฮากาตะวากิว A5 ชั้นเลิศ พร้อมฟัวกราส์ สเต็กดรายเอจ และเพียบ!! ในราคาพิเศษเฉลี่ยเพียง 1,792 บาท วันนี้ - 31 ก.ค.</t>
  </si>
  <si>
    <t>SG_BKK_ctnoti_netcore_single_N_N_active_20250719_1600_sg-pacific-emporium-jul25</t>
  </si>
  <si>
    <t>✨ Heritage Flavours, Modern Style!</t>
  </si>
  <si>
    <t>Taste the best of Singapore at Pacific Emporium. Course menus start from S$30.2 (~11% OFF). The perfect spot for a casual yet elegant local meal 🍽️. Reserve now.</t>
  </si>
  <si>
    <t>EN_BKK_ctnoti_netcore_single_N_N_active_20250719_1700_guilty-anantara-siam-jul25</t>
  </si>
  <si>
    <t>🇲🇽 Come 2 Pay 1 at Guilty Anantara!</t>
  </si>
  <si>
    <t>Savor bold Latin American flavors with this special buffet caravan, available on weekdays and weekends! Starting from just 941 THB. Book now! 🍽️🎉</t>
  </si>
  <si>
    <t>TH_BKK_ctnoti_netcore_single_N_N_active_20250719_1700_guilty-anantara-siam-jul25</t>
  </si>
  <si>
    <t>🇲🇽 มา 2 จ่าย 1 กับ Guilty Anantara</t>
  </si>
  <si>
    <t>สัมผัสรสชาติสไตล์ลาติน-อเมริกัน พร้อมคาราวานโปรบุฟเฟต์สุดพิเศษ ต้อนรับวันธรรมดา และ วันหยุดสุดสัปดาห์ เริ่มต้น 941 บาท จองเลย</t>
  </si>
  <si>
    <t>SG_BKK_ctnoti_netcore_single_N_N_active_20250719_1800_sg-fook-kin-jul25</t>
  </si>
  <si>
    <t>🔥 Insanely Good Roast Meats!</t>
  </si>
  <si>
    <t>Not your typical roast meat joint! Enjoy Fook Kin's famous dishes with their lunch set, now from just S$24.5 per person. An unbeatable price for legendary flavour. Reserve now.</t>
  </si>
  <si>
    <t>EN_BKK_ctnoti_netcore_group_N_N_active_20250720_1100_man-fu-yuan-jul25</t>
  </si>
  <si>
    <t>🥢 All-You-Can-Eat at Man Fu Yuan! 🥟✨</t>
  </si>
  <si>
    <t>Enjoy a Chinese buffet or over 50 dim sum delights, starting from just 598 THB at QSNCC and One Bangkok branches. Book now! 🍽️🇨🇳</t>
  </si>
  <si>
    <t>No, it has an "All-You-Can-Eat" offer.</t>
  </si>
  <si>
    <t>TH_BKK_ctnoti_netcore_group_N_N_active_20250720_1100_man-fu-yuan-jul25</t>
  </si>
  <si>
    <t>🥢 อิ่มไม่อั้นที่ Man Fu Yuan!</t>
  </si>
  <si>
    <t>เพลิดเพลินกับบุฟเฟ่ต์อาหารจีน หรือ ติ่มซำกว่า 50 เมนู ในราคาเริ่มต้นเพียง 598 บาท ที่สาขา QSNCC และ One Bangkok จองเลย</t>
  </si>
  <si>
    <t>SG_BKK_ctnoti_netcore_single_N_N_active_20250720_1400_sg-home-dusk-live-house-jul25</t>
  </si>
  <si>
    <t>🎸 Live Music &amp; Dinner from S$52.5!</t>
  </si>
  <si>
    <t>Your perfect night out awaits! Enjoy great food and awesome live music at Home Dusk. Sharing sets are now from just S$52.5 per person. Reserve a front-row experience.</t>
  </si>
  <si>
    <t>SG_BKK_ctnoti_netcore_single_N_N_active_20250720_1600_sg-oumi-modern-japanese-jul25</t>
  </si>
  <si>
    <t>✨ Modern Kappo Dining from S$120!</t>
  </si>
  <si>
    <t>Experience authentic Kappo dining at OUMI 🇯🇵. Watch chefs craft your 4-course meal using seasonal ingredients, now ~17% OFF. Reserve your seat at the counter.</t>
  </si>
  <si>
    <t>SG_BKK_ctnoti_netcore_single_N_N_active_20250720_1800_sg-tora-san-at-centrepoint-jul25</t>
  </si>
  <si>
    <t>🍣 ~19% OFF Japanese Izakaya Feast!</t>
  </si>
  <si>
    <t>Enjoy Tora-San's 5-dish sharing set for 2, now just S$39.5/pax! Indulge in their famous chirashi, fresh sashimi, and more. Book your delicious deal in Orchard.</t>
  </si>
  <si>
    <t>TH_BKK_ctnoti_netcore_single_N_N_active_20250721_1100_copper-beyond-buffet-the-sense-jul25</t>
  </si>
  <si>
    <t>โค้งสุดท้าย กับโปรพิเศษจาก Copper 🦞🔥</t>
  </si>
  <si>
    <t>จองด่วน! กับบุฟเฟต์ฟัวกราส์ไม่อั้น และรับฟรี ล็อบสเตอร์อบชีส 1 จาน จองมาทานทุกๆ 2 ที่ เฉพาะสาขา The Sense ถึง 31 ก.ค. เท่านั้น</t>
  </si>
  <si>
    <t>EN_BKK_ctnoti_netcore_single_N_N_active_20250721_1100_copper-beyond-buffet-the-sense-jul25</t>
  </si>
  <si>
    <t>Last Chance for Copper’s Special Deal! 🦞🔥</t>
  </si>
  <si>
    <t>Hurry and book now! Enjoy unlimited foie gras buffet and get 1 free Baked &amp; Torch Canadian Lobster Tail for every 2 diners. Only at The Sense branch until 31 July! 🍽️🧀✨</t>
  </si>
  <si>
    <t>EN_BKK_ctnoti_netcore_single_N_N_active_20250720_1500_flavors-at-renaissance-jul25</t>
  </si>
  <si>
    <t>Massive 40% OFF at Flavors at Renaissance! 🎉🍽️</t>
  </si>
  <si>
    <t>Don’t miss the ultimate WOK This Way buffet — enjoy 10 premium stations including seafood, teppanyaki, BBQ, Asian, Western, and more for just 1,118 THB! 🦞🔥✨</t>
  </si>
  <si>
    <t>TH_BKK_ctnoti_netcore_single_N_N_active_20250720_1500_flavors-at-renaissance-jul25</t>
  </si>
  <si>
    <t>ลดหนัก 40% กับ Flavors at Renaissance 🎉🍽️</t>
  </si>
  <si>
    <t>ห้ามพลาดกับสุดยอดบุฟเฟต์ WOK This Way ฟินไปกับ 10 สเตชั่นชั้นเลิศ อาทิ ซีฟู้ด เทปันยากิ บาร์บิคิว เอเชีย ตะวันตก และอื่นๆ 1,118.- เท่านั้น</t>
  </si>
  <si>
    <t>EN_BKK_ctnoti_netcore_single_N_N_active_20250720_1700_ads-rossini-s-at-sheraton-jul25</t>
  </si>
  <si>
    <t>🎷🍽️ Come 4 Pay 3 at Rossini's at Sheraton!</t>
  </si>
  <si>
    <t>Go all out every Sunday with the lavish Sunday Brunch Buffet — unlimited foie gras, Alaskan lobster, and more, all while enjoying live jazz. Average just 1,727 THB per person. Book now! 🦞🎶✨</t>
  </si>
  <si>
    <t>TH_BKK_ctnoti_netcore_single_N_N_active_20250720_1700_ads-rossini-s-at-sheraton-jul25</t>
  </si>
  <si>
    <t>🎷🍽️ มา 4 จ่าย 3 กับ Rossini's at Sheraton</t>
  </si>
  <si>
    <t>อลังการทุกวันอาทิตย์กับ Sunday Brunch Buffet อิ่มไม่อั้นกับฟัวกราส์ ล็อบสเตอร์ อลาสก้า พร้อมฟังดนตรีแจ๊ส เฉลี่ยคนละ 1,727 บาท จองเลย</t>
  </si>
  <si>
    <t>EN_BKK_ctnoti_netcore_single_N_N_active_20250722_1100_ads-top-knot-rooftop-jul25</t>
  </si>
  <si>
    <t>☕🍳 Unlimited Breakfast at Top Knot!</t>
  </si>
  <si>
    <t>Enjoy a cozy café-style morning with à la carte buffet and unlimited drinks — Come 2, Pay 1 for just 395 THB! Book now!</t>
  </si>
  <si>
    <t>TH_BKK_ctnoti_netcore_single_N_N_active_20250722_1100_ads-top-knot-rooftop-jul25</t>
  </si>
  <si>
    <t>☕🍳 มื้อเช้าอิ่มไม่อั้นกับ Top Knot</t>
  </si>
  <si>
    <t>อิ่มอร่อยกับมื้อเช้าคาเฟ่สไตล์ ด้วยเมนูอลาคาสบุฟเฟต์และเครื่องดื่มไม่อั้น พร้อมโปรมา 2 จ่าย 1 เพียง 395 บาท เท่านั้น จองเลย</t>
  </si>
  <si>
    <t>En-Reminder-Birthday July-gifts</t>
  </si>
  <si>
    <t>Hi [FIRST_NAME],🔥Birthday deal ends soon!</t>
  </si>
  <si>
    <t>Birthday_July</t>
  </si>
  <si>
    <t>Th-Reminder-Birthday July-gifts</t>
  </si>
  <si>
    <t>Hi [FIRST_NAME],🔥รีบใช้สิทธิ์ก่อนหมดโปรนะ!</t>
  </si>
  <si>
    <t>EN_BKK_ctnoti_netcore_group_N_N_active_20250722_1500_fak-marum-jul25</t>
  </si>
  <si>
    <t>Fak Marum is Bringing the Heat! 🌶️🔥</t>
  </si>
  <si>
    <t>Taste the ultimate Isaan flavors from a legendary spot with over 15 years of history — now at Town in Town and 3 more branches near you! Starting from just 230 THB. Book now!</t>
  </si>
  <si>
    <t>TH_BKK_ctnoti_netcore_group_N_N_active_20250722_1500_fak-marum-jul25</t>
  </si>
  <si>
    <t>🌶️🔥 ฝากมารุม มาแซ่บถึงถิ่นแล้ว!!</t>
  </si>
  <si>
    <t>ลิ้มรสสุดยอดต้นตำรับอีสาน เปิดมานานกว่า 15 ปี ที่สาขาทาวน์อินทาวน์ และอีก 3 สาขาใกล้บ้าน ในราคาพิเศษ เริ่มต้น 230 บาท จองเลย</t>
  </si>
  <si>
    <t>Th-Reminder -Come back combo</t>
  </si>
  <si>
    <t>Hi [FIRST_NAME],🔥โปรพิเศษจะสิ้นสุดลงแล้ว</t>
  </si>
  <si>
    <t>Vik-inactive in last 3 months-TH</t>
  </si>
  <si>
    <t>Reminder-Come back combo-en</t>
  </si>
  <si>
    <t>Hi [FIRST_NAME],🔥Offer ending soon!</t>
  </si>
  <si>
    <t>Vik-inactive in last 3 months-EN</t>
  </si>
  <si>
    <t>EN_BKK_ctnoti_netcore_single_N_N_active_20250722_1700_ads-deja-brew-lifestyle-cafe-jul25</t>
  </si>
  <si>
    <t>🍽️ Come 2 Pay 1 at Deja Brew Lifestyle Cafe!</t>
  </si>
  <si>
    <t>Foodies, don’t miss this! Enjoy an international buffet with desserts and over 40 unlimited drink selections — all starting from just 395 THB. Now till 20 Sep only!</t>
  </si>
  <si>
    <t>TH_BKK_ctnoti_netcore_single_N_N_active_20250722_1700_ads-deja-brew-lifestyle-cafe-jul25</t>
  </si>
  <si>
    <t>🍽️ มา 2 จ่าย 1 กับ Deja Brew Lifestyle Cafe</t>
  </si>
  <si>
    <t>สายกินต้องโดนกับบุฟเฟต์นานาชาติ ของหวาน และเครื่องดื่มไม่อั้นกว่า 40 รายการ ในราคาพิเศษ เริ่มต้นเพียง 395 บาท ถึง 20 ก.ย. เท่านั้น</t>
  </si>
  <si>
    <t>EN_BKK_ctnoti_netcore_group_N_N_active_20250723_1100_weekly-new-week3-jul25</t>
  </si>
  <si>
    <t>🟢 New Restaurants Dropping This Wednesday!</t>
  </si>
  <si>
    <t>Check them out now! Discover this week’s newly launched spots with special deals — be among the first 5 to book &amp; review each new restaurant and get up to 200 THB off for free! 🎉📍</t>
  </si>
  <si>
    <t>TH_BKK_ctnoti_netcore_group_N_N_active_20250723_1100_weekly-new-week3-jul25</t>
  </si>
  <si>
    <t>🟢 วันพุธนี้ มีร้านใหม่เข้ามาเพียบ!</t>
  </si>
  <si>
    <t>เช็คด่วน! กับร้านมาใหม่ประจำสัปดาห์ พร้อมโปรพิเศษ! เมื่อจองพร้อมรีวิวเป็น 5 คนแรก ของร้านใหม่แต่ละร้าน รับฟรี! ส่วนลดสูงสุด 200 บาท</t>
  </si>
  <si>
    <t>SG_BKK_ctnoti_netcore_single_N_N_active_20250723_1400_sg-town-restaurant-jul25</t>
  </si>
  <si>
    <t>✨ ~20% OFF Riverside Buffet!</t>
  </si>
  <si>
    <t>Dine by the iconic Singapore River at Town Restaurant. Their Executive Lunch Buffet is now from just S$52.75. An elegant escape at The Fullerton Hotel. Book now.</t>
  </si>
  <si>
    <t>EN_BKK_ctnoti_netcore_single_N_N_active_20250723_1500_benihana-at-riverside-jul25</t>
  </si>
  <si>
    <t>🔥🍣 Book 4 Pay for 3 at Benihana Riverside!</t>
  </si>
  <si>
    <t>Create your own teppanyaki set with main dishes, sushi rolls, sashimi, and appetizers — plus unlimited mocktails! All at a special price, now till 31 Aug. Book now!</t>
  </si>
  <si>
    <t>TH_BKK_ctnoti_netcore_single_N_N_active_20250723_1500_benihana-at-riverside-jul25</t>
  </si>
  <si>
    <t>🔥🍣 จอง 4 จ่ายแค่ 3 กับ Benihana at Riverside</t>
  </si>
  <si>
    <t>เซ็ตเทปันยากิเลือกได้ตามใจ ทั้งจานหลัก ซูชิโรล ซาชิมิ ของทานเล่น พร้อมม็อกเทลไม่อั้น ในราคาพิเศษ ถึง 31 ส.ค. จองเลย</t>
  </si>
  <si>
    <t>SG_BKK_ctnoti_netcore_single_N_N_active_20250723_1600_sg-chef-s-tavern-jul25</t>
  </si>
  <si>
    <t>👨‍🍳 A Culinary Treat at Chef's Tavern</t>
  </si>
  <si>
    <t xml:space="preserve">Discover refined European dishes crafted with passion. Experience fine dining flavours in a cozy, casual setting, with course meals from only S$42.5. Reserve your experience.
</t>
  </si>
  <si>
    <t>EN_BKK_ctnoti_netcore_single_N_N_active_20250723_1700_the-map-mestyle-jul25</t>
  </si>
  <si>
    <t>🦐 Come 4 Pay 3 at THE Map Mestyle!</t>
  </si>
  <si>
    <t>Enjoy unlimited time at this all-you-can-eat seafood buffet featuring special dishes like tamarind river prawns, three-flavor seabass, and more! Starting from just 494 THB. Book now!</t>
  </si>
  <si>
    <t>TH_BKK_ctnoti_netcore_single_N_N_active_20250723_1700_the-map-mestyle-jul25</t>
  </si>
  <si>
    <t>🦐 มา 4 จ่าย 3 กับ THE Map Mestyle</t>
  </si>
  <si>
    <t>อิ่มไม่อั้นไม่จำกัดเวลาทาน กับบุฟเฟต์ซีฟู้ดพร้อมเมนูพิเศษ อาทิ กุ้งแม่น้ำทอดซอสมะขาม ปลากระพงซอสสามรส และอีกเพียบ เริ่มต้น 494 บาท จองเลย</t>
  </si>
  <si>
    <t>SG_BKK_ctnoti_netcore_single_N_N_active_20250723_1800_sg-nova-singapore-jul25__</t>
  </si>
  <si>
    <t>✨ Dine Under the Stars at NOVA!</t>
  </si>
  <si>
    <t>Escape to this stunning rooftop bar in Raffles Place. Enjoy amazing city views and fusion bites under a spectacular star centerpiece. Deals start from just S$45. Book your night out.</t>
  </si>
  <si>
    <t>EN_BKK_ctnoti_netcore_single_N_N_active_20250724_1100_the-emperor-montien-jul25</t>
  </si>
  <si>
    <t>New Deal at The Emperor Montien! 🥢👑</t>
  </si>
  <si>
    <t>Come 2, Pay 1 every day and enjoy a dim sum buffet with mains and desserts — over 30+ items starting from just 495 THB! Available now until 31 Oct only. Book now!</t>
  </si>
  <si>
    <t>TH_BKK_ctnoti_netcore_single_N_N_active_20250724_1100_the-emperor-montien-jul25</t>
  </si>
  <si>
    <t>🥢👑 The Emperor Montien มีโปรใหม่มาแล้ว!</t>
  </si>
  <si>
    <t>มา 2 จ่ายแค่ 1 จองได้ทุกวัน กับบุฟเฟต์ติ่มซำ เมนูจานหลัก ของหวาน กว่า 30+ รายการ เริ่มต้นเพียง 495 บาท วันนี้ - 31 ต.ค. เท่านั้น</t>
  </si>
  <si>
    <t>No, the exact "Come X Pay X" format is not present, but the subject line indicates a new promotion.</t>
  </si>
  <si>
    <t>SG_BKK_ctnoti_netcore_group_N_N_active_20250724_1400_sg-thachang-jul25__</t>
  </si>
  <si>
    <t>🇹🇭 Craving Authentic Thai Food?</t>
  </si>
  <si>
    <t>Satisfy your cravings with rich, authentic Thai flavours at Thachang! Perfect for a delicious and affordable meal in Bugis and Telok Ayer with sets starting from just S$17. Book your Thai escape today!</t>
  </si>
  <si>
    <t>EN_BKK_ctnoti_netcore_single_N_N_active_20250724_1500_57th-street-jul25</t>
  </si>
  <si>
    <t>Come 3 Pay 2 at 57th Street! 🍻🌍</t>
  </si>
  <si>
    <t>Hot deal, book any day! Enjoy an international buffet with multiple stations in a cozy 5-star setting — plus unlimited beer! All for just 660 THB. Until 30 Sep only!</t>
  </si>
  <si>
    <t>TH_BKK_ctnoti_netcore_single_N_N_active_20250724_1500_57th-street-jul25</t>
  </si>
  <si>
    <t>มา 3 จ่าย 2 กับ 57th Street 🍻🌍</t>
  </si>
  <si>
    <t>โปรแรง วันไหนก็จองได้ กับบุฟเฟต์นานาชาติ หลากหลายสเตชั่น ในบรรยากาศสบายๆ ระดับ 5 ดาว พร้อมเบียร์ไม่อั้น พิเศษ 660 บาท ถึง 30 ก.ย.</t>
  </si>
  <si>
    <t>SG_BKK_ctnoti_netcore_mkt_N_N_active_20250724_1600_sg-hungry-point-jul25</t>
  </si>
  <si>
    <t>🎉 Your Meals Now Earn You Rewards!</t>
  </si>
  <si>
    <t>Introducing Hungry Hub Points! Earn at least 1 point for every S$1 you spend and use them for discounts on your next meal. Simply log in before you book to activate your rewards.</t>
  </si>
  <si>
    <t>earns rewards</t>
  </si>
  <si>
    <t>EN_BKK_ctnoti_netcore_group_N_N_active_20250724_1700_ads-shabushi-jul25</t>
  </si>
  <si>
    <t>Weekday Extra Value at Shabushi! 🍲🍣</t>
  </si>
  <si>
    <t>Endless happiness in every bite — enjoy unlimited Japanese-style shabu and sushi at a special price of just 427 THB. Book now! 🇯🇵✨</t>
  </si>
  <si>
    <t>TH_BKK_ctnoti_netcore_group_N_N_active_20250724_1700_ads-shabushi-jul25</t>
  </si>
  <si>
    <t>🍲🍣 ชาบูชิ จองวันธรรมดาคุ้มยิ่งกว่า</t>
  </si>
  <si>
    <t>รสชาติความสุขไม่สิ้นสุดที่.. ชาบูชิ อิ่มอร่อยกับชาบูและซูชิ หลากหลายสไตล์ญี่ปุ่นไม่อั้น ในราคาพิเศษเพียง 427 บาท จองเลย</t>
  </si>
  <si>
    <t>4419, 4420, 4421, 4422, 4425, 4426, 4427, 4428, 4429, 4430, 4431, 4435, 4437, 4439, 4441, 4442, 4446, 4447, 4448, 4449, 4450</t>
  </si>
  <si>
    <t>SG_BKK_ctnoti_netcore_single_N_N_active_20250724_1800_sg-la-brasserie-jul25</t>
  </si>
  <si>
    <t>🇫🇷 A Taste of Paris on the Waterfront</t>
  </si>
  <si>
    <t>Experience the "Joie de Vivre" (Joy of Living) at La Brasserie. Indulge in an exquisite French feast with breathtaking views at The Fullerton Bay Hotel. Menus start from S$74.8. Reserve your table</t>
  </si>
  <si>
    <t>EN_BKK_ctnoti_netcore_single_N_N_active_20250725_1100_gallery-kitchen-jul25</t>
  </si>
  <si>
    <t>🍳🥐 Breakfast Buffet for Just 262 THB!</t>
  </si>
  <si>
    <t>TH_BKK_ctnoti_netcore_single_N_N_active_20250725_1100_gallery-kitchen-jul25</t>
  </si>
  <si>
    <t>🍳🥐 มื้อเช้าอิ่มไม่อั้น แค่ 262 บาทเท่านั้น</t>
  </si>
  <si>
    <t>อิ่มรับเช้าวันศุกร์ กับบุฟเฟต์อาหารเช้านานาชาติ จาก Gallery Kitchen ราคาพิเศษเฉพาะที่ Hungry Hub เท่านั้น วันนี้ - 31 ก.ค. เท่านั้น</t>
  </si>
  <si>
    <t>SG_BKK_ctnoti_netcore_group_N_N_active_20250725_1400_sg-coriander-leaf-jul25</t>
  </si>
  <si>
    <t>🌏 Embark on a Pan-Asian Journey!</t>
  </si>
  <si>
    <t>Let your taste buds travel across Asia! Discover creative, award-winning Pan-Asian dishes at Coriander Leaf. Experience this culinary adventure from just S$43. Book your table at your preferred location.</t>
  </si>
  <si>
    <t>EN_BKK_ctnoti_netcore_single_N_N_active_20250725_1500_meridian-cruise-jul25</t>
  </si>
  <si>
    <t>🚢🌃 Come 4 Pay 3 with Meridian Cruise!</t>
  </si>
  <si>
    <t>Sail in style along the Chao Phraya River and enjoy a magical evening with an international buffet — all at a special price of just 674 THB. Now until 30 Sep only!</t>
  </si>
  <si>
    <t>TH_BKK_ctnoti_netcore_single_N_N_active_20250725_1500_meridian-cruise-jul25</t>
  </si>
  <si>
    <t>🚢🌃 มา 4 จ่าย 3 กับ Meridian Cruise</t>
  </si>
  <si>
    <t>ล่องเรือหรู พร้อมดื่มด่ำค่ำคืนสุดพิเศษในม่น้ำเจ้าพระยา พร้อมลิ้มรสบุฟเฟต์นานาชาติ ในราคาพิเศษเพียง 674 บาท วันนี้ - 30 ก.ย. เท่านั้น</t>
  </si>
  <si>
    <t>SG_BKK_ctnoti_netcore_single_N_N_active_20250725_1730_sg-singapore-The Prince-jul25</t>
  </si>
  <si>
    <t>Hi [FIRST_NAME], Michelin Dreams Come True ✨</t>
  </si>
  <si>
    <t>EN_BKK_ctnoti_netcore_single_N_N_active_20250725_1700_ads-albricias-at-chatrium-jul25</t>
  </si>
  <si>
    <t>🇪🇸🍷 Come 3 Pay for 2 at Albricias!</t>
  </si>
  <si>
    <t>Savor a luxurious all-you-can-eat Spanish buffet and get 1 special dish of your choice — all at a special price of 1,526 THB. Available now until 31 Aug only!</t>
  </si>
  <si>
    <t>TH_BKK_ctnoti_netcore_single_N_N_active_20250725_1700_ads-albricias-at-chatrium-jul25</t>
  </si>
  <si>
    <t>🇪🇸🍷 มา 3 จ่าย 2 กับ Albricias</t>
  </si>
  <si>
    <t>อร่อยแบบหรูหรากับบุฟเฟต์อาหารสเปนไม่อั้น และเลือกรับ 1 เมนูพิเศษ ในราคาพิเศษ 1,526 บาท วันนี้ถึง 31 ส.ค. เท่านั้น จองเลย</t>
  </si>
  <si>
    <t>SG_BKK_ctnoti_netcore_single_N_N_active_20250725_1800_sg-moon-thai-kitchen-jul25</t>
  </si>
  <si>
    <t>😋 Delicious Thai Meals from S$13!</t>
  </si>
  <si>
    <t>Yes, you read that right! Get your fix of authentic, comforting Thai food at Moon Thai Kitchen for an incredible price. Why wait? Reserve your wallet-friendly feast today.</t>
  </si>
  <si>
    <t>EN_BKK_ctnoti_netcore_single_N_N_active_20250726_1100_gogida-jul25</t>
  </si>
  <si>
    <t>Gogida Korean BBQ from Just Hundreds! 🔥</t>
  </si>
  <si>
    <t>Grill your heart out with unlimited meats like bulgogi beef, short ribs, pork belly, grilled intestines, and more! Starting from just 481 THB. Book now! 🇰🇷</t>
  </si>
  <si>
    <t>TH_BKK_ctnoti_netcore_single_N_N_active_20250726_1100_gogida-jul25</t>
  </si>
  <si>
    <t>🔥 Gogida ปิ้งย่างเกาหลี จ่ายแค่หลักร้อย</t>
  </si>
  <si>
    <t>ยกทัพเนื้อมาเสิร์ฟแบบไม่อั้นทั้ง เนื้อวัวบุลโคกี เนื้อซี่โครง หมูสามชั้น ไส้ย่าง และอีกมากมาย เริ่มต้นเพียง 481 บาท จองเลย</t>
  </si>
  <si>
    <t>No, the offer doesn't explicitly state "Come X Pay X," but it mentions paying only in the hundreds of baht ("จ่ายแค่หลักร้อย").</t>
  </si>
  <si>
    <t>SG_BKK_ctnoti_netcore_single_N_N_active_20250726_1400_sg-neon-pigeon-jul25</t>
  </si>
  <si>
    <t>🐦 Discover the Underground Vibe of Neon Pigeon</t>
  </si>
  <si>
    <t xml:space="preserve">Dive into the electric atmosphere of this modern izakaya. Share creative Japanese plates and killer cocktails 🍸. An epic night out awaits, with sharing sets from just S$58 per person. Book your spot.
</t>
  </si>
  <si>
    <t>EN_BKK_ctnoti_netcore_single_N_N_active_20250726_1500_savio-at-chatrium-grand-jul25</t>
  </si>
  <si>
    <t>🍷 Come 3 Pay 2 at Savio Chatrium Grand!</t>
  </si>
  <si>
    <t>Kick off your weekend with Flames &amp; Feasts and the Mediterranean Salt &amp; Sea Buffet at a special price! Available now until 30 Sep only. Book now!</t>
  </si>
  <si>
    <t>TH_BKK_ctnoti_netcore_single_N_N_active_20250726_1500_savio-at-chatrium-grand-jul25</t>
  </si>
  <si>
    <t>🍷 มา 3 จ่าย 2 กับ Savio at Chatrium Grand</t>
  </si>
  <si>
    <t>ต้อนรับสุดสัปดาห์กับ Flames &amp; Feasts และ Mediterranean Salt &amp; Sea Buffet ในราคาสุดพิเศษ วันนี้ถึง 30 ก.ย. เท่านั้น จองเลย</t>
  </si>
  <si>
    <t>SG_BKK_ctnoti_netcore_group_N_N_active_20250726_1600_sg-sakon-thai-jul25</t>
  </si>
  <si>
    <t>🇹🇭 Your Go-To for an Easy Thai Meal!</t>
  </si>
  <si>
    <t>Craving Thai food? Sakon Thai makes it easy and affordable with branches across the island. Enjoy authentic, satisfying meals from just S$17 per person. Book your table now!</t>
  </si>
  <si>
    <t>TH_BKK_ctnoti_netcore_single_N_N_active_20250726_1700_ads-throwback-rooftop-jul25</t>
  </si>
  <si>
    <t>🍹🌆 ทานเบาๆ จิบไม่อั้น ในราคาพิเศษ</t>
  </si>
  <si>
    <t>ห้ามพลาดกับโปรสุดชิลจาก Throwback Rooftop เลือกทาน 1 เมนู พร้อมเครื่องดื่มไม่อั้น เพียง 590 บาทเท่านั้น จองเลย</t>
  </si>
  <si>
    <t>SG_BKK_ctnoti_netcore_single_N_N_active_20250726_1800_sg-ikki-izakaya-jul25</t>
  </si>
  <si>
    <t>🍣 Authentic Izakaya Experience from S$23!</t>
  </si>
  <si>
    <t>Get your Japanese food fix at IKKI IZAKAYA. From delicious donburi to tasty skewers, enjoy a wide range of authentic dishes at an amazing price. Meals start from only S$23. Reserve now.</t>
  </si>
  <si>
    <t>EN_BKK_ctnoti_netcore_single_N_N_active_20250727_1100_dynasty-centara-grand-jul25</t>
  </si>
  <si>
    <t>🥢 Come 4 Pay 3 at Dynasty Centara Grand!</t>
  </si>
  <si>
    <t>Celebrate family time with an all-you-can-eat dim sum buffet featuring over 30 items, plus 1 main dish of your choice per person — all for just 817 THB. Now until 30 Sep only!</t>
  </si>
  <si>
    <t>TH_BKK_ctnoti_netcore_single_N_N_active_20250727_1100_dynasty-centara-grand-jul25</t>
  </si>
  <si>
    <t>🥢 มา 4 จ่าย 3 กับ Dynasty Centara Grand</t>
  </si>
  <si>
    <t>อิ่มไม่อั้นรับวันครอบครัว กับโปรบุฟเฟต์ติ่มซำไม่อั้น กว่า 30 เมนู พร้อมเลือกเมนูจานหลัก 1 เมนูต่อท่าน เพียง 817 บาท ถึง 30 ก.ย. เท่านั้น</t>
  </si>
  <si>
    <t>SG_BKK_ctnoti_netcore_group_N_N_active_20250727_1400_sg-super-thai-by-soi-aroy-jul25</t>
  </si>
  <si>
    <t>⭐ 4.8 Stars! Here’s Why Everyone Loves This Thai Buffet</t>
  </si>
  <si>
    <t>Taste the hype at Super Thai! Feast on unlimited, authentic Thai dishes that have earned rave reviews. The ultimate all-you-can-eat experience starts from just S$35. Book your spot!</t>
  </si>
  <si>
    <t>EN_BKK_ctnoti_netcore_group_N_N_active_20250727_1500_thong-nua-kao-jul25</t>
  </si>
  <si>
    <t>Thong Nuea Kao is Here! 🔥🍖</t>
  </si>
  <si>
    <t>Enjoy premium Thai-style BBQ buffet with unlimited top-quality meats! Book now and get 1 special dish per person for free — all for just 575 THB!</t>
  </si>
  <si>
    <t>TH_BKK_ctnoti_netcore_group_N_N_active_20250727_1500_thong-nua-kao-jul25</t>
  </si>
  <si>
    <t>🔥🍖 ทองเนื้อเก้า มาแล้ว!!</t>
  </si>
  <si>
    <t>สัมผัสความอร่อย บุฟเฟต์หมูกระทะไทยระดับพรีเมียม ยกทัพเนื้อพรีเมียมไม่อั้น จองตอนนี้รับเมนูพิเศษเพิ่ม 1 จานต่อท่าน เพียง 575 บาท</t>
  </si>
  <si>
    <t>SG_BKK_ctnoti_netcore_single_N_N_active_20250727_1600_sg-ilmiri-korean-fusion-cuisine-jul25</t>
  </si>
  <si>
    <t>🇰🇷 A Modern Twist on Korean Classics!</t>
  </si>
  <si>
    <t>Tired of the usual Korean fare? Discover ilmiri's innovative fusion cuisine. A vibrant dining experience with unique flavours starting from only S$34.33 per person. Reserve your table.</t>
  </si>
  <si>
    <t>EN_BKK_ctnoti_netcore_single_N_N_active_20250727_1700_ads-the-pablo-bangkok-jul25</t>
  </si>
  <si>
    <t>🍕 Looking for a special weekend dinner?</t>
  </si>
  <si>
    <t>End your day with a feast at The Pablo Bangkok — over 10 pizza varieties, pasta, and more than 90 dishes to enjoy! Starting from just 790 THB. Book now!</t>
  </si>
  <si>
    <t>TH_BKK_ctnoti_netcore_single_N_N_active_20250727_1700_ads-the-pablo-bangkok-jul25</t>
  </si>
  <si>
    <t>🍕 ค้นหามื้อพิเศษส่งท้ายสัปดาห์กันหน่อยไหม?</t>
  </si>
  <si>
    <t>ก่อนหมดวัน มาปิดท้ายมื้อดินเนอร์กับ The Pablo Bangkok ทั้งพิซซ่ามากกว่า 10 หน้า พาสต้า และอีกมากมายกว่า 90 รายการ เริ่มต้น 790 บาท</t>
  </si>
  <si>
    <t>SG_BKK_ctnoti_netcore_single_N_N_active_20250727_1800_sg-astor-bar-at-the-st-regis-jul25</t>
  </si>
  <si>
    <t>🍸 Discover Singapore's Grand Dame Bar</t>
  </si>
  <si>
    <t>Looking for a sophisticated night out? Astor Bar offers a world of classic cocktails, premium spirits, and impeccable service. Experience true luxury from just S$77. Reserve your exquisite evening.</t>
  </si>
  <si>
    <t>EN_BKK_ctnoti_netcore_group_N_N_active_20250728_1100_hh-exclusive-deals-move-jul25</t>
  </si>
  <si>
    <t>Weekend’s Not Over — More Deals Await! 🎉</t>
  </si>
  <si>
    <t>Plenty of restaurants are ready with amazing promos — the more you come, the less you pay! Don’t miss spots like Vertigo TOO, Orchid Cafe, Copper Aquarium &amp; many more. Book now!</t>
  </si>
  <si>
    <t>TH_BKK_ctnoti_netcore_group_N_N_active_20250728_1100_hh-exclusive-deals-move-jul25</t>
  </si>
  <si>
    <t>วันหยุดยังไม่หมด โปรคุ้มมีอีกเพียบ 🎉</t>
  </si>
  <si>
    <t>ร้านอาหารพร้อมโปรยิ่งมาเยอะ ยิ่งจ่ายน้อยกำลังรอคุณอยู่ อาทิ Vertigo TOO, Orchid Cafe, Copper Aquarium และอีกมากมาย จองเลย</t>
  </si>
  <si>
    <t>SG_BKK_ctnoti_netcore_single_N_N_active_20250728_1400_sg-shrimp-prawn-seafood-jul25</t>
  </si>
  <si>
    <t>🦐 The Best Thai Prawn Vermicelli in Town?</t>
  </si>
  <si>
    <t>Calling all seafood lovers! Indulge in authentic Thai seafood delights at Shrimp Prawn Seafood, famous for its flavour-packed claypot prawn vermicelli. Enjoy delicious sharing sets from just S$43.75. Book now!</t>
  </si>
  <si>
    <t>EN_BKK_ctnoti_netcore_single_N_N_active_20250728_1500_oranjii-japanese-yakiniku-jul25</t>
  </si>
  <si>
    <t>🍜 Premium Boat Noodle Buffet from 259 THB!</t>
  </si>
  <si>
    <t>Oranjii’s got you covered with unlimited wagyu beef, pork belly, pork loin, noodles, veggies &amp; more — all-you-can-eat starting from just 259 THB. Book now!</t>
  </si>
  <si>
    <t>TH_BKK_ctnoti_netcore_single_N_N_active_20250728_1500_oranjii-japanese-yakiniku-jul25</t>
  </si>
  <si>
    <t>🍜 ก๋วยเตี่ยวเรือพรีเมียมบุฟเฟต์ เริ่ม 259.-</t>
  </si>
  <si>
    <t>Oranjii จัดให้ ยกขบวนทั้งเนื้อโคขุน หมูสามชั้น หมูสันนอก เส้น ผัก ทานได้ไม่อั้น ในราาคาพิเศษเริ่มต้น 259 บาท จองเลย</t>
  </si>
  <si>
    <t>SG_BKK_ctnoti_netcore_single_N_N_active_20250728_1600_sg-wakanui-grill-dining-jul25</t>
  </si>
  <si>
    <t>🔥 Taste Legendary New Zealand Beef!</t>
  </si>
  <si>
    <t>Indulge in WAKANUI's famous dry-aged Ocean Beef and Spring Lamb, grilled to perfection over Binchotan charcoal. A world-class steakhouse lunch is within reach from just S$62. Book now.</t>
  </si>
  <si>
    <t>EN_BKK_ctnoti_netcore_single_N_N_active_20250728_1700_ads-streats-cafe-jul25</t>
  </si>
  <si>
    <t>🌏 Value-Packed Street Food Buffet from 499 THB!</t>
  </si>
  <si>
    <t>Don’t miss Streats Cafe at ibis Styles Bangkok — enjoy an Asian-style street food buffet for both lunch and dinner, right in the heart of Ratchada! Book now! 🍽️✨</t>
  </si>
  <si>
    <t>TH_BKK_ctnoti_netcore_single_N_N_active_20250728_1700_ads-streats-cafe-jul25</t>
  </si>
  <si>
    <t>🌏 บุฟเฟต์สตรีทฟู้ดสุดคุ้ม เริ่มต้น 499.-</t>
  </si>
  <si>
    <t>ห้ามพลาดกับ Streats Cafe at ibis Styles Bangkok บุฟเฟต์สตรีทฟู้ด สไตล์เอเชีย คุ้มทั้งมื้อกลางวันและมื้อค่ำ ใจกลางรัชดา จองเลย</t>
  </si>
  <si>
    <t>SG_BKK_ctnoti_netcore_single_N_N_active_20250728_1800_sg-redtail-bar-by-zouk-jul25</t>
  </si>
  <si>
    <t>🍻 Start Your Night Out Right at RedTail!</t>
  </si>
  <si>
    <t>The official pre-game bar for Zouk! Fuel up with delicious sharing platters, tasty cocktails, and fun party games. The perfect start to an epic night begins from just S$36.25. Get the party started!</t>
  </si>
  <si>
    <t>TH_BKK_ctnoti_netcore_single_N_N_active_20250729_1100_the-kitchen-table-buffet-jul25</t>
  </si>
  <si>
    <t>🍣🍤 เที่ยงนี้ มา 3 จ่าย 2 กับ The Kitchen Table</t>
  </si>
  <si>
    <t>ต่อความคุ้มกับไลน์อัพบุฟเฟต์มื้อเที่ยง อาทิ อาหารไทย ญี่ปุ่น ซีฟู้ด และอีกมากมาย ในราคาสุดพิเศษเพียง 526 บาท วันนี้ - 30 ก.ย. เท่านั้น</t>
  </si>
  <si>
    <t>Yes, Come 3 Pay 2</t>
  </si>
  <si>
    <t>EN_BKK_ctnoti_netcore_single_N_N_active_20250729_1100_the-kitchen-table-buffet-jul25</t>
  </si>
  <si>
    <t>🍣🍤 Lunch Deal Come 3 Pay 2 at The Kitchen Table!</t>
  </si>
  <si>
    <t>Keep the value coming with a lunch buffet lineup featuring Thai, Japanese, seafood, and more — all for just 526 THB. Available now until 30 Sep only</t>
  </si>
  <si>
    <t>2-TH-Reminder-Birthday July-gifts</t>
  </si>
  <si>
    <t>Hi [FIRST_NAME],🎂เหลือเวลา 3 วันสุดท้ายเท่านั้น! รับของขวัญวันเกิดของคุณเลย!</t>
  </si>
  <si>
    <t>2nd-En-Reminder-Birthday July-gifts</t>
  </si>
  <si>
    <t>Hi [FIRST_NAME],🎂 3 Days Left to Claim Your Birthday Gift!</t>
  </si>
  <si>
    <t>Yes, the subject line mentions an offer: "Claim Your Birthday Gift!".</t>
  </si>
  <si>
    <t>EN_BKK_ctnoti_netcore_single_N_N_active_20250729_1500_kbbq-premium-korean-buffet--jul25</t>
  </si>
  <si>
    <t>🥩 KBBQ Buffet from Just 399 THB! 🔥🇰🇷</t>
  </si>
  <si>
    <t>Grill all you want with this Korean BBQ buffet — enjoy dry-aged pork, premium beef, and more at a special price starting from just 399 THB. Book now!</t>
  </si>
  <si>
    <t>TH_BKK_ctnoti_netcore_single_N_N_active_20250729_1500_kbbq-premium-korean-buffet--jul25</t>
  </si>
  <si>
    <t>🥩 KBBQ บุฟเฟต์ เริ่มต้น 399.-</t>
  </si>
  <si>
    <t>อิ่มไม่อั้นกับบุฟเฟต์ปิ้งย่างสไตล์เกาหลี เต็มอิ่มทั้งหมูดรายเอจ เนื้อพรีเมียม และอีกมากมาย ในราคาพิเศษ เริ่มต้น 399 บาท จองเลย</t>
  </si>
  <si>
    <t>TH_BKK_ctnoti_netcore_single_N_N_active_20250729_1700_ads-wonderful-pearl-jul25</t>
  </si>
  <si>
    <t>🚢🌕 ดินเนอร์เรือหรูวิวหลักล้าน จ่ายแค่หลักพัน</t>
  </si>
  <si>
    <t>Wonderful Pearl Cruise มาแล้ว! สัมผัสค่ำคืนสุดพิเศษพร้อมดนตรีสด และอิ่มอร่อยกับดินเนอร์บุฟเฟต์ใต้แสงจันทร์ ในราคาพิเศษ 1,480 บาท</t>
  </si>
  <si>
    <t>The subject line translates to "Luxury boat dinner with million-dollar views, pay only thousands," suggesting a great value proposition (high value for low cost), but it does not use a "Come X Pay X" structure.</t>
  </si>
  <si>
    <t>EN_BKK_ctnoti_netcore_single_N_N_active_20250729_1700_ads-wonderful-pearl-jul25</t>
  </si>
  <si>
    <t>🚢🌕 Luxury Dinner Cruise with a Million-Dollar View</t>
  </si>
  <si>
    <t>Wonderful Pearl Cruise is here! Enjoy a magical night with live music and a moonlit dinner buffet — all at a special price of just 1,480 THB</t>
  </si>
  <si>
    <t>EN_BKK_ctnoti_netcore_group_N_N_active_20250730_1100_weekly-new-week4-jul25</t>
  </si>
  <si>
    <t>🟢 Final Wednesday of the Month = New Restaurants Alert!</t>
  </si>
  <si>
    <t>Book now! This week’s new arrivals come with special deals — be among the first 5 to book &amp; review each new restaurant and get up to 200 THB off for free!</t>
  </si>
  <si>
    <t>TH_BKK_ctnoti_netcore_group_N_N_active_20250730_1100_weekly-new-week4-jul25</t>
  </si>
  <si>
    <t>🟢 พุธสุดท้ายของเดือน มีร้านใหม่มาฝาก</t>
  </si>
  <si>
    <t>จองด่วน! ร้านมาใหม่ประจำสัปดาห์ พร้อมโปรพิเศษ! เมื่อจองพร้อมรีวิวเป็น 5 คนแรก ของร้านใหม่แต่ละร้าน รับฟรี! ส่วนลดสูงสุด 200 บาท</t>
  </si>
  <si>
    <t>SG_BKK_ctnoti_netcore_single_N_N_active_20250725_1600_sg-the-landing-point-jul25__</t>
  </si>
  <si>
    <t>🥂 Your Exquisite Afternoon Tea Awaits</t>
  </si>
  <si>
    <t>Indulge in an unforgettable afternoon tea experience at The Fullerton Bay Hotel. Enjoy delicate, classic pastries with panoramic views of the bay. This moment of luxury starts from only S$61.15. Reserve your table.</t>
  </si>
  <si>
    <t>EN_BKK_ctnoti_netcore_single_N_N_active_20250730_1500_red-oven-so-bangkok-jul25</t>
  </si>
  <si>
    <t>Come 2 Pay 1 at Red Oven! 🔥🍽️</t>
  </si>
  <si>
    <t>Last chance to enjoy the premium Robata Grill Dinner Buffet — 3 full hours of Japanese-style grilled delights at a special price of just 883 THB. Available now until 31 July only!</t>
  </si>
  <si>
    <t>TH_BKK_ctnoti_netcore_single_N_N_active_20250730_1500_red-oven-so-bangkok-jul25</t>
  </si>
  <si>
    <t>มา 2 จ่าย 1 กับ Red Oven 🔥🍽️</t>
  </si>
  <si>
    <t>โอกาสสุดท้ายกับ Robata Grill Dinner Buffet บุฟเฟต์สุดพรีเมียม จากเตาย่างสไตล์ญี่ปุ่น 3 ชั่วโมงเต็ม ในราคาพิเศษ 883 บาท วันนี้ - 31 ก.ค.</t>
  </si>
  <si>
    <t>EN_BKK_ctnoti_netcore_single_N_N_active_20250730_1700_ads-sook-samraan-cafe-jul25</t>
  </si>
  <si>
    <t>🐽 Nothing Beats the Joy of Grilled Pork!</t>
  </si>
  <si>
    <t>Spend your evening with chill vibes and Thai-style BBQ at Sook Samraan Cafe — just like dining at a friend’s backyard! Special price starts from only 322 THB</t>
  </si>
  <si>
    <t>TH_BKK_ctnoti_netcore_single_N_N_active_20250730_1700_ads-sook-samraan-cafe-jul25</t>
  </si>
  <si>
    <t>🐽 สุขใดจะเล่า จะอร่อยเท่าหมูสุก</t>
  </si>
  <si>
    <t>ตกเย็นนี้ไปทานหมูกระทะชิลๆ ฟิลเหมือนนั่งบ้านเพื่อน ที่ สุกสำราญ คาเฟ่หมูกระทะ บนสนามหญ้าหน้าบ้าน ในราคาพิเศษเริ่มต้น 322 บาท จองเลย</t>
  </si>
  <si>
    <t>EN_BKK_ctnoti_netcore_group_N_N_active_20250731_1100_last-day-super-brand-day-jul25</t>
  </si>
  <si>
    <t>Super Brand Day — Final Call! ⏰🔥</t>
  </si>
  <si>
    <t>Snag massive deals with over 50% OFF on top restaurants, hotels, and buffets from 50 leading brands! Ends tonight at midnight — don’t miss out! Click now!</t>
  </si>
  <si>
    <t>TH_BKK_ctnoti_netcore_group_N_N_active_20250731_1100_last-day-super-brand-day-jul25</t>
  </si>
  <si>
    <t>Super Brand Day วันสุดท้ายแล้ว ⏰🔥</t>
  </si>
  <si>
    <t>รีบคว้า ดีลพิเศษลดจัดหนักกว่า 50% ร้านอาหาร โรงแรม บุฟเฟต์ในเครือชั้นนำจาก 50 แบรนด์ดัง ถึงเที่ยงคืนนี้เท่านั้น คลิกเลย</t>
  </si>
  <si>
    <t>EN_BKK_ctnoti_netcore_single_N_N_active_20250731_1500_saneh-jaan</t>
  </si>
  <si>
    <t>Timeless Thai Flavors — 8 Years of Michelin Excellence! 🇹🇭🌟</t>
  </si>
  <si>
    <t>Don’t miss Saneh Jaan, a Michelin-awarded Thai restaurant serving elegant royal-inspired cuisine with a modern twist — starting at just 1,063 THB. Book now!</t>
  </si>
  <si>
    <t>TH_BKK_ctnoti_netcore_single_N_N_active_20250731_1500_saneh-jaan</t>
  </si>
  <si>
    <t>🇹🇭🌟 ที่สุดของรสชาติวันวาน การันตรีมิชลิน 8 ปีซ้อน</t>
  </si>
  <si>
    <t>ห้ามพลาดกับ เสน่ห์จันทน์ ร้านอาหารไทยที่ถ่าายทอดรสชาติแบบชาววัง ให้หรูหราร่วมสมัย ในราคาสุดพิเศษ เริ่มต้น 1,063 บาท เท่านั้น จองเลย</t>
  </si>
  <si>
    <t>The subject line does not contain an offer in the format "Come X Pay X".</t>
  </si>
  <si>
    <t>EN_BKK_ctnoti_netcore_single_N_N_active_20250731_1700_akato-bkk-jul25</t>
  </si>
  <si>
    <t>🍣 Akato BKK Come 2 Pay 1!</t>
  </si>
  <si>
    <t>Don’t miss this hot deal! Enjoy a 10-course omakase including Akami sushi, Honmaguro Golden Cup, and more — just 460 THB per set. Book now!</t>
  </si>
  <si>
    <t>TH_BKK_ctnoti_netcore_single_N_N_active_20250731_1700_akato-bkk-jul25</t>
  </si>
  <si>
    <t>🍣 Akato BKK มา 2 จ่ายแค่ 1</t>
  </si>
  <si>
    <t>โปรแรงต้องรีบโดน กับโอมากาเสะ 10 คอร์ส อาทิ ซูชิอากามิ ฮอนมากุโระถ้วยทอง และอีกมากมาย เพียง 460 บาท/แพ็ค จองเลย</t>
  </si>
  <si>
    <t>TH_BKK_ctnoti_netcore_single_N_N_active_20250801_1100_the-mayflower-aug25</t>
  </si>
  <si>
    <t>🥢🦆 มา 3 จ่าย 2 กับ The Mayflower</t>
  </si>
  <si>
    <t>สายติ่มซำไม่ควรพลาด กับบุฟเฟต์ติ่มซำ เป็ดปักกิ่ง เป็ดย่าง และอีกมากมา ในราคาพิเศษเพียง 800 บาท ถึง 30 ก.ย. เท่านั้น</t>
  </si>
  <si>
    <t>EN_BKK_ctnoti_netcore_single_N_N_active_20250801_1100_the-mayflower-aug25</t>
  </si>
  <si>
    <t>🥢🦆 Come 3 Pay 2 at The Mayflower!</t>
  </si>
  <si>
    <t>Dim sum lovers, don’t miss out! Enjoy an all-you-can-eat dim sum buffet featuring Peking duck, roast duck, and more — all at a special price of just 800 THB. Until 30 Sep only!</t>
  </si>
  <si>
    <t>EN_BKK_ctnoti_netcore_single_N_N_active_20250801_1500_seasonal-tastes-aug25</t>
  </si>
  <si>
    <t>🦐🔥 Kick Off Your Weekend with Seafood &amp; Grill</t>
  </si>
  <si>
    <t>Come 2 Pay 1 at Seasonal Tastes and indulge in a seafood &amp; grill dinner buffet at a special price — just 912 THB! Book now until 31 Aug only!</t>
  </si>
  <si>
    <t>TH_BKK_ctnoti_netcore_single_N_N_active_20250801_1500_seasonal-tastes-aug25</t>
  </si>
  <si>
    <t>🦐🔥 Seafood &amp; Grill รับสุดสัปดาห์!</t>
  </si>
  <si>
    <t>มา 2 จ่ายเพียง 1 ที่ Seasonal Tastes เต็มอิ่มกับดินเนอร์บุฟเฟต์ซีฟู้ดและปิ้งย่าง ในราคาสุดพิเศษเพียง 912 บาท จองเลยถึง 31 ส.ค.</t>
  </si>
  <si>
    <t>Yes, X-Payments offers a 16% savings if you choose to pay annually instead of monthly.</t>
  </si>
  <si>
    <t>SG_BKK_ctnoti_netcore_single_N_N_active_20250801_1500_sg-l-aperitif-at-mercure-jul25</t>
  </si>
  <si>
    <t>🍸 Unwind in Style at L'Aperitif</t>
  </si>
  <si>
    <t>Escape the hustle and bustle at this chic lobby bar in Mercure on Stevens. Perfect for after-work cocktails or casual bites. Indulge in premium sets from just S$25. Book your chill-out session.</t>
  </si>
  <si>
    <t>SG_BKK_ctnoti_netcore_single_N_N_active_20250801_1700_sg-wonderland-upside-down-aug25</t>
  </si>
  <si>
    <t>✨ This Isn't Your Typical Omakase...</t>
  </si>
  <si>
    <t>Ready for an adventure? Wonderland Upside Down reimagines Singaporean flavours into a magical 5-course omakase. A truly unique dining experience awaits, from just S$102 per person. Book now</t>
  </si>
  <si>
    <t>EN_BKK_ctnoti_netcore_single_N_N_active_20250801_1700_ads-riedel-restaurant-aug25</t>
  </si>
  <si>
    <t>🍷 43% OFF at Riedel Restaurant &amp; Wine Cellar!</t>
  </si>
  <si>
    <t>Savor exquisite European-style dishes made with premium ingredients at this world-class wine bar by the iconic glassware brand. Starting from just 949 THB. Book now!</t>
  </si>
  <si>
    <t>TH_BKK_ctnoti_netcore_single_N_N_active_20250801_1700_ads-riedel-restaurant-aug25</t>
  </si>
  <si>
    <t>🍷 ลด 43% กับ Riedel Restaurant &amp; Wine Cellar</t>
  </si>
  <si>
    <t>สัมผัสประสบการณ์รสชาติเมนูสไตล์ยุโรปพิเศษ ที่คัดสรรวัตถุดิบชั้นเลิศ จากร้านไวน์บาร์จากแบรนด์แก้วระดับเวิล์ดคลาส เริ่มต้น 949 บาท จองเลย</t>
  </si>
  <si>
    <t>SG_BKK_ctnoti_netcore_single_N_N_active_20250801_1900_sg-absurdities-singapore-aug25__</t>
  </si>
  <si>
    <t>✨ The Most Unexpected Dinner in Singapore</t>
  </si>
  <si>
    <t>Ready for something truly different? Eat your way through a series of absurdly fun and creative rooms at Absurdities. This one-of-a-kind immersive dining adventure starts from S$183.5. Reserve your spot.</t>
  </si>
  <si>
    <t>TH_BKK_ctnoti_netcore_single_N_N_active_20250804_1100_xin-tian-di-aug25</t>
  </si>
  <si>
    <t>มา 3 จ่าย 2 กับ Xin Tian Di 🥢🧧</t>
  </si>
  <si>
    <t>จัดหนักกับบุฟเฟต์ติ่มซำไม่อั้น จองผ่าน Hungry Hub รับเมนูเทสติ้ง 1 เสิร์ฟต่อท่านไปเลย เพียง 592 บาท วันนี้ - 31 ส.ค. เท่านั้น</t>
  </si>
  <si>
    <t>EN_BKK_ctnoti_netcore_single_N_N_active_20250804_1100_xin-tian-di-aug25</t>
  </si>
  <si>
    <t>Come 3 Pay for 2 at Xin Tian Di! 🥢🧧</t>
  </si>
  <si>
    <t>Go all out with unlimited dim sum buffet! Book via Hungry Hub and get 1 complimentary tasting dish per person — all for just 592 THB. Available now until 31 Aug only!</t>
  </si>
  <si>
    <t>Yes, Come 3 Pay for 2</t>
  </si>
  <si>
    <t>TH_BKK_ctnoti_netcore_single_N_N_active_20250804_1500_motherday-atrium-restaurant-aug25</t>
  </si>
  <si>
    <t>💐 วันแม่นี้ Atrium มีโปรดีมาฝาก</t>
  </si>
  <si>
    <t>บอกรักแม่กับบุฟเฟต์บรันช์และดินเนอร์สุดพิเศษ ทั้งอาหารไทย ตะวันตก ตะวันตก ญี่ปุ่น และอีกมากมาย รับฟรี! คัพเค้กวันแม่ 2 ชิ้น ต่อโต๊ะ</t>
  </si>
  <si>
    <t>EN_BKK_ctnoti_netcore_single_N_N_active_20250804_1500_motherday-atrium-restaurant-aug25</t>
  </si>
  <si>
    <t>💐 This Mother’s Day, Atrium Has Something Special!</t>
  </si>
  <si>
    <t>Celebrate with a delicious brunch or dinner buffet featuring Thai, Western, Japanese, and more — and get 2 complimentary Mother’s Day cupcakes per table! Book now!</t>
  </si>
  <si>
    <t>The subject line does not explicitly state a "Come X Pay X" offer, but it does mention a Mother's Day special event.</t>
  </si>
  <si>
    <t>SG_BKK_ctnoti_netcore_single_N_N_active_20250804_1500_sg-food-exchange-aug25__</t>
  </si>
  <si>
    <t>💥 50% OFF Hotel Buffet Feast!</t>
  </si>
  <si>
    <t>Don't miss this incredible deal! Indulge in Food Exchange's famous themed buffets like Lobstermania or Sunday Brunch for half the price. An all-you-can-eat luxury experience is now within reach. Book now!</t>
  </si>
  <si>
    <t>SG_BKK_ctnoti_netcore_single_N_N_active_20250804_1700_sg-beppu-menkan-aug25</t>
  </si>
  <si>
    <t>🇯🇵 Your Favourite Japanese Spot Got Better!</t>
  </si>
  <si>
    <t>Experience a delightful Omakase journey at trusted favourite Beppu Menkan, starting from just S$88. It's the perfect introduction to the world of Omakase without breaking the bank. Reserve your seat.</t>
  </si>
  <si>
    <t>EN_BKK_ctnoti_netcore_single_N_N_active_20250804_1700_ads-82-concept-aug25</t>
  </si>
  <si>
    <t>All-You-Can-Eat at 82 Concept! 🍛✨</t>
  </si>
  <si>
    <t>Don’t miss out on this Thai buffet experience with over 80 mouthwatering dishes in a cozy, laid-back setting — starting from just 759 THB. Book now!</t>
  </si>
  <si>
    <t>TH_BKK_ctnoti_netcore_single_N_N_active_20250804_1700_ads-82-concept-aug25</t>
  </si>
  <si>
    <t>อิ่มไม่อั้น กับ 82 Concept 🍛✨</t>
  </si>
  <si>
    <t>ไม่ลองระวังพลาดกับบุฟเฟต์อาหารไทยมากกว่า 80 รายการ ในบรรยากาศสบายๆ เริ่มต้นเพียง 759 บาท เท่านั้น จองเลย</t>
  </si>
  <si>
    <t>SG_BKK_ctnoti_netcore_single_N_N_active_20250804_1900_sg-club-rangoon-aug25</t>
  </si>
  <si>
    <t>🇲🇲 A Taste of Modern Myanmar Awaits!</t>
  </si>
  <si>
    <t>Embark on a unique culinary journey at Club Rangoon, one of Singapore's only modern Burmese restaurants. Explore vibrant and comforting flavours, with sharing sets from just S$49.75. Book your adventure.</t>
  </si>
  <si>
    <t>TH_BKK_ctnoti_netcore_single_N_N_active_20250805_1100_copper-beyond-buffet-the-sense-aug25</t>
  </si>
  <si>
    <t>โค้งสุดท้าย ฟัวกราส์ไม่อั้น ถึง 31 ส.ค. นี้</t>
  </si>
  <si>
    <t>คุ้ม เกิน คุ้ม! กับบุฟเฟต์ฟัวกราส์ไม่อั้น พร้อมเมนูบุฟเฟต์นานาชาติชั้นเลิศเทียบเท่าไฟน์ไดนิ่ง เฉพาะที่สาขา The Sense Pinklao เท่านั้น</t>
  </si>
  <si>
    <t>EN_BKK_ctnoti_netcore_single_N_N_active_20250805_1100_copper-beyond-buffet-the-sense-aug25</t>
  </si>
  <si>
    <t>Last Chance for Unlimited Foie Gras — Until 31 Aug!</t>
  </si>
  <si>
    <t>Too good to miss! Indulge in unlimited foie gras and a premium international buffet on par with fine dining — exclusively at The Sense Pinklao branch. Book now!</t>
  </si>
  <si>
    <t>EN_BKK_ctnoti_netcore_single_N_N_active_20250805_1500_mother-day-open-at-doubletree-aug25</t>
  </si>
  <si>
    <t>OPEN at DoubleTree Come 2 Pay 1! 🎉</t>
  </si>
  <si>
    <t>This 12 August only, treat mom to a feast of seafood and Asian dishes, with live music and a special gift — all for just 588 THB</t>
  </si>
  <si>
    <t>TH_BKK_ctnoti_netcore_single_N_N_active_20250805_1500_mother-day-open-at-doubletree-aug25</t>
  </si>
  <si>
    <t>OPEN at DoubleTree มา 2 จ่ายแค่ 1 🎉</t>
  </si>
  <si>
    <t>เฉพาะ 12 ส.ค. นี้ พาแม่มายกขบวนกับบุฟเฟต์ซีฟู้ดและอาหารเอเชียน พร้อมดนตรีสดและของขวัญสุดพิเศษ ในราคาเพียง 588 บาท</t>
  </si>
  <si>
    <t>EN_BKK_ctnoti_netcore_single_N_N_active_20250805_1700_ads-fish-club-andaz-pattaya-aug25</t>
  </si>
  <si>
    <t>Seafood Paradise by the Sea is Here! 🌅🦞</t>
  </si>
  <si>
    <t>Nothing beats seafood by the sunset! Dine by Jomtien Beach at Fish Club, Andaz Pattaya with a special seaside deal — starting from just 897 THB</t>
  </si>
  <si>
    <t>TH_BKK_ctnoti_netcore_single_N_N_active_20250805_1700_ads-fish-club-andaz-pattaya-aug25</t>
  </si>
  <si>
    <t>สวรรค์แห่งรสชาติ "ท้องทะเล" อยู่นี้แล้ว! 🌅🦞</t>
  </si>
  <si>
    <t>จะมีอะไรดีไปกว่า ทานซีฟู้ดชมพระอาทิตย์ตกดิน ริมหาดจอมเทียน กับ Fish Club Andaz Pattaya ในราคาสุดพิเศษ เริ่มต้นเพียง 897 บาท จองเลย</t>
  </si>
  <si>
    <t>SG_BKK_ctnoti_netcore_single_N_N_active_20250805_1700_sg-winestone-aug25</t>
  </si>
  <si>
    <t>🌿 An Escape to European Dining</t>
  </si>
  <si>
    <t>Discover WINESTONE, a hidden gem tucked away in a lush, serene setting. Perfect for a delicious, relaxed meal away from the city buzz. Enjoy their multi-course European fusion meals from just S$42.5</t>
  </si>
  <si>
    <t>SG_BKK_ctnoti_netcore_single_N_N_active_20250805_1900_sg-black-olive-cafe-aug25</t>
  </si>
  <si>
    <t>🤫 Shhh... We Found a Hidden Gem!</t>
  </si>
  <si>
    <t>Discover Black Olive Cafe, a cozy spot serving hearty and affordable French-inspired fare. It's the perfect neighborhood escape, with sharing meals from just S$26.33</t>
  </si>
  <si>
    <t>TH_BKK_ctnoti_netcore_group_N_N_active_20250806_1100_weekly-new-week1-aug25</t>
  </si>
  <si>
    <t>🟢 พุธแรกของเดือน ร้านใหม่มาเพียบ</t>
  </si>
  <si>
    <t>ห้ามพลาด! กับร้านมาใหม่ประจำสัปดาห์ พร้อมโปรพิเศษ! เมื่อจองพร้อมรีวิวเป็น 5 คนแรก ของร้านใหม่แต่ละร้าน รับฟรี! ส่วนลดสูงสุด 200 บาท</t>
  </si>
  <si>
    <t>EN_BKK_ctnoti_netcore_group_N_N_active_20250806_1100_weekly-new-week1-aug25</t>
  </si>
  <si>
    <t>🟢 First Wednesday New Restaurant Drops!</t>
  </si>
  <si>
    <t>Don’t miss out! This week’s newly launched restaurants come with special deals — be among the first 5 to book &amp; review each new spot and get up to 200 THB off for free!</t>
  </si>
  <si>
    <t>EN_BKK_ctnoti_netcore_single_N_N_active_20250806_1500_mother-day-week1-aug25</t>
  </si>
  <si>
    <t>Celebrate Mom with Sui Sian! 💖🥢</t>
  </si>
  <si>
    <t>Treat your mom to a delightful Chinese lunch buffet, plus a special dish of your choice from 4 curated groups — all at a special price of just 1,354 THB. Only on 12 August!</t>
  </si>
  <si>
    <t>TH_BKK_ctnoti_netcore_single_N_N_active_20250806_1500_mother-day-week1-aug25</t>
  </si>
  <si>
    <t>บอกรักแม่ กับ ซุย เซียน 💖🥢</t>
  </si>
  <si>
    <t>พาคุณแม่มาฟิน กับบุฟเฟต์อาหารจีนมื้อกลางวัน พร้อมเลือกเมนูพิเศษจาก 4 กรุ๊ป ในราคาพิเศษเพียง 1,354 บาท เฉพาะ 12 ส.ค. เท่านั้น</t>
  </si>
  <si>
    <t>"Tell Mom I love you with Sui Sian 💖🥢"
There is no "Come X Pay X" offer in the translated text.</t>
  </si>
  <si>
    <t>SG_BKK_ctnoti_netcore_single_N_N_active_20250806_1500_sg-jade-at-the-fullerton-aug25</t>
  </si>
  <si>
    <t>💎 Discover a Culinary Gem at Jade</t>
  </si>
  <si>
    <t>Treat yourself to an unforgettable meal. Experience the artistry of authentic Cantonese flavours in one of Singapore's most beautiful dining rooms. Refined set menus start from only S$49.5. Reserve your table.</t>
  </si>
  <si>
    <t>EN_BKK_ctnoti_netcore_single_N_N_active_20250806_1700_ads-until-today-aug25</t>
  </si>
  <si>
    <t>🌿🍛 A Hidden Thai Café in a Natural Garden</t>
  </si>
  <si>
    <t>Switch things up at Until Today — a Thai restaurant tucked in a lush garden with a fish spa, playground, and chill vibes all around. Starts from just 216 THB. Book now!</t>
  </si>
  <si>
    <t>TH_BKK_ctnoti_netcore_single_N_N_active_20250806_1700_ads-until-today-aug25</t>
  </si>
  <si>
    <t>🌿🍛 คาเฟ่อาหารไทยลับๆ ในสวนธรรมชาติ</t>
  </si>
  <si>
    <t>เปลี่ยนบรรยากาศสักหน่อย กับ Until Today ร้านอาหารไทยในสวนธรรมชาติ พร้อมบ่อสปาปลา สนามเด็กเล่น มาครบ เริ่มเพียง 216 บาท จองเลย</t>
  </si>
  <si>
    <t>SG_BKK_ctnoti_netcore_single_N_N_active_20250806_1700_sg-the-courtyard-at-the-fullerton-aug25__</t>
  </si>
  <si>
    <t>🍰 The Perfect Afternoon Tea Awaits</t>
  </si>
  <si>
    <t>Experience to an iconic afternoon tea at The Fullerton Hotel. The Courtyard offers a timeless and elegant setting for exquisite bites and fine teas, with sets from just S$61.15</t>
  </si>
  <si>
    <t>SG_BKK_ctnoti_netcore_single_N_N_active_20250806_1900_sg-hibuddy-bbq--aug25</t>
  </si>
  <si>
    <t>🔥 K-BBQ Like You've Never Seen Before!</t>
  </si>
  <si>
    <t>Ready for an Insta-worthy feast? HiBuddy BBQ serves up premium meats on spectacular "meat towers" 💨. A fun, interactive, and delicious experience awaits from just S$43</t>
  </si>
  <si>
    <t>EN_BKK_ctnoti_netcore_single_N_N_active_20250807_1100_yumcha-teahouse-aug25</t>
  </si>
  <si>
    <t>🥢 Come 3 Pay 2 at Yumcha Teahouse!</t>
  </si>
  <si>
    <t>Take your pick from 3 Chinese buffet styles — go classic with dim sum, add signature dishes, or enjoy unlimited drinks! Available now until 16 Aug only. Book fast!</t>
  </si>
  <si>
    <t>TH_BKK_ctnoti_netcore_single_N_N_active_20250807_1100_yumcha-teahouse-aug25</t>
  </si>
  <si>
    <t>แบบไหนก็เลือกได้ กับบุฟเฟต์อาหารจีน 3 สไตล์ จะเลือกแค่ติ่มซำเฉยๆ เพิ่มเมนูจานเดียว หรือ ดื่มไม่อั้น วันนี้จนถึง 16 ส.ค. นี้เท่านั้น รีบจองเลย</t>
  </si>
  <si>
    <t>EN_BKK_ctnoti_netcore_single_N_N_active_20250807_1500_mother-day-ava-brasserie-aug25</t>
  </si>
  <si>
    <t>👨‍🍳 A Special Culinary Journey with Renowned Chefs</t>
  </si>
  <si>
    <t>Relive unforgettable flavors with a 4-Hands Chef’s Table featuring a MasterChef and an Iron Chef — only on 10 &amp; 12 August at AVA Brasserie. Book now</t>
  </si>
  <si>
    <t>TH_BKK_ctnoti_netcore_single_N_N_active_20250807_1500_mother-day-ava-brasserie-aug25</t>
  </si>
  <si>
    <t>👨‍🍳 ย้อนความทรงจำกับมื้อพิเศษ จากเชฟชั้นนำ</t>
  </si>
  <si>
    <t>สัมผัสมื้อพิเศษกับ 4-Hands Chef’s Table จาก 2 เชฟมาสเตอร์เชฟ และ เชฟกระทะเหล็ก ในวันที่ 10 และ 12 ส.ค. ที่ AVA Brasserie จองเลย</t>
  </si>
  <si>
    <t>EN_BKK_ctnoti_netcore_single_N_N_active_20250807_1700_mother-day-xin-tian-di-aug25</t>
  </si>
  <si>
    <t>🥢 Celebrate Mother’s Day at Xin Tian Di</t>
  </si>
  <si>
    <t>Enjoy an all-you-can-eat premium dim sum buffet, plus 1 complimentary tasting dish per person — only from 9–11 August at a special price of just 999 THB</t>
  </si>
  <si>
    <t>TH_BKK_ctnoti_netcore_single_N_N_active_20250807_1700_mother-day-xin-tian-di-aug25</t>
  </si>
  <si>
    <t>🥢 ฉลองวันแม่กับ Xin Tian Di</t>
  </si>
  <si>
    <t>อิ่มไม่อั้นกับบุฟเฟต์ติ่มซำชั้นเลิศ พร้อมเมนูเทสติ้ง 1 เสิร์ฟต่อท่าน เฉพาะวันที่ 9-11 ส.ค. ในราคาพิเศษเพียง 999 บาท เท่านั้น จองเลย</t>
  </si>
  <si>
    <t>No, the provided cell data "🥢 ฉลองวันแม่กับ Xin Tian Di" does not contain the phrase "has offer Come X Pay X".</t>
  </si>
  <si>
    <t>TH_BKK_ctnoti_netcore_group_N_N_active_20250808_1100_happy-mother-s-day-2025-aug25</t>
  </si>
  <si>
    <t>💙👩‍👧‍👦 วันแม่นี้ มีร้านโดนใจหรือยัง?</t>
  </si>
  <si>
    <t>มาบอกรักแม่ กับ "สิงหา....พาแม่ฟิน" รวมร้านอาหารโปรโมชั่นพิเศษสำหรับวันแม่โดยเฉพาะ รวมไปถึงร้านอาหารครอบครัวมากมาย วันนี้ - 15 ส.ค.</t>
  </si>
  <si>
    <t>EN_BKK_ctnoti_netcore_group_N_N_active_20250808_1100_happy-mother-s-day-2025-aug25</t>
  </si>
  <si>
    <t>💙👩‍👧‍👦 Got the Perfect Spot for Mom Yet?</t>
  </si>
  <si>
    <t>Celebrate Happy Mother's Day 2025 — a curated collection of restaurants offering exclusive Mother’s Day deals and family-friendly dining! Available now until 15 August only</t>
  </si>
  <si>
    <t>EN_BKK_ctnoti_netcore_single_N_N_active_20250808_1500_mother-day-chon-som-aug25</t>
  </si>
  <si>
    <t>💐 Mother's Day Extra Special at Chon Som!</t>
  </si>
  <si>
    <t>Celebrate with an international brunch buffet from 12:00 PM – 3:00 PM at a special price of 1,099 THB (from 1,647 THB). Treat mom to something unforgettable. Book now!</t>
  </si>
  <si>
    <t>TH_BKK_ctnoti_netcore_single_N_N_active_20250808_1500_mother-day-chon-som-aug25</t>
  </si>
  <si>
    <t>💐Chon Som วันแม่ปีนี้ พิเศษกว่าที่เคย</t>
  </si>
  <si>
    <t>อิ่มอร่อยกับบรันช์บุฟเฟต์นานาชาติ ต้อนรับวันแม่ ตั้งแต่ 12:00 น. - 15:00 น. ในราคาสุดพิเศษ 1,099 บาท จากปกติ 1,647 บาท เท่านั้น จองเลย</t>
  </si>
  <si>
    <t>Last-Reminder -Come back combo_th</t>
  </si>
  <si>
    <t>ด่วน! โค้ดของคุณกำลังจะหมดในอีก 1 วัน</t>
  </si>
  <si>
    <t>Last-Reminder-Come back combo-en</t>
  </si>
  <si>
    <t>Urgent! Your Code Expires in 1 Day - Act Now!</t>
  </si>
  <si>
    <t>EN_BKK_ctnoti_netcore_single_N_N_active_20250808_1700_mother-day-the-market-restaurant-aug25</t>
  </si>
  <si>
    <t>🍽️ Come 3 Pay 2 at The Market Restaurant!</t>
  </si>
  <si>
    <t>Celebrate Mother’s Day with a satisfying international lunch buffet — available for this special occasion only, at just 466 THB. Book now!</t>
  </si>
  <si>
    <t>TH_BKK_ctnoti_netcore_single_N_N_active_20250808_1700_mother-day-the-market-restaurant-aug25</t>
  </si>
  <si>
    <t>🍽️ มา 3 จ่าย 2 กับ The Market Restaurant</t>
  </si>
  <si>
    <t>เต็มอิ่มกับบุฟเฟต์มื้อกลางวัน พร้อมไลน์อัพเมนูนานาชาติฉลองวันแม่นี้เท่านั้น ในราคาสุดพิเศษเพียง 466 บาท จองเลย</t>
  </si>
  <si>
    <t>EN_BKK_ctnoti_netcore_group_N_N_active_20250808_1800_plan-to-singapore-aug25</t>
  </si>
  <si>
    <t>🇸🇬 Planning a Singapore Trip This August?</t>
  </si>
  <si>
    <t>Celebrate 60 Years Singapore in style with Top 20 Restaurants and Get Discount S$10 Off Use code SG60 when making a reservation</t>
  </si>
  <si>
    <t>TH_BKK_ctnoti_netcore_group_N_N_active_20250808_1800_plan-to-singapore-aug25</t>
  </si>
  <si>
    <t>🇸🇬 วางแผนไปสิงคโปร์ เดือนสิงหาคมนี้?</t>
  </si>
  <si>
    <t>🥂 คัดให้แล้ว! 20 ร้านอาหารสุดฮิต พร้อมดีลพิเศษฉลองครบรอบ 60 ปีสิงคโปร์ และรับส่วนลด S$10 เมื่อทำการใส่โค้ด SG60 ในการจอง</t>
  </si>
  <si>
    <t>EN_BKK_ctnoti_netcore_single_N_N_active_20250809_1100_mother-day-romsai-banyan-tree-aug25</t>
  </si>
  <si>
    <t>💖This Mother’s Day Come 2 Pay 1 at Romsai!</t>
  </si>
  <si>
    <t>Book in advance for a special Mother’s Day buffet — packed with seafood, premium meats, Japanese cuisine, and unlimited sparkling wine. All for just 1,375 THB</t>
  </si>
  <si>
    <t>TH_BKK_ctnoti_netcore_single_N_N_active_20250809_1100_mother-day-romsai-banyan-tree-aug25</t>
  </si>
  <si>
    <t>💖 วันแม่นี้ ร่มไทร มา 2 จ่ายแค่ 1</t>
  </si>
  <si>
    <t>จองล่วงหน้าก่อนใครกับบุฟเฟต์สุดพิเศษฉลองวันแม่ จัดหนักทั้งซีฟู้ด เนื้อพรีเมียม อาหารญี่ปุ่น และสปาร์คกลิ้งไวน์ไม่อั้น 1,375 บาทเท่านั้น</t>
  </si>
  <si>
    <t>EN_BKK_ctnoti_netcore_single_N_N_active_20250809_1500_mother-day-the-kites-eatery-aug25</t>
  </si>
  <si>
    <t>💙 The Kites Eatery Book for 3 Mom Dines Free!</t>
  </si>
  <si>
    <t>Celebrate Mother’s Day with a delicious lunch buffet featuring a wide variety of dishes — only 888 THB per person, and when you book for 3, mom eats for free!</t>
  </si>
  <si>
    <t>TH_BKK_ctnoti_netcore_single_N_N_active_20250809_1500_mother-day-the-kites-eatery-aug25</t>
  </si>
  <si>
    <t>💙 The Kites Eatery จองครบ 3 พาแม่ทานฟรี</t>
  </si>
  <si>
    <t>อิ่มอร่อยกับบุฟเฟต์มื้อกลางวัน ด้วยหลากหลายเมนูพร้อมเสิร์ฟต้อนรับวันแม่ เพียง 888 บาท เมื่อจองครบ 3 ท่าน พาแม่มาทานฟรี!!</t>
  </si>
  <si>
    <t>EN_BKK_ctnoti_netcore_single_N_N_active_20250809_1700_mother-day-china-table-aug25</t>
  </si>
  <si>
    <t>This Dim Sum Buffet Is Just for Mom! 🥢</t>
  </si>
  <si>
    <t>Enjoy unlimited lunch dim sum at China Table, plus 1 premium dish per person — all for just 988 THB. A perfect treat for Mother’s Day</t>
  </si>
  <si>
    <t>TH_BKK_ctnoti_netcore_single_N_N_active_20250809_1700_mother-day-china-table-aug25</t>
  </si>
  <si>
    <t>ติ่มซำบุฟเฟต์มื้อนี้ เพื่อแม่โดยเฉพาะ 🥢</t>
  </si>
  <si>
    <t>ทานได้ไม่อั้นกับบุฟเฟต์ติ่มซำมื้อกลางวัน จาก China Table พร้อมเมนูพรีเมียม 1 รายการต่อท่าน เพียง 988 บาท จองเลย</t>
  </si>
  <si>
    <t>En_BKK_ctnoti_netcore_single_N_N_active_20250810_1100_seasonal-tastes-aug25</t>
  </si>
  <si>
    <t>Come 2 Pay 1: Sunday Family Brunch! 👨‍👩‍👧‍👦</t>
  </si>
  <si>
    <t>Make every Sunday special with an international family buffet at Seasonal Tastes, plus a glass of sparkling wine — all for just 912 THB</t>
  </si>
  <si>
    <t>TH_BKK_ctnoti_netcore_single_N_N_active_20250810_1100_seasonal-tastes-aug25</t>
  </si>
  <si>
    <t>มา 2 จ่าย 1 Sunday Family Brunch 👨‍👩‍👧‍👦</t>
  </si>
  <si>
    <t>แฮปปี้ทุกวันอาทิตย์กับบุฟเฟต์นานาชาติสำหรับครอบครัว จาก Seasonal Tastes พร้อมสปาร์กลิงไวน์ 1 แก้ว พิเศษเพียง 912 บาท จองเลย</t>
  </si>
  <si>
    <t>EN_BKK_ctnoti_netcore_single_N_N_active_20250810_1500_mother-day-charm-cuisine-aug25</t>
  </si>
  <si>
    <t>Come 3 Pay for 2 at Charm Cuisine! 💐</t>
  </si>
  <si>
    <t>Celebrate Mother’s Day with a relaxed lunch buffet featuring a variety of Thai dishes — all at a special price of just 325 THB. Book now!</t>
  </si>
  <si>
    <t>TH_BKK_ctnoti_netcore_single_N_N_active_20250810_1500_mother-day-charm-cuisine-aug25</t>
  </si>
  <si>
    <t>มา 3 จ่าย 2 กับ Charm Cuisine 💐</t>
  </si>
  <si>
    <t>ฉลองวันแม่กับบุฟเฟต์มื้อกลางวัน กับเมนูอาหารไทยหลากหลาย ในบรรยากาศสบายๆ ในราคาพิเศษเพียง 325 บาท จองเลย</t>
  </si>
  <si>
    <t>EN_BKK_ctnoti_netcore_single_N_N_active_20250810_1700_mother-day-pengyou-cuisine-ekkamai-aug25</t>
  </si>
  <si>
    <t>Special Treat for All the Super Moms at PengYou Cuisine! 💃</t>
  </si>
  <si>
    <t>Whether you're the ultimate queen or a spicy mama, don’t miss this Come 3, Pay for 2 dim sum buffet with roast duck, Chinese dishes &amp; more — only from 8–12 Aug at Ekkamai branch</t>
  </si>
  <si>
    <t>TH_BKK_ctnoti_netcore_single_N_N_active_20250810_1700_mother-day-pengyou-cuisine-ekkamai-aug25</t>
  </si>
  <si>
    <t>โปรพิเศษเอาใจตัวแม่ กับ PengYou Cuisine 💃</t>
  </si>
  <si>
    <t>ตัวแม่ตัวจริง หรือ ตัวแม่สายจี้ดต้องไม่พลาด มา 3 จ่าย 2 กับบุฟเฟต์ติ่มซำ เป็ดย่าง อาหารจีน และอีกเพียบ เฉพาะวันที่ 8-12 ส.ค. ที่สาขาเอกมัยเท่านั้น</t>
  </si>
  <si>
    <t>EN_BKK_ctnoti_netcore_single_N_N_active_20250811_1100_mother-day-orchid-cafe-aug25</t>
  </si>
  <si>
    <t>This Mother’s Day: Come 2 Pay 1 at Orchid Cafe! 💐</t>
  </si>
  <si>
    <t>Feast on an international lunch buffet with Thai, Western, Italian dishes &amp; more — only on 12 August, for just 1,084 THB. Book now</t>
  </si>
  <si>
    <t>TH_BKK_ctnoti_netcore_single_N_N_active_20250811_1100_mother-day-orchid-cafe-aug25</t>
  </si>
  <si>
    <t>วันแม่นี้ Orchid Cafe มา 2 จ่ายแค่ 1 💐</t>
  </si>
  <si>
    <t>อิ่มจุใจเฉพาะวันที่ 12 ส.ค. เท่านั้น กับขบวนบุฟเฟต์นานาชาติมื้อกลางวัน ทั้งอาหารไทย ตะวันตก อิตาเลียน และอีกมากมาย เพียง 1,084 บาท จองเลย</t>
  </si>
  <si>
    <t>EN_BKK_ctnoti_netcore_single_N_N_active_20250811_1500_mother-day-flavors-at-renaissance-aug25</t>
  </si>
  <si>
    <t>A Heartfelt Gift at Flavors 💙🌸</t>
  </si>
  <si>
    <t>Celebrate Mother’s Day with a special lunch buffet! Enjoy the Come 4, Pay for 3 deal, featuring international dishes and seafood on ice — plus a fragrant jasmine garland as a heartfelt gift</t>
  </si>
  <si>
    <t>TH_BKK_ctnoti_netcore_single_N_N_active_20250811_1500_mother-day-flavors-at-renaissance-aug25</t>
  </si>
  <si>
    <t>มอบของขวัญแทนใจ ที่ Flavors 💙🌸</t>
  </si>
  <si>
    <t>ฉลองวันแม่ด้วยมื้อกลางวันสุดพิเศษ กับโปร มา 4 จ่าย 3 เต็มอิ่มทั้งเมนูนานาชาติ ซีฟู้ดออนไอซ์ รับพวงมาลัยมะลิหอมเป็นของขวัญแทนใจ จองเลย</t>
  </si>
  <si>
    <t>EN_BKK_ctnoti_netcore_single_N_N_active_20250811_1700_charoen-rung-rueang-aug25</t>
  </si>
  <si>
    <t>Come 3 Pay for 2 at Charoen Rung Ruang! 🍣</t>
  </si>
  <si>
    <t>Don’t miss this hot deal — indulge in an international buffet with unlimited Otoro, Foie Gras, and Wagyu for just 1,332 THB. Exclusive on Hungry Hub only.</t>
  </si>
  <si>
    <t>TH_BKK_ctnoti_netcore_single_N_N_active_20250811_1700_charoen-rung-rueang-aug25</t>
  </si>
  <si>
    <t>มา 3 จ่าย 2 กับ เจริญรุ่งเรือง 🍣</t>
  </si>
  <si>
    <t>โปรแรง ต้องรีบลอง กับบุฟเฟต์นานาชาติ พร้อมเมนูพิเศษ โอโทโร่ ฟัวกราส์ วากิวไม่อั้น ในราคาเพียง 1,332 บาท เฉพาะที่ Hugnry Hub เท่านั้น</t>
  </si>
  <si>
    <t>En_BKK_ctnoti_netcore_group_N_N_active_20250812_1100_happy-mother-s-day-2025-aug25</t>
  </si>
  <si>
    <t>Happy Mother’s Day 2025! 💐💙</t>
  </si>
  <si>
    <t>Wishing all moms good health and happiness on this special day. Don’t forget to treat her to a memorable meal with exclusive deals from top restaurants. Tap to explore now!</t>
  </si>
  <si>
    <t>The term "X" refers to the amount of energy actually paid, according to the rule that states "you may pay X."</t>
  </si>
  <si>
    <t>TH_BKK_ctnoti_netcore_group_N_N_active_20250812_1100_happy-mother-s-day-2025-aug25</t>
  </si>
  <si>
    <t>สุขสันต์วันแม่ 2568 💐💙</t>
  </si>
  <si>
    <t>ขอให้คุณแม่ทุกท่าน สุขภาพแข็งแรง ต้อนรับวันแม่แห่งชาติ และอย่าลืมลิ้มลองมื้อสุดพิเศษจากร้านดังมากมาย พร้อมโปรพิเศษ เข้าไปดูเลย</t>
  </si>
  <si>
    <t>EN_BKK_ctnoti_netcore_single_N_N_active_20250812_1500_mother-day-food-exchange-sukhumvit-4-aug25_</t>
  </si>
  <si>
    <t>This Lunch, Take Mom to Food Exchange! 💖</t>
  </si>
  <si>
    <t>TH_BKK_ctnoti_netcore_single_N_N_active_20250812_1500_mother-day-food-exchange-sukhumvit-4-aug25_</t>
  </si>
  <si>
    <t>เที่ยงนี้ พาแม่มา Food Exchange 💖</t>
  </si>
  <si>
    <t>EN_BKK_ctnoti_netcore_single_N_N_active_20250812_1700_streats-cafe-aug25</t>
  </si>
  <si>
    <t>Unlimited River Prawns — Under 500 THB! 🦐🔥</t>
  </si>
  <si>
    <t>Streats Cafe brings you the Asian Street Food Dinner Buffet featuring all-you-can-eat river prawns, grill stations, and more — starting from just 499 THB, now until 15 Aug only!</t>
  </si>
  <si>
    <t>TH_BKK_ctnoti_netcore_single_N_N_active_20250812_1700_streats-cafe-aug25</t>
  </si>
  <si>
    <t>กุ้งแม่น้ำไม่อั้น จ่ายไม่ถึง 500.- 🦐</t>
  </si>
  <si>
    <t>Streats Cafe ยกมาให้แล้ว กับ Asian Street Food Dinner ทั้งกุ้งแม่น้ำ สเตชั่นย่างทานได้ไม่อั้น และอีกมากมาย เริ่มต้น 499 บาท ถึง 15 ส.ค.</t>
  </si>
  <si>
    <t>TH_BKK_ctnoti_netcore_group_N_N_active_20250813_1100_weekly-new-week2-aug25</t>
  </si>
  <si>
    <t>EN_BKK_ctnoti_netcore_group_N_N_active_20250813_1100_weekly-new-week2-aug25</t>
  </si>
  <si>
    <t>EN_BKK_ctnoti_netcore_single_N_N_active_20250813_1500_rern-bangkok-aug25</t>
  </si>
  <si>
    <t>Rern Southern Fine Dining Has Arrived 🍛🌿</t>
  </si>
  <si>
    <t>Experience the essence of Southern Thai cuisine through a refined fine dining course — inspired by southern wisdom and storytelling through every dish by professional chefs. Available now at a special price</t>
  </si>
  <si>
    <t>TH_BKK_ctnoti_netcore_single_N_N_active_20250813_1500_rern-bangkok-aug25</t>
  </si>
  <si>
    <t>🍛🌿 เริน ไฟน์ไดนิ่งอาหารใต้ อยู่ที่นี่แล้ว</t>
  </si>
  <si>
    <t>สัมผัสรสชาติคอร์สไฟน์ไดนิ่งอาหารใต้ จากภูมิปัญญาปักษ์ใต้ ผ่านการเล่าเรื่องราวด้วยเมนูจากเชฟระดับมืออาชีพ ในราคาสุดพิเศษ จองเลย</t>
  </si>
  <si>
    <t>EN_BKK_ctnoti_netcore_single_N_N_active_20250813_1700_the-emerald-coffee-shop-aug25</t>
  </si>
  <si>
    <t>🍖 Premium Buffet, 7 Days of Unique Flavors! 🍣</t>
  </si>
  <si>
    <t>Ready to try something new every day? The Emerald Coffee Shop brings you a premium sushi &amp; seafood buffet with a rotating lineup of signature dishes — 7 days, 7 styles! Starting from just 599 THB</t>
  </si>
  <si>
    <t>TH_BKK_ctnoti_netcore_single_N_N_active_20250813_1700_the-emerald-coffee-shop-aug25</t>
  </si>
  <si>
    <t>🍖 บุฟเฟต์สุดหรู อร่อย 7 วัน ไม่ซ้ำสไตล์</t>
  </si>
  <si>
    <t>ลองเลยไหมกับ The Emerald Coffee Shop บุฟเฟต์พรีเมียมซูชิและซีฟู้ด พร้อมยกขบวนเมนูเด็ด 7 วันไม่ซ้ำกัน ในราคาพิเศษเริ่มต้น 599 บาท</t>
  </si>
  <si>
    <t>EN-Reminder- Spin the wheel- August</t>
  </si>
  <si>
    <t>⏰ Reminder!!</t>
  </si>
  <si>
    <t>Budget-Conscious Users-app-En</t>
  </si>
  <si>
    <t>TH-Reminder- Spin the wheel- August</t>
  </si>
  <si>
    <t>Hi [FIRST_NAME], ⏰⏰กลับมาอีกแล้ว!!</t>
  </si>
  <si>
    <t>app-TH-Budget-Conscious Users</t>
  </si>
  <si>
    <t>TH_BKK_ctnoti_netcore_group_N_N_active_20250814_1100_kyo-roll-en-aug25</t>
  </si>
  <si>
    <t>Kyo Roll En มาเยือนแล้ว 🍵🍰</t>
  </si>
  <si>
    <t>ลิ้มลองรสชาติของที่สุดแห่งของหวานจากเกียวโต พร้อมเมนูอาหารญี่ปุ่นสุดแปลกใหม่ไม่เหมือนใคร เริ่มต้น 330 บาท เฉพาะที่ Hungry Hub เท่านั้น</t>
  </si>
  <si>
    <t>EN_BKK_ctnoti_netcore_group_N_N_active_20250814_1100_kyo-roll-en-aug25</t>
  </si>
  <si>
    <t>Kyo Roll En Has Arrived! 🍵🍰</t>
  </si>
  <si>
    <t>Savor the best of Kyoto desserts along with one-of-a-kind Japanese fusion dishes — starting from just 330 THB, exclusively on Hungry Hub</t>
  </si>
  <si>
    <t>EN_BKK_ctnoti_netcore_single_N_N_active_20250814_1500_the-siam-tea-room-aug25</t>
  </si>
  <si>
    <t>Come 2 Pay 1 at The Siam Tea Room! 🥢🌺</t>
  </si>
  <si>
    <t>Indulge in an unlimited Thai buffet in a luxurious riverside setting — plus 1 special dish of your choice. Just 495 THB per person on average. Available now until 31 Aug only</t>
  </si>
  <si>
    <t>TH_BKK_ctnoti_netcore_single_N_N_active_20250814_1500_the-siam-tea-room-aug25</t>
  </si>
  <si>
    <t>มา 2 จ่าย 1 กับ The Siam Tea Room 🥢🌺</t>
  </si>
  <si>
    <t>อิ่มไม่อั้นกับบุฟเฟต์อาหารไทย ในบรรยากาศสุดหรูริมเจ้าพระยา พร้อมเลือกรับ 1 เมนูพิเศษ เฉลี่ยคนละ 495 บาท วันนี้ - 31 ส.ค. เท่านั้น</t>
  </si>
  <si>
    <t>EN_BKK_ctnoti_netcore_single_N_N_active_20250814_1700_ads-man-ho-chinese-restaurant-aug25</t>
  </si>
  <si>
    <t>Come 2 Pay 1 at Man Ho Chinese Restaurant! 🥢</t>
  </si>
  <si>
    <t>Enjoy an all-you-can-eat dim sum buffet packed with steamed delights, fried bites, desserts &amp; more — Monday to Friday only. Special price: 800 THB. Now until 30 Sep</t>
  </si>
  <si>
    <t>TH_BKK_ctnoti_netcore_single_N_N_active_20250814_1700_ads-man-ho-chinese-restaurant-aug25</t>
  </si>
  <si>
    <t>มา 2 จ่าย 1 กัับ Man Ho Chinese Restaurant 🥢</t>
  </si>
  <si>
    <t>อร่อยเต็มพิกัดกับบุฟเฟต์ติ๋มซำสุดคุ้ม เฉพาะวันจันทร์-ศุกร์ พร้อมเมนูของนิ่ง ของทอด ของหวาน และอีกมากมาย พิเศษ 800 บาท วันนี้ - 30 ก.ย.</t>
  </si>
  <si>
    <t>EN_BKK_ctnoti_netcore_partner_N_N_active_20250815_1100_krungsricard-aug25</t>
  </si>
  <si>
    <t>TH_BKK_ctnoti_netcore_partner_N_N_active_20250815_1100_krungsricard-aug25</t>
  </si>
  <si>
    <t>Offer</t>
  </si>
  <si>
    <t>EN_BKK_ctnoti_netcore_single_N_N_active_20250815_1500_27-bites-brasserie-aug25</t>
  </si>
  <si>
    <t>🦐 River Prawn Buffet — Friday Edition</t>
  </si>
  <si>
    <t>Friday only at 27 Bites Brasserie feast on juicy, buttery river prawns plus over 50 dishes including Italian, Indian, Chinese, and international favorites — all for just 899 THB</t>
  </si>
  <si>
    <t>TH_BKK_ctnoti_netcore_single_N_N_active_20250815_1500_27-bites-brasserie-aug25</t>
  </si>
  <si>
    <t>🦐 กุ้งแม่น้ำบุฟเฟต์ Friday Edition</t>
  </si>
  <si>
    <t>โปรดีเฉพาะวันศุกร์ที่ 27 Bites Brasserie เต็มอิ่มกับกุ้งแม่น้ำ มันเยื้ม เนื้อเด้งฉ่ำ พร้อมอิตาเลียน อินเดีย จีน และนานาชาติกว่า 50 เมนู เพียง 899 บาท เท่านั้น</t>
  </si>
  <si>
    <t>EN_BKK_ctnoti_netcore_single_N_N_active_20250815_1700_ads-savio-at-chatrium-grand-aug25_</t>
  </si>
  <si>
    <t>Special Deals with Savio at Chatrium</t>
  </si>
  <si>
    <t>TH_BKK_ctnoti_netcore_single_N_N_active_20250815_1700_ads-savio-at-chatrium-grand-aug25_</t>
  </si>
  <si>
    <t>โปรพิเศษจาก Savio at Chatrium</t>
  </si>
  <si>
    <t>EN_BKK_ctnoti_netcore_single_N_N_active_20250816_1100_kunshine-hotpot-asok-aug25</t>
  </si>
  <si>
    <t>Unlimited A5 Wagyu for Under 1,000! 🥩</t>
  </si>
  <si>
    <t>Hurry and book now at Kunshine Hotpot Asok Enjoy a premium shabu buffet with unlimited A4 &amp; A5 Wagyu, plus a Come 4, Pay for 3 deal — all for just 928 THB</t>
  </si>
  <si>
    <t>TH_BKK_ctnoti_netcore_single_N_N_active_20250816_1100_kunshine-hotpot-asok-aug25</t>
  </si>
  <si>
    <t>🥩 สะเทือนวงการชาบู A5 ไม่อั้นจ่ายไม่ถึงพัน</t>
  </si>
  <si>
    <t>รีบจองด่วนๆ ที่ คุณชายชาบูหม่าล่า สาขาสุขุมวิท เต็มอิ่มกับบุฟเฟต์พรีเมียมชาบู พร้อมโปรมา 4 จ่าย 3 ทานวากิว A4 และ A5 ไม่อั้น เพียง 928 บาท</t>
  </si>
  <si>
    <t>EN_BKK_ctnoti_netcore_single_N_N_active_20250816_1500_guilty-anantara-siam-aug25</t>
  </si>
  <si>
    <t>Come 2 Pay 1 at Guilty, Anantara Siam! 🇲🇽</t>
  </si>
  <si>
    <t>Savor unlimited Latin-American flavors or indulge in a luxurious Sunday Brunch Buffet — starting from just 941 THB. Available now until 31 August only. Book now!</t>
  </si>
  <si>
    <t>TH_BKK_ctnoti_netcore_single_N_N_active_20250816_1500_guilty-anantara-siam-aug25</t>
  </si>
  <si>
    <t>มา 2 จ่าย 1 กับ Guilty Anantara Siam 🇲🇽</t>
  </si>
  <si>
    <t>ลิ้มลองรสชาติเมนูอาหารสไตล์ลาติน--อเมริกันไม่อั้น หรือ บุฟเฟต์ Sunday Brunch สุดหรู ในราคาเริ่มต้นเพียง 941 บาท วันนี้ - 31 ส.ค. เท่านั้น</t>
  </si>
  <si>
    <t>EN_BKK_ctnoti_netcore_single_N_N_active_20250816_1700_ads-moru-sushi-aug25</t>
  </si>
  <si>
    <t>🍣 Moru Sushi — Unlimited Japanese Feast from 599 THB!</t>
  </si>
  <si>
    <t>Satisfy your cravings with all-you-can-eat salmon, sushi, sashimi, tempura, and many more Japanese delights — starting at just 599 THB</t>
  </si>
  <si>
    <t>TH_BKK_ctnoti_netcore_single_N_N_active_20250816_1700_ads-moru-sushi-aug25</t>
  </si>
  <si>
    <t>🍣 Moru Sushi อาหารญี่ปุ่นไม่อั้น เริ่มต้น 599.-</t>
  </si>
  <si>
    <t>อิ่มจุใจกับบุฟเฟต์แซลมอน ซูชิ ซาชิมิ เทมปุระ และอาหารญี่ปุ่นอีกมากมายไม่อั้น ในราคาสุดพิเศษ เริ่มต้นเพียง 599 บาท เท่านั้น จองเลย</t>
  </si>
  <si>
    <t>EN_BKK_ctnoti_netcore_single_N_N_active_20250817_1100_suan-bua-aug25</t>
  </si>
  <si>
    <t>Come 4 Pay for 3 at Suan Bua! 🇹🇭🍽️</t>
  </si>
  <si>
    <t>Enjoy unlimited premium Thai cuisine with authentic flavors, plus get 1 special dish selected by the chef — all for just 674 THB. Available now until 30 Sep only</t>
  </si>
  <si>
    <t>TH_BKK_ctnoti_netcore_single_N_N_active_20250817_1100_suan-bua-aug25</t>
  </si>
  <si>
    <t>🇹🇭🍽️ มา 4 จ่าย 3 กับ สวนบัว</t>
  </si>
  <si>
    <t>อร่อยไม่อั้นกับอาหารไทยพรีเมียม รสชาติต้นตำรับไม่อั้น พร้อมเลือกรับ 1 เมนูสุดพิเศษจากเชฟ เพียง 674 บาท วันนี้ - 30 ก.ย. เท่านั้น</t>
  </si>
  <si>
    <t>EN_BKK_ctnoti_netcore_single_N_N_active_20250817_1500_kisekhi-craft-and-fusion-buffet-aug25</t>
  </si>
  <si>
    <t>Come 6 Pay for 5 at Kisekhi Craft &amp; Fusion Buffet! 🍣</t>
  </si>
  <si>
    <t>The more, the merrier — and the more you save! Enjoy unlimited sushi, sashimi, premium shabu, and more starting from just 587 THB. Available now until 31 Aug only</t>
  </si>
  <si>
    <t>TH_BKK_ctnoti_netcore_single_N_N_active_20250817_1500_kisekhi-craft-and-fusion-buffet-aug25</t>
  </si>
  <si>
    <t>มา 6 จ่ายแค่ 5 ที่ Kisekhi Craft and Fusion Buffet 🍣</t>
  </si>
  <si>
    <t>มากันเยอะ ก็ลดจัดหนักไปเลย เต็มอิ่มกับบุฟเฟต์ซูชิ ซาชิมิ ชาบูพร้อมเนื้อพรีเมียม และอีกมากมาย เริ่มต้นเพียง 587 บาท วันนี้ - 31 ส.ค. เท่านั้น</t>
  </si>
  <si>
    <t>EN_BKK_ctnoti_netcore_single_N_N_active_20250817_1700_ads-deja-brew-lifestyle-cafe-aug25</t>
  </si>
  <si>
    <t>Come 2 Pay 1 at Deja Brew! 🍽️☕</t>
  </si>
  <si>
    <t>Feast on an international buffet with over 40 unlimited items including desserts and drinks — starting from just 395 THB. Available now until 13 Nov only</t>
  </si>
  <si>
    <t>TH_BKK_ctnoti_netcore_single_N_N_active_20250817_1700_ads-deja-brew-lifestyle-cafe-aug25</t>
  </si>
  <si>
    <t>มา 2 จ่าย 1 กับ Deja Brew 🍽️☕</t>
  </si>
  <si>
    <t>จัดเต็มกับไลน์อัพบุฟเฟต์นานาชาติ ของหวาน และเครื่องดื่มไม่อั้นกว่า 40 รายการ ในราคาพิเศษ เริ่มต้นเพียง 395 บาท ถึง 13 พ.ย. เท่านั้น</t>
  </si>
  <si>
    <t>TH_BKK_ctnoti_netcore_single_N_N_active_20250818_1100_copper-beyond-buffet-gaysorn-aug25</t>
  </si>
  <si>
    <t>Copper Weekdays Lunch</t>
  </si>
  <si>
    <t>โอกาสสุดท้ายกับแพ็กเกจบุฟเฟต์มื้อกลางวัน พร้อมเลือกรับ 1 เมนูพิเศษ วันนี้ - 31 ส.ค. เฉพาะสาขา Gaysorn Amarin เท่านั้น</t>
  </si>
  <si>
    <t>EN_BKK_ctnoti_netcore_single_N_N_active_20250818_1100_copper-beyond-buffet-gaysorn-aug25</t>
  </si>
  <si>
    <t>Last Chance! Copper Weekdays Lunch</t>
  </si>
  <si>
    <t>Enjoy the weekday lunch buffet at Copper with 1 special dish of your choice — available now until 31 Aug, exclusively at Gaysorn Amarin branch</t>
  </si>
  <si>
    <t>TH_BKK_ctnoti_netcore_single_N_N_active_20250818_1500_mojjo-rooftop-lounge-aug25</t>
  </si>
  <si>
    <t>Mojjo Rooftop มา 2 จ่ายแค่ 1 🌇🍻</t>
  </si>
  <si>
    <t>อิ่มอร่อยกับ 2 เมนู พร้อมชมวิวสวยบนรูฟท็อป และดื่มเบียร์กับซอฟท์ดริ้งค์ได้ไม่อั้น 90 นาทีเต็ม เพียง 749 บาท วันนี้ - 31 ส.ค. เท่านั้น</t>
  </si>
  <si>
    <t>EN_BKK_ctnoti_netcore_single_N_N_active_20250818_1500_mojjo-rooftop-lounge-aug25</t>
  </si>
  <si>
    <t>Mojjo Rooftop Come 2 Pay 1! 🌇🍻</t>
  </si>
  <si>
    <t>Enjoy 2 delicious dishes with stunning rooftop views, plus unlimited beer &amp; soft drinks for 90 minutes — all for just 749 THB. Available now until 31 Aug only</t>
  </si>
  <si>
    <t>EN_BKK_ctnoti_netcore_single_N_N_active_20250818_1700_ads-moru-sushi-aug25</t>
  </si>
  <si>
    <t>Japanese Buffet Feast — Unlimited &amp; Worth It! 🍣</t>
  </si>
  <si>
    <t>Take your pick at Moru Sushi with an all-you-can-eat Japanese buffet featuring sushi, sashimi, and so much more — starting from just 599 THB</t>
  </si>
  <si>
    <t>TH_BKK_ctnoti_netcore_single_N_N_active_20250818_1700_ads-moru-sushi-aug25</t>
  </si>
  <si>
    <t>🍣 บุฟเฟต์สไตล์ญี่ปุ่น อิ่มคุ้ม สั่งได้ไม่อั้น</t>
  </si>
  <si>
    <t>เลือกได้ตามใจกับ Moru Sushi บุฟเฟต์สไตล์ญี่ปุ่น ยกขบวนทั้งซูชิ ซาชิมิ และอีกมากมาย ในราคาเริ่มต้นเพียง 599 บาท จองเลย</t>
  </si>
  <si>
    <t>EN_BKK_ctnoti_netcore_single_N_N_active_20250819_1100_copper-aquarium-aug25</t>
  </si>
  <si>
    <t>Dive into an underwater dining experience with an international buffet, seafood feast, desserts, and more — all in a stunning aquarium-themed setting. Special price: 777 THB</t>
  </si>
  <si>
    <t>TH_BKK_ctnoti_netcore_single_N_N_active_20250819_1100_copper-aquarium-aug25</t>
  </si>
  <si>
    <t>🐠🍽️ มา 2 จ่าย 1 กับ Copper Aquarium</t>
  </si>
  <si>
    <t>เต็มอิ่มกับบุฟเฟต์นานาชาติ รวมไปถึงบุฟเฟต์ซีฟู้ด ของหวาน และอีกมากมาย ในบรรยากาศโลกใต้น้ำสุดตระการตา พิเศษ 777 บาท จองเลย</t>
  </si>
  <si>
    <t>EN_BKK_ctnoti_netcore_single_N_N_active_20250819_1500_ancient-tea-house-aug25</t>
  </si>
  <si>
    <t>Come 2 Pay 1 at Ancient Tea House! 🥢🏮</t>
  </si>
  <si>
    <t>Enjoy unlimited Chinese cuisine, dim sum, and desserts in a charming, classic setting at Asiatique — all for just 444 THB. Available now until 31 August only. Book now!</t>
  </si>
  <si>
    <t>TH_BKK_ctnoti_netcore_single_N_N_active_20250819_1500_ancient-tea-house-aug25</t>
  </si>
  <si>
    <t>🥢🏮 มา 2 จ่าย 1 กับ Ancient Tea House</t>
  </si>
  <si>
    <t>ลิ้มรสความอร่อยกับบุฟเฟต์อาหารจีน ติ่มซำ และของหวานไม่อั้น ในบรรยากาศสุดคลาสสิกใจกลางเอเชียทีค เพียง 444 บาท วันนี้ - 31 ส.ค.</t>
  </si>
  <si>
    <t>EN_BKK_ctnoti_netcore_single_N_N_active_20250819_1700_ads-moxy-bar-restaurant-aug25</t>
  </si>
  <si>
    <t>Come 4 Pay 3 at Moxy Bar &amp; Restaurant! 🔥🎧</t>
  </si>
  <si>
    <t>Book early, party early! Enjoy the MOXY Backyard BBQ Buffet every Friday &amp; Saturday with skyline views and live DJ vibes — all for just 750 THB. Available now until 31 Aug only</t>
  </si>
  <si>
    <t>TH_BKK_ctnoti_netcore_single_N_N_active_20250819_1700_ads-moxy-bar-restaurant-aug25</t>
  </si>
  <si>
    <t>🔥🎧 มา 4 จ่าย 3 กับ Moxy Bar &amp; Restaurant</t>
  </si>
  <si>
    <t>จองก่อน สนุกก่อน กับ MOXY Backyard BBQ บาร์บีคิวบุฟเฟต์วันศุกร์และเสาร์ ชมสกายไลน์วิวและดีเจเล่นสด เพียง 750 บาท วันนี้ - 31 ส.ค. เท่านั้น</t>
  </si>
  <si>
    <t>EN_BKK_ctnoti_netcore_group_N_N_active_20250820_1100_weekly-new-week3-aug25</t>
  </si>
  <si>
    <t>TH_BKK_ctnoti_netcore_group_N_N_active_20250820_1100_weekly-new-week3-aug25</t>
  </si>
  <si>
    <t>🟢 พุธนี้ มีร้านใหม่เข้ามาแล้ว!</t>
  </si>
  <si>
    <t>SG_BKK_ctnoti_netcore_single_N_N_active_20250806_1900_sg-edge-at-pan-pacific-hotel-aug25__</t>
  </si>
  <si>
    <t>Dine in Style at Edge 🍷</t>
  </si>
  <si>
    <t>SG_BKK_ctnoti_netcore_single_N_N_active_20250820_1300_sg-Bar-Cicheti-aug25</t>
  </si>
  <si>
    <t>Discover Bar Cicheti’s Intimate Charm ✨</t>
  </si>
  <si>
    <t>An intimate dining haven serving handcrafted pasta and boutique wines, with menus starting from S$53.</t>
  </si>
  <si>
    <t>SG_BKK_ctnoti_netcore_single_N_N_active_20250820_1430_sg-Nozomi-at-Millenia-Walk-aug25</t>
  </si>
  <si>
    <t>Experience Nozomi: Authentic Japanese Flavors at Millenia Walk</t>
  </si>
  <si>
    <t>Indulge in the taste of Japan at Nozomi — premium dishes and exquisite flavors from S$37.</t>
  </si>
  <si>
    <t>EN_BKK_ctnoti_netcore_group_N_N_active_20250820_1500_sushi-hiro-aug25</t>
  </si>
  <si>
    <t>🍣 Sushi Hiro — Unlimited Specials You’ll Love!</t>
  </si>
  <si>
    <t>Dive into an all-you-can-eat buffet with shabu, sushi, premium meats, and a wide variety of Japanese dishes — plus unlimited Häagen-Dazs ice cream! Starting from just 941 THB.</t>
  </si>
  <si>
    <t>TH_BKK_ctnoti_netcore_group_N_N_active_20250820_1500_sushi-hiro-aug25</t>
  </si>
  <si>
    <t>🍣 Sushi Hiro เมนูพิเศษ สั่งได้ไม่อั้น</t>
  </si>
  <si>
    <t>ฟินจุใจกับชาบูและซูชิบุฟเฟต์ เต็มอิ่มทั้งเนื้อพรีเมียม อาหารญี่ปุ่นมากมาย พร้อมเมนูพิเศษและไอศกรีม Häagen-Dazs ไม่อั้น เริ่มต้น 941.- จองเลย</t>
  </si>
  <si>
    <t>4648, 4871, 5279, 5466</t>
  </si>
  <si>
    <t>SG_BKK_ctnoti_netcore_single_N_N_active_20250820_1600_sg-baia-rooftop-dining-lounge-bar-aug25</t>
  </si>
  <si>
    <t>Experience the Elegance of Baia's Rooftop Dining Today!</t>
  </si>
  <si>
    <t>Where the skyline dazzles as your backdrop – Baia’s rooftop charm. Starting at S$45.</t>
  </si>
  <si>
    <t>EN_BKK_ctnoti_netcore_single_N_N_active_20250820_1700_ads-man-fu-lou-aug25</t>
  </si>
  <si>
    <t>Come 3, Pay for 2 at Man Fu Lou! 🥢🐉</t>
  </si>
  <si>
    <t>Enjoy premium Cantonese cuisine with this special weekday buffet deal — available Monday to Friday for just 799 THB per person. Now until 30 Sep only</t>
  </si>
  <si>
    <t>TH_BKK_ctnoti_netcore_single_N_N_active_20250820_1700_ads-man-fu-lou-aug25</t>
  </si>
  <si>
    <t>มา 3 จ่าย 2 กับ Man Fu Lou 🥢🐉</t>
  </si>
  <si>
    <t>คุ้มทุกวันจันทร์-ศุกร์ กับบุฟเฟต์อาหารจีนกวางตุ้งพรีเมียม ในราคาสุดพิเศษ เพียง 799 บาท ต่อท่าน ตั้งแต่วันนี้ - 30 ก.ย. เท่านั้น จองเลย</t>
  </si>
  <si>
    <t>EN_BKK_ctnoti_netcore_single_N_N_active_20250821_1100_market-cafe-aug25</t>
  </si>
  <si>
    <t>Come 2 Pay 1 at Market Cafe! 🍳🌞</t>
  </si>
  <si>
    <t>Start your day right with The Art of Breakfast — an exclusive breakfast buffet curated by top chefs, all for just 588 THB. Available now until 12 Oct only. Book now!</t>
  </si>
  <si>
    <t>TH_BKK_ctnoti_netcore_single_N_N_active_20250821_1100_market-cafe-aug25</t>
  </si>
  <si>
    <t>มา 2 จ่าย 1 กับ Market Cafe 🍳🌞</t>
  </si>
  <si>
    <t>เติมเต็มมื้อเช้ากับ The Art Of Breakfast อิ่มอร่อยกับเมนูบุฟเฟต์เอ็กซ์คลูซีฟจากเชฟมากมาย ในราคาเพียง 588 บาท วันนี้ถึง 12 ต.ค. เท่านั้น</t>
  </si>
  <si>
    <t>SG_BKK_ctnoti_netcore_single_N_N_active_20250821_1200_sg-wild-child-pizzette-aug25</t>
  </si>
  <si>
    <t>Where Pizza Meets Playfulness</t>
  </si>
  <si>
    <t>Cheesy, crispy, and wildly addictive – enjoy it all at Wild Child from S$50.</t>
  </si>
  <si>
    <t>SG_BKK_ctnoti_netcore_single_N_N_active_20250821_1300_sg-warm-up-cafe-aug25</t>
  </si>
  <si>
    <t>Warm Up Café, Everywhere You Go</t>
  </si>
  <si>
    <t>Find your nearest Warm Up Café and savor your favorites – starting at S$34.</t>
  </si>
  <si>
    <t>EN_BKK_ctnoti_netcore_single_N_N_active_20250821_1500_the-district-grill-room-aug25</t>
  </si>
  <si>
    <t>Unlimited Foie Gras at The District Grill Room! 🥩🦆</t>
  </si>
  <si>
    <t>Don’t miss the Come 2, Pay 1 deal! Enjoy a premium buffet of steaks, pasta, soups, and more — with unlimited foie gras — for just 1,990 THB per person. Available now until 30 Sep only</t>
  </si>
  <si>
    <t>TH_BKK_ctnoti_netcore_single_N_N_active_20250821_1500_the-district-grill-room-aug25</t>
  </si>
  <si>
    <t>The District Grill Room ฟัวกราส์ไม่อั้น</t>
  </si>
  <si>
    <t>โปรพิเศษมา 2 จ่าย 1 อิ่มไม่อั้นกับบุฟเฟต์สเต็ก พาสต้า ซุป และอีกมากมาย พร้อมฟัวกราส์ไม่อั้นเพียง 1,990 บาท / ท่าน ถึง 30 ก.ย. เท่านั้น</t>
  </si>
  <si>
    <t>SG_BKK_ctnoti_netcore_single_N_N_active_20250821_1600_sg-The Butchers Wife-aug25</t>
  </si>
  <si>
    <t>The Butcher’s Wife – A Culinary Affair</t>
  </si>
  <si>
    <t>SG_BKK_ctnoti_netcore_single_N_N_active_20250821_1700_sg-Golden Peony At Conrad Singapore Marina Bay</t>
  </si>
  <si>
    <t>Golden Peony – A Taste of Cantonese Elegance</t>
  </si>
  <si>
    <t>The available information does not specify a "Come X Pay X" offer, but it mentions a Lunch Set for 2 People at S$95 NET price per pack, and a 5-course Lunch Menu at SGD 78++ or a 6-course Lunch &amp; Dinner Menu at SGD 108++.</t>
  </si>
  <si>
    <t>EN_BKK_ctnoti_netcore_single_N_N_active_20250821_1700_ads-koko-japanese-aug25</t>
  </si>
  <si>
    <t>Come 2 Pay 1 at Koko Omakase! 🍣✨</t>
  </si>
  <si>
    <t>Indulge in a premium 16-course omakase experience at an unbeatable price — only 1,499 THB, exclusively on Hungry Hub. Available now until 29 Oct</t>
  </si>
  <si>
    <t>TH_BKK_ctnoti_netcore_single_N_N_active_20250821_1700_ads-koko-japanese-aug25</t>
  </si>
  <si>
    <t>Koko Omakase มา 2 จ่ายแค่ 1 🍣✨</t>
  </si>
  <si>
    <t>ลิ้มรสโอมากาเสะ 16 คอร์ส ในราคาสุดคุ้ม เพียง 1,499 บาท เฉพาะที่ Hungry Hub จนถึง 29 ต.ค. เท่านั้น</t>
  </si>
  <si>
    <t>EN_BKK_ctnoti_netcore_single_N_N_active_20250822_1100_the-market-5-at-eastin-grand-aug25</t>
  </si>
  <si>
    <t>Up to 50% OFF at The Market@5 Buffet! 🍽️🔥</t>
  </si>
  <si>
    <t>Choose your perfect buffet — lunch, dinner, or brunch — and enjoy a variety of international dishes at a special price, starting from just 675 THB</t>
  </si>
  <si>
    <t>TH_BKK_ctnoti_netcore_single_N_N_active_20250822_1100_the-market-5-at-eastin-grand-aug25</t>
  </si>
  <si>
    <t>🍽️🔥 The Market@5 บุฟเฟต์ลดสูงสุด 50%</t>
  </si>
  <si>
    <t>เลือกได้ตามใจกับบุฟเฟต์นานาชาติสำหรับมื้อกลางวัน ดินเนอร์ หรือ บรันช์ ในราคาสุดพิเศษเริ่มต้นเพียง 675 บาท เท่านั้น จองเลย</t>
  </si>
  <si>
    <t>SG_BKK_ctnoti_netcore_single_N_N_active_20250822_1200_sg-Oscars At Conrad Singapore Marina Bay-aug25</t>
  </si>
  <si>
    <t>Discover Oscar’s: A Feast of Distinction - Culinary Excellence Awaits!</t>
  </si>
  <si>
    <t>SG_BKK_ctnoti_netcore_single_N_N_active_20250822_1400_sg-santi-s-pizza-aug25</t>
  </si>
  <si>
    <t>Rustic Italian at S$29</t>
  </si>
  <si>
    <t>Where handmade pizzas meet fresh produce — only at Santi’s.</t>
  </si>
  <si>
    <t>EN_BKK_ctnoti_netcore_single_N_N_active_20250822_1500_s-cafe-at-s31-sukhumvit-aug25</t>
  </si>
  <si>
    <t>Come 4 Pay 3 at S Café, S31! 🦞🍖</t>
  </si>
  <si>
    <t>Kick off the weekend with the Surf &amp; Turf Buffet, featuring an international spread and unlimited seafood like Alaskan crab, river prawns, and more — all for just 749 THB</t>
  </si>
  <si>
    <t>TH_BKK_ctnoti_netcore_single_N_N_active_20250822_1500_s-cafe-at-s31-sukhumvit-aug25</t>
  </si>
  <si>
    <t>มา 4 จ่าย 3 กับ S Café at S31 🦞🍖</t>
  </si>
  <si>
    <t>ต้อนรับสุดสัปดาห์กับ Surf &amp; Turf Buffet อิ่มไม่อั้นกับบุฟเฟต์นานาชาติพร้อมซีฟู้ด อาทิ ปูอลาสก้า กุ้งแม่น้ำ และอีกมากมายเพียง 749 บาท จองเลย</t>
  </si>
  <si>
    <t>SG_BKK_ctnoti_netcore_single_N_N_active_20250822_1600_sg-Crossroads Buffet at Singapore Marriott Tan</t>
  </si>
  <si>
    <t>Crossroads of Culinary Delights</t>
  </si>
  <si>
    <t>EN_BKK_ctnoti_netcore_single_N_N_active_20250822_1700_ads-angel-shabu-mala-aug25</t>
  </si>
  <si>
    <t>Angel Shabu Mala Has Arrived! 🔥🍲</t>
  </si>
  <si>
    <t>Try this fiery new shabu experience with bold Thai-style or Chinese-style mala soup, plus 30+ conveyor belt items to enjoy — starting from just 179 THB</t>
  </si>
  <si>
    <t>TH_BKK_ctnoti_netcore_single_N_N_active_20250822_1700_ads-angel-shabu-mala-aug25</t>
  </si>
  <si>
    <t>Angel Shabu Mala มาแล้ว!! 🔥🍲</t>
  </si>
  <si>
    <t>ชาบูหม่าล่าน้องใหม่ แซ่บจัดจ้านกับซุปสไตล์ไทยๆ หรือ ซุปสไตล์จีน และเมนูสายพานกว่า 30 รายการ เริ่มต้นเพียง 179 บาท จองเลย</t>
  </si>
  <si>
    <t>The specific offer "Come X Pay X" is not mentioned in the available information. Angel Shabu Mala offers buffet options starting at ฿179 per person (Standard Buffet with Thai Soup).</t>
  </si>
  <si>
    <t>EN_BKK_ctnoti_netcore_single_N_N_active_20250823_1100_moom-muum-park-aug25</t>
  </si>
  <si>
    <t>Bangkok’s Best Street Food Is Here! 🍜🔥</t>
  </si>
  <si>
    <t>Don’t miss Moom Muum Park, the ultimate street food hotspot in the heart of Asoke! Enjoy an all-you-can-eat buffet package starting from just 790 THB</t>
  </si>
  <si>
    <t>TH_BKK_ctnoti_netcore_single_N_N_active_20250823_1100_moom-muum-park-aug25</t>
  </si>
  <si>
    <t>🍜🔥 สตรีทฟู้ดที่ดีที่สุด ในกรุงเทพ อยู่นี้แล้ว!!</t>
  </si>
  <si>
    <t>จองเลยไหมกับ Moom Muum Park สตรีทฟู้ดเจ้าเด็ดใจกลางอโศก พร้อมแพ็กเกจบุฟเฟต์อิ่มไม่อั้น เริ่มต้นเพียง 790 บาท จองเลย</t>
  </si>
  <si>
    <t>EN_BKK_ctnoti_netcore_single_N_N_active_20250823_1500_crave-aloft-bangkok-aug25</t>
  </si>
  <si>
    <t>Come 2 Pay 1 at Crave! 🦐🦀</t>
  </si>
  <si>
    <t>Fridays &amp; Saturdays only, enjoy a full dinner seafood buffet featuring river prawns, Singapore crab, and a variety of international dishes — all for just 735 THB. Available now until 30 Sep</t>
  </si>
  <si>
    <t>TH_BKK_ctnoti_netcore_single_N_N_active_20250823_1500_crave-aloft-bangkok-aug25</t>
  </si>
  <si>
    <t>🦐🦀 มา 2 จ่าย 1 กับ Crave</t>
  </si>
  <si>
    <t>เฉพาะศุกร์-เสาร์ ยกขบวนดินเนอร์บุฟเฟต์ซีฟู้ด ทั้งกุ้งแม่น้ำ ปูสิงค์โปร รวมไปถึงเมนูนานาชาติ ในราคาพิเศษเพียง 735 บาท วันนี้ - 30 ก.ย.</t>
  </si>
  <si>
    <t>EN_BKK_ctnoti_netcore_single_N_N_active_20250823_1700_ads-the-bottleman-wine-bar-aug25</t>
  </si>
  <si>
    <t>20% OFF at The Bottleman Wine Bar! 🍷✨</t>
  </si>
  <si>
    <t>Unwind with a Free Flow Wine by Glass package or enjoy a value-packed international set menu — starting from just 516 THB</t>
  </si>
  <si>
    <t>TH_BKK_ctnoti_netcore_single_N_N_active_20250823_1700_ads-the-bottleman-wine-bar-aug25</t>
  </si>
  <si>
    <t>🍷✨ ลด 20% The Bottleman Wine Bar</t>
  </si>
  <si>
    <t>ดื่มชิลๆ ก่อนหมดวันกับแพ็กเกจ Free Flow Wine by Glass หรือ อิ่มอร่อยกับเซ็ตเมนูนานาชาติสุดคุ้ม เริ่มต้นเพียง 516 บาท เท่านั้น จองเลย</t>
  </si>
  <si>
    <t>No, it is a 20% discount.</t>
  </si>
  <si>
    <t>EN_BKK_ctnoti_netcore_single_N_N_active_20250824_1100_the-living-room-aug25</t>
  </si>
  <si>
    <t>Sunday Brunch at The Living Room! 🎷🍽️</t>
  </si>
  <si>
    <t>Make your Sunday extra special with a Come 4, Pay for 3 offer — indulge in a luxurious international buffet, enjoy live jazz music, and savor unlimited foie gras, all for just 1,727 THB</t>
  </si>
  <si>
    <t>TH_BKK_ctnoti_netcore_single_N_N_active_20250824_1100_the-living-room-aug25</t>
  </si>
  <si>
    <t>Sunday Brunch กับ The Living Room 🎷🍽️</t>
  </si>
  <si>
    <t>แฮปปี้ทุกวันอาทิตย์ กับโปรมา 4 จ่าย 3 พร้อมเต็มอิ่มกับบุฟเฟต์นานาชาติสุดหรู ฟังดนตรีแจ๊สสดๆ และทานฟัวกราส์ไม่อั้น เพียง 1,727 บาท</t>
  </si>
  <si>
    <t>EN_BKK_ctnoti_netcore_group_N_N_active_20250824_1500_ruen-petch-suki-aug25</t>
  </si>
  <si>
    <t>Ruenpetch Suki Buffet from Just 399 THB! 🍲🔥</t>
  </si>
  <si>
    <t>Taste over 50 years of legendary flavor with 50+ sukiyaki items, all you can eat — starting from only 399 THB, exclusively on Hungry Hub</t>
  </si>
  <si>
    <t>TH_BKK_ctnoti_netcore_group_N_N_active_20250824_1500_ruen-petch-suki-aug25</t>
  </si>
  <si>
    <t>เรือนเพชรสุกี้บุฟเฟต์ เริ่มแค่ 399 บาท</t>
  </si>
  <si>
    <t>สัมผัสความอร่อยในตำนานกว่า 50 ปี กับเมนูสุกี้กว่า 50 รายการ สั่งได้แบบไม่อั้น เริ่มต้นเพียง 399 บาท เฉพาะที่ Hungry Hub เท่านั้น</t>
  </si>
  <si>
    <t>EN_BKK_ctnoti_netcore_single_N_N_active_20250824_1700_ads-kuma-no-yakitori-aug25</t>
  </si>
  <si>
    <t>Kuma no Yakitori Come 2 Pay 1! 🍢🇯🇵</t>
  </si>
  <si>
    <t>Savor a legendary 13-course yakitori omakase experience straight from Osaka, crafted by a native Japanese chef — now in Bangkok at a special price of just 1,925 THB. Available now until 15 Oct only</t>
  </si>
  <si>
    <t>TH_BKK_ctnoti_netcore_single_N_N_active_20250824_1700_ads-kuma-no-yakitori-aug25</t>
  </si>
  <si>
    <t>Kuma no Yakitori มา 2 จ่ายแค่ 1 🍢🇯🇵</t>
  </si>
  <si>
    <t>ลิ้มรส 13 คอร์สโอมากาเสะในตำนานจากโอซาก้า ส่งตรงถึงกรุงเทพ โดยเชฟชาวญี่ปุ่นแท้ ในราคาสุดพิเศษเพียง 1,925 บาท วันนี้ - 15 ต.ค.</t>
  </si>
  <si>
    <t>EN-7_day_Reminder- Spin the wheel- August</t>
  </si>
  <si>
    <t>⏰ Important Reminder: Only 7 Days Left!!</t>
  </si>
  <si>
    <t>TH-7_day_Reminder- Spin the wheel- August</t>
  </si>
  <si>
    <t>⏰⏰ข้อความเตือนสำคัญ! เหลืออีก 7 วัน</t>
  </si>
  <si>
    <t>TH_BKK_ctnoti_netcore_single_N_N_active_20250825_1500_rain-tree-cafe-aug25</t>
  </si>
  <si>
    <t>มา 2 จ่าย 1 กับ Rain Tree Cafe 🌍🦐</t>
  </si>
  <si>
    <t>อิ่มกันยาวๆ วันอาทิตย์ถึงวันพฤหัส กับบุฟเฟต์นานาชาติ ซีฟู้ด ตะวันตก และอีกมากมาย ในราคาสุดพิเศษ เพียง 985 บาท ถึง 30 ก.ย. เท่านั้น</t>
  </si>
  <si>
    <t>EN_BKK_ctnoti_netcore_single_N_N_active_20250825_1500_rain-tree-cafe-aug25</t>
  </si>
  <si>
    <t>Come 2 Pay 1 at Rain Tree Café! 🌍🦐</t>
  </si>
  <si>
    <t>Feast from Sunday to Thursday with an international buffet featuring seafood, Western dishes, and more — all for a special price of just 985 THB. Available now until 30 Sep only</t>
  </si>
  <si>
    <t>EN_BKK_ctnoti_netcore_single_N_N_active_20250825_1700_korea-house-gold-the-fourth-aug25</t>
  </si>
  <si>
    <t>🥩🇰🇷 Come 2 Pay 1 at Korea House Gold!</t>
  </si>
  <si>
    <t>Grill your heart out with this unbeatable Korean BBQ deal — available Monday to Thursday only! Enjoy unlimited A4 &amp; A5 Wagyu, premium seafood, authentic Korean dishes &amp; more for just 695 THB</t>
  </si>
  <si>
    <t>TH_BKK_ctnoti_netcore_single_N_N_active_20250825_1700_korea-house-gold-the-fourth-aug25</t>
  </si>
  <si>
    <t>🥩🇰🇷 มา 2 จ่่าย 1 กับ Korea House Gold</t>
  </si>
  <si>
    <t>ปิ้งย่างเกาหลีในราคาสุดคุ้ม เฉพาะวันจันทร์ถึงวันพฤหัสดี เต้มอิ่มทั้งเนื้อวากิว A4 A5 ซีฟู้ดพรีเมียม อาหารเกาหลี และอีกเพียบเพียง 695 บาท</t>
  </si>
  <si>
    <t>EN_BKK_ctnoti_netcore_single_N_N_active_20250826_1100_ads-shoko-omakase-aug25</t>
  </si>
  <si>
    <t>🍣🌸 Weekday-Only Omakase at Shoko!</t>
  </si>
  <si>
    <t>Experience a premium omakase course in a dreamy floral garden setting — only Monday to Friday for a special price of 1,299 THB (from 1,799 THB)</t>
  </si>
  <si>
    <t>TH_BKK_ctnoti_netcore_single_N_N_active_20250826_1100_ads-shoko-omakase-aug25</t>
  </si>
  <si>
    <t>🍣🌸 โอมากาเสะคอร์สพิเศษเฉพาะ จันทร์-ศุกร์เท่านั้น</t>
  </si>
  <si>
    <t>จองเลยกับ Shoko Omakase ลิ้มรสโอมากาเสะระดับพรีเมียม ในบรรยากาศสไตล์สวนดอกไม้ เพียง 1,299 บาท จากปกติ 1,799 บาท</t>
  </si>
  <si>
    <t>SG_BKK_ctnoti_netcore_single_N_N_active_20250826_1245_sg-kapitan-bar-restaurant-aug25</t>
  </si>
  <si>
    <t>Kapitan’s Signature Experience</t>
  </si>
  <si>
    <t>Millenia Walk’s culinary gem, Experience Kapitan’s timeless charm — signature plates from only S$31.</t>
  </si>
  <si>
    <t>EN_BKK_ctnoti_netcore_mkt_N_N_active_20250826_1500_7-day-countdown-sepdeals-aug25</t>
  </si>
  <si>
    <t>S__T__B__ D___S is Almost Here! ⏳🎉</t>
  </si>
  <si>
    <t>Just 7 days left until the biggest deals of the year drop — with exclusive promos from your favorite restaurants! Get ready and mark your calendars!</t>
  </si>
  <si>
    <t>SG_BKK_ctnoti_netcore_single_N_N_active_20250826_1500_sg-r-italian-kitchen-aug25</t>
  </si>
  <si>
    <t>The Art of Italian Dining</t>
  </si>
  <si>
    <t>A sophisticated escape to Italy’s heart, where charm meets Italian finesse, menus begin at S$39.</t>
  </si>
  <si>
    <t>TH_BKK_ctnoti_netcore_mkt_N_N_active_20250826_1500_7-day-countdown-sepdeals-aug25</t>
  </si>
  <si>
    <t>S__T__B__ D___S ใกล้จะมาแล้ว! ⏳🎉</t>
  </si>
  <si>
    <t>นับเวลาถอยหลังอีก 7 วันเท่านั้น กับดีลสิ่งยิ่งใหญ่แห่งปี กับโปรโมชั่นจากร้านดังมากมาย เตรียมตัวจดกันไว้ได้เลย</t>
  </si>
  <si>
    <t>EN_BKK_ctnoti_netcore_single_N_N_active_20250826_1700_giorgio-s-riverside-aug25</t>
  </si>
  <si>
    <t>🇮🇹🌊 Come 4 Pay for 3 at Giorgio’s Riverside!</t>
  </si>
  <si>
    <t>Dine in style by the river with an all-you-can-eat Italian dinner buffet, plus 1 premium dish per person — all for just 1,642 THB. Available now until 30 Sep only</t>
  </si>
  <si>
    <t>TH_BKK_ctnoti_netcore_single_N_N_active_20250826_1700_giorgio-s-riverside-aug25</t>
  </si>
  <si>
    <t>🇮🇹🌊 มา 4 จ่าย 3 กับ Giorgio's Riverside</t>
  </si>
  <si>
    <t>ดินเนอร์หรูริมน้ำ! อิ่มไม่อั้นบุฟเฟต์อิตาเลียนสุดพิเศษ พร้อมเลือกเมนูพรีเมียม 1 จานต่อท่าน เพียง 1,642 บาท วันนี้ - 30 ก.ย. เท่านั้น</t>
  </si>
  <si>
    <t>SG_BKK_ctnoti_netcore_single_N_N_active_20250826_1700_sg-Mamis-Tamales-aug25</t>
  </si>
  <si>
    <t>Authentic Tamales Delight at MRT Maxwell 🇲🇽</t>
  </si>
  <si>
    <t>Mami’s Tamales: Experience tradition and elegance with every handmade tamale at Mami’s.</t>
  </si>
  <si>
    <t>EN_BKK_ctnoti_netcore_group_N_N_active_20250827_1100_weekly-new-week4-aug25</t>
  </si>
  <si>
    <t>🟢 Final Wednesday of the Month — New Restaurants Are In!</t>
  </si>
  <si>
    <t>Book before payday and check out this week’s newly launched restaurants! Special offer: be among the first 5 to book &amp; review each new spot and get up to 200 THB off — free!</t>
  </si>
  <si>
    <t>X-Payments offers various pricing tiers starting at $49 a month or $499 a year for 10K, going up to $199 a month or $1999 a year for 300K.</t>
  </si>
  <si>
    <t>SG_BKK_ctnoti_netcore_single_N_N_active_20250827_1200_sg-Yu-Gu-Xiang-aug25</t>
  </si>
  <si>
    <t>Authentic Taste, Modern Touch @ MRT Eunos</t>
  </si>
  <si>
    <t>Yu Gu Xiang: Authentic taste with sophisticated flair, Bold, refined flavors of Hunan await from S$14.</t>
  </si>
  <si>
    <t>TH_BKK_ctnoti_netcore_group_N_N_active_20250827_1100_weekly-new-week4-aug25</t>
  </si>
  <si>
    <t>🟢 พุธสุดท้ายของเดือน มีร้านใหม่เข้ามาแล้ว!</t>
  </si>
  <si>
    <t>จองก่อนเงินเดือนออก! กับร้านมาใหม่ประจำสัปดาห์ พิเศษ! เมื่อจองพร้อมรีวิวเป็น 5 คนแรก ของร้านใหม่แต่ละร้าน รับฟรี! ส่วนลดสูงสุด 200 บาท</t>
  </si>
  <si>
    <t>EN_BKK_ctnoti_netcore_single_N_N_active_20250827_1500_chatuchak-cafe-aug25</t>
  </si>
  <si>
    <t>Come 4 Pay for 3 at Chatuchak Cafe! 🍽️✨</t>
  </si>
  <si>
    <t>tep into a new buffet experience with over 100+ premium dishes from 7 renowned kitchens, all-you-can-eat for just 749 THB. Available now until 30 Sep</t>
  </si>
  <si>
    <t>TH_BKK_ctnoti_netcore_single_N_N_active_20250827_1500_chatuchak-cafe-aug25</t>
  </si>
  <si>
    <t>มา 4 จ่าย 3 กับ Chatuchak Cafe 🍽️✨</t>
  </si>
  <si>
    <t>เปิดโลกบุฟเฟต์แบบใหม่จาก 7 ห้องอาหารชื่อดังกว่า 100+ เมนูพรีเมียม สั่งได้ไม่อั้น ในราคาพิเศษเพียง 749.- จองเลยวันนี้ - 30 ก.ย. 👉</t>
  </si>
  <si>
    <t>Yes, Come 4 Pay 3</t>
  </si>
  <si>
    <t>SG_BKK_ctnoti_netcore_single_N_N_active_20250827_1500_sg-colony-at-the-ritz-aug25</t>
  </si>
  <si>
    <t>Luxury, Layered on a Plate@ MRT Promenade</t>
  </si>
  <si>
    <t>Where grandeur meets gastronomy, starting at S$89 per person.</t>
  </si>
  <si>
    <t>EN_BKK_ctnoti_netcore_single_N_N_active_20250827_1700_ads-aries-24-cafe-resto-bar-aug25</t>
  </si>
  <si>
    <t>Aries 24 Cafe' &amp; Resto Bar Has Arrived! 🌇🍝</t>
  </si>
  <si>
    <t>Spice up your evening at this cozy new spot serving Thai-Italian fusion with good vibes! Choose your own set from 70+ dishes, starting from just 330 THB</t>
  </si>
  <si>
    <t>SG_BKK_ctnoti_netcore_single_N_N_active_20250827_1700_sg-The Grumpy-Bear-Cafe-aug26</t>
  </si>
  <si>
    <t>The Grumpy Bear Experience @ MRT Upper Thomson</t>
  </si>
  <si>
    <t>The Grumpy Bear Café: delightful bites and charming ambiance, where cozy vibes meet culinary care — from S$19.</t>
  </si>
  <si>
    <t>TH_BKK_ctnoti_netcore_single_N_N_active_20250827_1700_ads-aries-24-cafe-resto-bar-aug25</t>
  </si>
  <si>
    <t>Aries 24 Cafe' &amp; Resto Bar มาแล้ว 🌇🍝</t>
  </si>
  <si>
    <t>ยามเย็นไม่มีเหงา กับร้านอาหารฟิลดีมาใหม่สไตล์ไทย - อิตาลี่ พร้อมเลือกเซ็ตเมนูตามใจ จาก 70+ กว่าเมนู เริ่มต้นเพียง 330 บาท จองเลย</t>
  </si>
  <si>
    <t>EN_BKK_ctnoti_netcore_single_N_N_active_20250828_1100_atrium-restaurant-aug25</t>
  </si>
  <si>
    <t>Final Call for Hot Deals at Atrium Restaurant! 🍽️🔥</t>
  </si>
  <si>
    <t>Don’t miss the Come 2, Pay 1 promotion — available for lunch, dinner, or weekend brunch, starting from just 800 THB. Only until 31 August</t>
  </si>
  <si>
    <t>TH_BKK_ctnoti_netcore_single_N_N_active_20250828_1100_atrium-restaurant-aug25</t>
  </si>
  <si>
    <t>โค้งสุดท้าย โปรแรงจาก Atrium Restaurant 🍽️🔥</t>
  </si>
  <si>
    <t>ห้ามพลาดกับโปรมา 2 จ่าย 1 ทั้งบุฟเฟต์มื้อเที่ยง ดินเนอร์ หรือบรันช์สุดสัปดาห์ ในราคาสุดพิเศษเริ่มต้นเพียง 800 บาท วันนี้ - 31 ส.ค. เท่านั้น</t>
  </si>
  <si>
    <t>SG_BKK_ctnoti_netcore_single_N_N_active_20250828_1200_sg-mama-diam-aug25</t>
  </si>
  <si>
    <t>Singapore’s Heritage Reborn @MRT Bencoolen</t>
  </si>
  <si>
    <t>Relive local classics in style — Mama Diam blends nostalgia and elegance, from S$45.</t>
  </si>
  <si>
    <t>TH-3_day_Reminder- Spin the wheel- August</t>
  </si>
  <si>
    <t>⏰⏰เหลือเวลาอีก 4 วันสุดท้ายสำหรับการหมุนและรับรางวัล!!</t>
  </si>
  <si>
    <t>EN-3_day_Reminder- Spin the wheel- August</t>
  </si>
  <si>
    <t>⏳ 4 Days remaining to Spin and win!!</t>
  </si>
  <si>
    <t>Spin and win</t>
  </si>
  <si>
    <t>EN_BKK_ctnoti_netcore_group_N_N_active_20250828_1500_audrey-cafe-emquartier-aug25</t>
  </si>
  <si>
    <t>Come 4 Pay 3 at Audrey Cafe! 💖</t>
  </si>
  <si>
    <t>Feast on over 300 premium buffet dishes, including steaks, spaghetti, signature creations, and more — starting from just 768 THB. Exclusively at EmQuartier branch</t>
  </si>
  <si>
    <t>SG_BKK_ctnoti_netcore_single_N_N_active_20250828_1500_sg-kintub-thai-mookata-aug25</t>
  </si>
  <si>
    <t>A True Thai Indulgence @ MRT Raffles Place</t>
  </si>
  <si>
    <t>Experience sizzling Thai flavors, perfectly grilled. Comforting, elegant yet inviting from S$49</t>
  </si>
  <si>
    <t>No, the subject line does not clearly indicate a "Come X Pay X" offer.</t>
  </si>
  <si>
    <t>TH_BKK_ctnoti_netcore_group_N_N_active_20250828_1500_audrey-cafe-emquartier-aug25</t>
  </si>
  <si>
    <t>มา 4 จ่าย 3 กับ Audrey Cafe 💖</t>
  </si>
  <si>
    <t>อิ่มอร่อยกับบุฟเฟต์พรีเมียมไม่อั้น ทั้งสเต็กเนื้อ สปาเก็ตตี้ เมนูซิกเนเจอร์และอีกมากมายกว่า 300 เมนู เริ่มต้น 768.- เฉพาะสาขา EmQuartier เท่านั้น</t>
  </si>
  <si>
    <t>SG_BKK_ctnoti_netcore_single_N_N_active_20250828_1500_sg-Nozomi-at-The-Star-Vista-aug25</t>
  </si>
  <si>
    <t>Nozomi at The Star Vista: From S$37</t>
  </si>
  <si>
    <t>Everyone’s raving about Nozomi,Be part of the buzz—don’t be the last to try.</t>
  </si>
  <si>
    <t>EN_BKK_ctnoti_netcore_single_N_N_active_20250828_1700_ads-baryard-at-kimpton-maa-lai-aug25</t>
  </si>
  <si>
    <t>20% OFF at BarYard, Kimpton Maa-Lai! 🌴🍹</t>
  </si>
  <si>
    <t>Chill out at one of Bangkok’s best tropical-style rooftop bars on the 40th floor, and enjoy a special meal crafted by professional chefs — starting from just 572 TH</t>
  </si>
  <si>
    <t>TH_BKK_ctnoti_netcore_single_N_N_active_20250828_1700_ads-baryard-at-kimpton-maa-lai-aug25</t>
  </si>
  <si>
    <t>ลด 20% ที่ BarYard at Kimpton Maa-Lai 🌴🍹</t>
  </si>
  <si>
    <t>ชิลล์เอ้าท์ยามเย็น กับรูฟท็อปบาร์บนชั้น 40 สไตล์ทรอปิคอลที่ดีที่สุดในกรุงเทพฯ พร้อมอิ่มอร่อยกับมื้อพิเศษจากเชฟมืออาชีพ เริ่มต้น 572 บาท</t>
  </si>
  <si>
    <t>EN_BKK_ctnoti_netcore_single_N_N_active_20250829_1100_benihana-at-riverside-plaza-aug25</t>
  </si>
  <si>
    <t>Saturday Brunch at Benihana! 🍣🔥</t>
  </si>
  <si>
    <t>Wrap up the last Saturday of the month with a Come 4 Pay for 3 offer — enjoy a premium teppanyaki &amp; Japanese buffet for just 1,424 THB at the Riverside Plaza branch. Available until 31 August only</t>
  </si>
  <si>
    <t>TH_BKK_ctnoti_netcore_single_N_N_active_20250829_1100_benihana-at-riverside-plaza-aug25</t>
  </si>
  <si>
    <t>Saturday Brunch กับ Benihana 🍣🔥</t>
  </si>
  <si>
    <t>ส่งท้ายเสาร์สุดท้าย กับโปรมา 4 จ่าย 3 บุฟเฟต์เทปันยากิและอาหารญี่ปุ่นพรีเมียม ในราคาพิเศษ 1,424 บาท ที่สาขา Riverside Plaza ถึง 31 ส.ค. เท่านั้น</t>
  </si>
  <si>
    <t>EN_BKK_ctnoti_netcore_single_N_N_active_20250829_1500_copper-beyond-buffet-last-the-sense-aug25</t>
  </si>
  <si>
    <t>Final Call! Celebrate 9 Years of Copper 🎉</t>
  </si>
  <si>
    <t>Don’t miss the 9th Anniversary Buffet Package at Copper — enjoy an international buffet, unlimited foie gras, and 1 premium dish of your choice. Available only at The Sense branch until 31 August</t>
  </si>
  <si>
    <t>TH_BKK_ctnoti_netcore_single_N_N_active_20250829_1500_copper-beyond-buffet-last-the-sense-aug25</t>
  </si>
  <si>
    <t>โค้งสุดท้ายโปรพิเศษฉลอง 9 ปี Copper 🎉</t>
  </si>
  <si>
    <t>รีบไปลองแพ็กเกจบุฟเฟต์ฉลอง 9 ปี เต็มอิ่มบุฟเฟต์นานาชาติ พร้อมเลือก 1 เมนูพรีเมียม และฟัวกราส์ไม่อั้น เฉพาะสาขา The Sense ถึง 31 ส.ค. เท่านั้น</t>
  </si>
  <si>
    <t>SG_BKK_ctnoti_netcore_single_N_N_active_20250828_1500_sg-morita-unigoro-aug25</t>
  </si>
  <si>
    <t>Unwind with Morita Unigoro’s Delicacies</t>
  </si>
  <si>
    <t>EN_BKK_ctnoti_netcore_single_N_N_active_20250829_1700_ads-moru-sushi-2-aug25</t>
  </si>
  <si>
    <t>Moru Sushi — All You Can Eat from Just 599 THB! 🍣🇯🇵</t>
  </si>
  <si>
    <t>Satisfy your cravings with a Japanese buffet lineup featuring salmon, sushi, sashimi, tempura, and so much more — all at a special price starting from just 599 THB</t>
  </si>
  <si>
    <t>All You Can Eat from Just 599 THB!</t>
  </si>
  <si>
    <t>SG_BKK_ctnoti_netcore_single_N_N_active_20250829_1700_sg-beach-road-kitchen-aug25</t>
  </si>
  <si>
    <t>Dine in Style at Beach Road Kitchen from S$78</t>
  </si>
  <si>
    <t>Treat yourself to a luxurious buffet experience like no other.</t>
  </si>
  <si>
    <t>TH_BKK_ctnoti_netcore_single_N_N_active_20250829_1700_ads-moru-sushi-2-aug25</t>
  </si>
  <si>
    <t>Moru Sushi อิ่มไม่อั้น เริ่มต้น 599 บาท 🍣🇯🇵</t>
  </si>
  <si>
    <t>จุใจกับขบวนไลน์อัพบุฟเฟต์อาหารญี่ปุ่น อาทิ แซลมอน ซูชิ ซาชิมิ เทมปุระ และอีกมากมาย ในราคาพิเศษ เริ่มต้น 599 บาท เท่านั้น จองเลย</t>
  </si>
  <si>
    <t>EN_BKK_ctnoti_netcore_mkt_N_N_active_20250830_1100_3-day-countdown-sepdeals-aug25</t>
  </si>
  <si>
    <t>Only 3 Days Left — Get Ready! ⏳🔥</t>
  </si>
  <si>
    <t>This 1st September, get ready for Hungry Hub September Deals — the biggest offers of the year with up to 70% OFF at top restaurants! Want a sneak peek? Tap to check what’s coming!</t>
  </si>
  <si>
    <t>TH_BKK_ctnoti_netcore_mkt_N_N_active_20250830_1100_3-day-countdown-sepdeals-aug25</t>
  </si>
  <si>
    <t>อีก 3 วันเท่านั้น เตรียมตัวให้พร้อม ⏳🔥</t>
  </si>
  <si>
    <t>1 ก.ย. นี้ เตรียมพบกับ Hungry Hub September Deals รวมดีลสิ่งยิ่งใหญ่แห่งปี ลดสูงสุด 70% กับโปรโมชั่นจากร้านดังมากมาย มีอะไรบ้างเช็คเลย</t>
  </si>
  <si>
    <t>EN_BKK_ctnoti_netcore_group_N_N_active_20250830_1500_gyu-ya-yakiniku-aug25</t>
  </si>
  <si>
    <t>Japanese BBQ Feast from Just 299 THB! 🔥🇯🇵</t>
  </si>
  <si>
    <t>Don’t miss the sizzling deal at Gyu-Ya Yakiniku — enjoy all-you-can-eat grilled beef, pork, sushi, and more! Book now and get a free special dish or 1 scoop of Häagen-Dazs ice cream!</t>
  </si>
  <si>
    <t>TH_BKK_ctnoti_netcore_group_N_N_active_20250830_1500_gyu-ya-yakiniku-aug25</t>
  </si>
  <si>
    <t>ปิ้งย่างญี่ปุ่นสุดคุ้ม เริ่มแค่ 299 บาท!! 🔥🇯🇵</t>
  </si>
  <si>
    <t>มาแรงไม่หยุดกับ Gyu-Ya Yakiniku บุฟเฟต์ปิ้งย่างสไตล์ญี่ปุ่น มีครบทั้งเนื้อ หมู ซูชิ จองตอนนี้รับเมนูพิเศษ หรือ ไอศกรีม Häagen-Dazs 1 สกู๊ป ฟรี</t>
  </si>
  <si>
    <t>EN_BKK_ctnoti_netcore_single_N_N_active_20250830_1700_viu-the-st-regis-aug25</t>
  </si>
  <si>
    <t>Come 2 Pay 1 at VIU, The St. Regis! 🍷✨</t>
  </si>
  <si>
    <t>Elevate your evening with the Epic Buffet Dinner, featuring premium selections like cold cuts, seafood, and more — starting from just 1,500 THB. Available now until 31 Oct only</t>
  </si>
  <si>
    <t>TH_BKK_ctnoti_netcore_single_N_N_active_20250830_1700_viu-the-st-regis-aug25</t>
  </si>
  <si>
    <t>มา 2 จ่าย 1 กับ Viu The St. Regis 🍷✨</t>
  </si>
  <si>
    <t>คุ้มค่าเหนือระดับกับ Epic Buffet Dinner เต็มอิ่มกับเมนูบุฟเฟต์ระดับพรีเมียม ทั้งโคลด์คัท ซีฟู้ด และอีกมากมาย เริ่มต้น 1,500 บาท วันนี้ - 31 ต.ค.</t>
  </si>
  <si>
    <t>EN_BKK_ctnoti_netcore_single_N_N_active_20250831_1100_praya-kitchen-aug25</t>
  </si>
  <si>
    <t>Sunday Brunch Buffet at Praya Kitchen! 🍣🦞</t>
  </si>
  <si>
    <t>Go all out with a premium international buffet featuring Japanese, Chinese, and seafood stations — plus a fun Cooking Class activity included! All for just 1,499 THB</t>
  </si>
  <si>
    <t>TH_BKK_ctnoti_netcore_single_N_N_active_20250831_1100_praya-kitchen-aug25</t>
  </si>
  <si>
    <t>Sunday Brunch Buffet กับ Praya Kitchen 🍣🦞</t>
  </si>
  <si>
    <t>เต็มพิกัดกับบุฟเฟต์นานาชาติสุดพรีเมียม จากสเตชั่นอาหารญี่ปุ่น จีน ซีฟู้ด พร้อมสนุกสนานไปกับกิจกรรม Cooking Class เพียง 1,499 บาท</t>
  </si>
  <si>
    <t>EN_BKK_ctnoti_netcore_group_N_N_active_20250831_1500_ads-man-fu-lou-aug25</t>
  </si>
  <si>
    <t>🥢🦆 Come 4 Pay 3 at Man Fu Lou!</t>
  </si>
  <si>
    <t>Indulge in a premium Chinese buffet featuring Peking duck, truffle har gow, grilled river prawns, and more — all for just 899 THB. Available now until 30 Sep only.</t>
  </si>
  <si>
    <t>TH_BKK_ctnoti_netcore_group_N_N_active_20250831_1500_ads-man-fu-lou-aug25</t>
  </si>
  <si>
    <t>🥢🦆 มา 4 จ่าย 3 กับ Man Fu Lou</t>
  </si>
  <si>
    <t>ดื่มด่ำความอร่อยระดับพรีเมียม กับบุฟเฟต์อาหารจีน ทั้งเป็ดปักกิ่ง ฮะเก๋าทรัฟเฟิล ไปจนถึงกุ้งแม่น้ำเผา พิเศษ 899 บาท วันนี้ - 30 ก.ย. เท่านั้น</t>
  </si>
  <si>
    <t>EN_BKK_ctnoti_netcore_single_N_N_active_20250831_1700_feast-at-royal-orchid-aug25</t>
  </si>
  <si>
    <t>🌍 Come 2 Pay 1 at Feast at Royal Orchid!</t>
  </si>
  <si>
    <t>Whether it’s the weekend or a weekday, enjoy a full 3-hour international and seafood buffet — all-you-can-eat at a special price starting from just 583 THB. Available now until 30 Sep only</t>
  </si>
  <si>
    <t>TH_BKK_ctnoti_netcore_single_N_N_active_20250831_1700_feast-at-royal-orchid-aug25</t>
  </si>
  <si>
    <t>🌍 มา 2 จ่าย 1 กับ Feast At Royal Orchid</t>
  </si>
  <si>
    <t>จะสุดสัปดาห์ หรือ วันธรรมดา ก็จัดหนักได้ไม่อั้นกับบุฟเฟต์นานาชาติ และ ซีฟู้ด 3 ชั่วโมงเต็ม ในราคาพิเศษ เริ่มต้น 583 บาท วันนี้ - 30 ก.ย. เท่านั้น</t>
  </si>
  <si>
    <t>TH_BKK_ctnoti_netcore_camp_N_N_active_20250901_1100_super-september-deals-aug25</t>
  </si>
  <si>
    <t>เริ่มแล้ว Super September Deals 🎉🔥</t>
  </si>
  <si>
    <t>รวมดีลสุดยิ่งใหญ่แห่งปี ลดสูงสุด 70% กับโปรโมชั่นจากร้านดังมากมาย พร้อมโปรยิ่งมาเยอะ ยิ่งจ่ายน้อย และรับเวาเชอร์ฟรีสูงสุด 5,000 บาท วันนี้ - 30 ก.ย. เท่านั้น</t>
  </si>
  <si>
    <t>EN_BKK_ctnoti_netcore_camp_N_N_active_20250901_1100_super-september-deals-aug25</t>
  </si>
  <si>
    <t>Super September Deals Begun! 🎉🔥</t>
  </si>
  <si>
    <t>Get ready for the biggest deals of the year — with up to 70% OFF at top restaurants, plus come more pay less deals and Get up to 5,000 THB in free vouchers! Only from now until 30 Sep</t>
  </si>
  <si>
    <t>TH_BKK_ctnoti_netcore_single_N_N_active_20250901_1500_ssd-sushi-koge-omakase-sep25</t>
  </si>
  <si>
    <t>ลดสูงสุด 30% กับ Sushi Koge 🍣</t>
  </si>
  <si>
    <t>เพลิดเพลินกับคอร์สโอมากาเสะสไตล์เอโดะ เริ่มต้นที่ 16 คอร์ส ในราคาพิเศษเพียง 2,290 บาท จากปกติ 3,414 บาท วันนี้ - 30 ก.ย. เท่านั้น</t>
  </si>
  <si>
    <t>EN_BKK_ctnoti_netcore_single_N_N_active_20250901_1500_ssd-sushi-koge-omakase-sep25</t>
  </si>
  <si>
    <t>Up to 30% OFF at Sushi Koge! 🍣</t>
  </si>
  <si>
    <t>Indulge in an Edomae-style omakase course, starting with 16 premium bites — now only 2,290 THB (from 3,414 THB). Available until 30 Sep only</t>
  </si>
  <si>
    <t>EN_BKK_ctnoti_netcore_single_N_N_active_20250901_1700_ssd-501-home-cook-sep25</t>
  </si>
  <si>
    <t>501 Home Cook Buy 3, Get 1 Free! 🍽️🏡</t>
  </si>
  <si>
    <t>Experience an elevated 9-course fine dining set with cozy home-style vibes in the heart of Banthat Thong — at a special price averaging just 1,196 THB per package. Available now until 30 Sep only</t>
  </si>
  <si>
    <t>TH_BKK_ctnoti_netcore_single_N_N_active_20250901_1700_ssd-501-home-cook-sep25</t>
  </si>
  <si>
    <t>501 Home Cook ซื้อ 3 ได้เพิ่มอีก 1 🏡</t>
  </si>
  <si>
    <t>เต็มอิ่มกับไฟน์ไดนิ่งสุดหรู 9 คอร์ส ฟิลโฮมมี่ใจกลางบรรทัดทอง ในราคาพิเศษเฉลี่ยที่ 1,196 บาท ต่อแพ็กเกจ วันนี้ - 30 ก.ย. เท่านั้น</t>
  </si>
  <si>
    <t>EN_BKK_ctnoti_netcore_single_N_N_active_20250902_1100_ssd-albricias-at-chatrium-sep25</t>
  </si>
  <si>
    <t>Come 3 Pay for 2 at Albricias! 🇪🇸🍷</t>
  </si>
  <si>
    <t>Indulge in a premium all-you-can-eat Spanish buffet with over 30 exquisite dishes, plus 1 special menu item of your choice — all for just 1,526 THB. Available now until 30 Sep only</t>
  </si>
  <si>
    <t>TH_BKK_ctnoti_netcore_single_N_N_active_20250902_1100_ssd-albricias-at-chatrium-sep25</t>
  </si>
  <si>
    <t>มา 3 จ่าย 2 กับ Albricias 🇪🇸🍷</t>
  </si>
  <si>
    <t>อร่อยหรูกับบุฟเฟต์อาหารสเปนพรีเมียมแบบไม่อั้น กว่า 30 เมนู พร้อมเลือกรับ 1 เมนูพิเศษ พิเศษเพียง 1,526 บาท วันนี้ - 30 ก.ย. เท่านั้น</t>
  </si>
  <si>
    <t>SG_BKK_ctnoti_netcore_single_N_N_active_20250829_1200_sg-Yi Pin Ju Chinese Restaurant-sept25</t>
  </si>
  <si>
    <t>Yi Pin Ju: Traditional Taste, Modern Charm</t>
  </si>
  <si>
    <t>The search results mention percentage discounts such as 50% Discount and 25% Discount on certain items, but they do not specifically mention a "Come X Pay X" offer.</t>
  </si>
  <si>
    <t>EN_BKK_ctnoti_netcore_single_N_N_active_20250902_1500_ssd-baba-soul-food-sep25</t>
  </si>
  <si>
    <t>20% OFF at Baba Soul Food in Hua Hin! 🌴🍛</t>
  </si>
  <si>
    <t>Planning a trip to Hua Hin? Don’t miss this must-visit spot for bold, authentic Thai flavors in a charming colonial-modern setting — starting from just 350 THB. Available now until 30 Sep</t>
  </si>
  <si>
    <t>No, it has a 20% OFF discount.</t>
  </si>
  <si>
    <t>TH_BKK_ctnoti_netcore_single_N_N_active_20250902_1500_ssd-baba-soul-food-sep25</t>
  </si>
  <si>
    <t>ลด 20% กับ Baba Soul Food 🌴🍛</t>
  </si>
  <si>
    <t>คิดจะทริปไปหัวหิน ห้ามพลาดมาแวะร้านอาหารไทยอร่อย รสชาติครบเครื่อง บรรยากาศโคโลเนียลโมเดิร์น เริ่มต้นเพียง 350 บาท ถึง 30 ก.ย.</t>
  </si>
  <si>
    <t>SG_BKK_ctnoti_netcore_single_N_N_active_20250829_1200_sg-Kozen-Sushi-Bar-sept25</t>
  </si>
  <si>
    <t>Kozen Sushi: Crafted with Perfection @MRT Farrer Park</t>
  </si>
  <si>
    <t>EN_BKK_ctnoti_netcore_single_N_N_active_20250902_1700_ads-sabio-bangkok-sep25</t>
  </si>
  <si>
    <t>Sabio Bangkok Now Serves Buffet! 🇪🇸🍷</t>
  </si>
  <si>
    <t>Enjoy unlimited Spanish tapas from Singapore’s iconic tapas bar — now at its brand-new home in the heart of EMSphere! Starting from just 1,190 THB</t>
  </si>
  <si>
    <t>TH_BKK_ctnoti_netcore_single_N_N_active_20250902_1700_ads-sabio-bangkok-sep25</t>
  </si>
  <si>
    <t>Sabio Bangkok มีบุฟเฟต์แล้ว!! 🇪🇸🍷</t>
  </si>
  <si>
    <t>สัมผัสรสชาติทาปาสสเปนที่แรกในสิงค์โปรแบบไม่อั้น มาเยือนแล้วในบ้านหลังใหม่ใจกลางเอ็มสเฟียร์ เริ่มต้นเพียง 1,190 บาท เท่านั้น จองเลย</t>
  </si>
  <si>
    <t>6028, 6072</t>
  </si>
  <si>
    <t>EN_BKK_ctnoti_netcore_group_N_N_active_20250903_1100_weekly-new-week1-sep25</t>
  </si>
  <si>
    <t>🟢 First Wednesday New Restaurants Are Here! 🍽️🎉</t>
  </si>
  <si>
    <t>Kick off the month with this week’s newly launched restaurants! 🎊And Be one of the first 5 to book &amp; review each new spot and get up to 200 THB off — FREE!</t>
  </si>
  <si>
    <t>TH_BKK_ctnoti_netcore_group_N_N_active_20250903_1100_weekly-new-week1-sep25</t>
  </si>
  <si>
    <t>🟢 พุธแรกกันยา มีร้านมาใหม่เพียบ</t>
  </si>
  <si>
    <t>ประเดิมพูะแรกของเดือนกับร้านมาใหม่ประจำสัปดาห์ พิเศษ! เมื่อจองพร้อมรีวิวเป็น 5 คนแรก ของร้านใหม่แต่ละร้าน รับฟรี! ส่วนลดสูงสุด 200 บาท</t>
  </si>
  <si>
    <t>SG_BKK_ctnoti_netcore_single_N_N_active_20250829_1300_sg-Vatos-Kitchen-Bar-sept25</t>
  </si>
  <si>
    <t>Vatos Kitchen &amp; Bar: New on Hungry Hub!!</t>
  </si>
  <si>
    <t>The search results show promotions like Happy Hour, Lunch Specials, Beer Bucket Specials, and Margarita Mondays, but do not specifically list a "Come X Pay X" offer.</t>
  </si>
  <si>
    <t>EN_BKK_ctnoti_netcore_mkt_N_N_active_20250903_1500_ssd-hungry-hub-fast-track-sep25</t>
  </si>
  <si>
    <t>Get Up to 5,000 THB in Free Vouchers! 🎁</t>
  </si>
  <si>
    <t>Unlock exclusive Fast Track perks — just purchase gift cards with the required value to instantly upgrade to Gold or Platinum, and receive free vouchers worth up to 5,000 THB! Available now until 30 Sep only</t>
  </si>
  <si>
    <t>TH_BKK_ctnoti_netcore_mkt_N_N_active_20250903_1500_ssd-hungry-hub-fast-track-sep25</t>
  </si>
  <si>
    <t>รับเวาเชอร์ฟรี สูงสุด 5,000 บาท</t>
  </si>
  <si>
    <t>มาอัปเกรดสิทธิพิเศษที่มากกว่ากับ Fast Track เพียงซื้อกิฟต์การ์ดครบยอดที่กำหนด ขึ้นเป็น Gold หรือ Platinum ทันที และรับเวาเชอร์สูงสุด 5,000 บาทฟรี วันนี้ - 30 ก.ย. เท่านั้น</t>
  </si>
  <si>
    <t>EN_BKK_ctnoti_netcore_single_N_N_active_20250903_1700_ssd-asok-pethouse-sep25</t>
  </si>
  <si>
    <t>🐱 Up to 20% OFF at Asok Pethouse!</t>
  </si>
  <si>
    <t>Take a relaxing break with adorable cats at this cozy café and enjoy delicious international dishes at great value — starting from just 150 THB per person. Available now until 30 Sep only</t>
  </si>
  <si>
    <t>TH_BKK_ctnoti_netcore_single_N_N_active_20250903_1700_ssd-asok-pethouse-sep25</t>
  </si>
  <si>
    <t>🐱 ลดสูงสุด 20% กับ Asok Pethouse</t>
  </si>
  <si>
    <t>พักฮีลใจกับคาเฟ่พร้อมพบกับเหล่าน้องแมวน้อยน่ารัก และอิ่มอร่อยกับเมนูนานาชาติสุดคุ้ม เริ่มต้นเพียงคนละ 150 บาท วันนี้ - 30 ก.ย. เท่านั้น</t>
  </si>
  <si>
    <t>EN_BKK_ctnoti_netcore_single_N_N_active_20250904_1100_ssd-bangkok-78-sep25</t>
  </si>
  <si>
    <t>Come 4 Pay 3 at Bangkok'78! 🇹🇭🍛</t>
  </si>
  <si>
    <t>Enjoy 90 mins of unlimited Thai à la carte with 1 special dish per person — only 742 THB until 30 Sep!</t>
  </si>
  <si>
    <t>TH_BKK_ctnoti_netcore_single_N_N_active_20250904_1100_ssd-bangkok-78-sep25</t>
  </si>
  <si>
    <t>มา 4 จ่าย 3 กับ Bangkok'78 🇹🇭🍛</t>
  </si>
  <si>
    <t>อาหารไทยอลาคาสไม่อั้น 90 นาทีเต็ม ทั้งกุ้งทอดซอสมะขาม ทะเลผัดฉ่า และอีกมากมาย พร้อมเลือกรับ 1 เมนูพิเศษต่อท่าน เพียง 742 บาท วันนี้ - 30 ก.ย. เท่านั้น</t>
  </si>
  <si>
    <t>SG_BKK_ctnoti_netcore_single_N_N_active_20250903_1700_sg-Wine-Universe-Singapore-sept25</t>
  </si>
  <si>
    <t>Calling All Vino Enthusiasts🍷🍷</t>
  </si>
  <si>
    <t>At Wine Universe Singapore, every aficionado finds their perfect pour.</t>
  </si>
  <si>
    <t>SG_BKK_ctnoti_netcore_single_N_N_active_20250904_1500_sg-Winestone-Mercure-sept25</t>
  </si>
  <si>
    <t>WINESTONE: A Taste to Remember</t>
  </si>
  <si>
    <t>Where wine meets stone-fired flavors —Indulge in crafted wines and wholesome cuisine at Mercure. from S$42.</t>
  </si>
  <si>
    <t>EN_BKK_ctnoti_netcore_single_N_N_active_20250904_1500_ssd-bajika-restaurant-sep25</t>
  </si>
  <si>
    <t>20% OFF at Bajika Restaurant! 🌶️</t>
  </si>
  <si>
    <t>Dine from noon till midnight with Thai, Isaan &amp; seafood set menus — from just 399 THB per person. Until 30 Sep!</t>
  </si>
  <si>
    <t>TH_BKK_ctnoti_netcore_single_N_N_active_20250904_1500_ssd-bajika-restaurant-sep25</t>
  </si>
  <si>
    <t>ลด 20% กับ Bajika Restaurant 🌶️</t>
  </si>
  <si>
    <t>อร่อยตั้งแต่เที่ยงวันถึงเที่ยงคืน กับเซ็ตอาหารไทย อีสาน ซีฟู้ด ราคาพิเศษเริ่มต้นเพียงคนละ 399 บาทต่อท่าน ถึง 30 ก.ย. เท่านั้น</t>
  </si>
  <si>
    <t>EN_BKK_ctnoti_netcore_group_N_N_active_20250904_1700_ads-ssd-time-s-dining-sep25</t>
  </si>
  <si>
    <t>🔥 Time’s Dining Turns Up the Heat</t>
  </si>
  <si>
    <t>Rain or shine, it’s all-you-can-eat Japanese goodness — sushi, sashimi, omakase, and more! Come 3, Pay 2 — starting at just 253 THB</t>
  </si>
  <si>
    <t>TH_BKK_ctnoti_netcore_group_N_N_active_20250904_1700_ads-ssd-time-s-dining-sep25</t>
  </si>
  <si>
    <t>🔥 Time's Dining โปรเดือด รับกันยา</t>
  </si>
  <si>
    <t>เดือดรับหน้าฝน กับโปรมา 3 จ่าย 2 อิ่มไม่อั้นกับอาหารญี่ปุ่น ทั้งซูชิ ซาชิมิ เมนูโอมากาเสะ และอีกมากมาย เริ่มต้น 253 บาท เท่านั้น</t>
  </si>
  <si>
    <t>SG_BKK_ctnoti_netcore_single_N_N_active_20250904_1900_sg-Food-Exchange-sept25</t>
  </si>
  <si>
    <t>Food Exchange: Where Cultures Meet</t>
  </si>
  <si>
    <t>A global dining adventure, right in the heart of Stevens. Savor fresh seafood, grills, and international delights daily. From S$27.</t>
  </si>
  <si>
    <t>SG_BKK_ctnoti_netcore_single_N_N_active_20250905_1100_sg-Wonderland-Upside-Down-sept25</t>
  </si>
  <si>
    <t>Whimsy Meets Flavor — From S$86</t>
  </si>
  <si>
    <t>A unique, Instagram-worthy dining adventure — from S$86 only. Dine in style with quirky charm</t>
  </si>
  <si>
    <t>EN_BKK_ctnoti_netcore_mkt_N_N_active_20250905_1100_ssd-subscription-voucher-sep25</t>
  </si>
  <si>
    <t>One-Time Purchase, 3 Months of Rewards! 🎉</t>
  </si>
  <si>
    <t>Unlock exclusive deals with Hungry Hub's Subscription Voucher — starting from just 19 THB, and get up to 1,500 THB in vouchers. Available until 30 Sep only</t>
  </si>
  <si>
    <t>Yes, it contains an offer, but not in the "Come X Pay X" format.</t>
  </si>
  <si>
    <t>TH_BKK_ctnoti_netcore_mkt_N_N_active_20250905_1100_ssd-subscription-voucher-sep25</t>
  </si>
  <si>
    <t>ซื้อครั้งเดียว ใช้ยาวๆไปเลย 3 เดือน!!!🎉</t>
  </si>
  <si>
    <t>โปรลับเฉพาะลูกค้า Hungry Hub กับ Subscription Voucher จ่ายเริ่มต้นเพียง 19 บาท รับเวาเชอร์รวมสูงสุดถึง 1,500 บาท วันนี้ - 30 ก.ย.</t>
  </si>
  <si>
    <t>EN_BKK_ctnoti_netcore_group_N_N_active_20250905_1500_ssd-beef-express-sep25</t>
  </si>
  <si>
    <t>Come 4 Pay 3 at Beef Express! 🥩</t>
  </si>
  <si>
    <t>Enjoy unlimited premium steaks, fried bites, soups, salads &amp; pasta — starting from just 592 THB. Available until 30 Sep only</t>
  </si>
  <si>
    <t>TH_BKK_ctnoti_netcore_group_N_N_active_20250905_1500_ssd-beef-express-sep25</t>
  </si>
  <si>
    <t>มา 4 จ่าย 3 กัับ Beef Express 🥩</t>
  </si>
  <si>
    <t>จัดเต็มกับเมนูสเต็กพรีเมียม พร้อมเมนูของทอด ซุป สลัด พาสต้าไม่อั้น เริ่มต้นเพียง 592 บาท วันนี้ - 30 ก.ย. เท่านั้น</t>
  </si>
  <si>
    <t>EN_BKK_ctnoti_netcore_single_N_N_active_20250905_1700_ads-ruenton-restaurant-sep25</t>
  </si>
  <si>
    <t>Montien Chicken Rice Buffet is Here!</t>
  </si>
  <si>
    <t>Now at Ruenton Restaurant, enjoy unlimited dim sum, the iconic Montien chicken rice, and classic Chinese dishes with a Come 2, Pay 1 deal — starting at just 875 THB</t>
  </si>
  <si>
    <t>TH_BKK_ctnoti_netcore_single_N_N_active_20250905_1700_ads-ruenton-restaurant-sep25</t>
  </si>
  <si>
    <t>ข้าวมันไก่มณเฑียรบุฟเฟต์ อยู่ที่นี่แล้ว</t>
  </si>
  <si>
    <t>มาแรงไม่หยุดกับ ห้องอาหารเรือนต้น พร้อมโปรมา 2 จ่าย 1 ทานได้ไม่อั้นกับเมนูติ่มซำ ข้าวมันไก่มณเฑียร และอาหารจีนอีกมากมาย เริ่มต้น 875 บาท</t>
  </si>
  <si>
    <t>EN_BKK_ctnoti_netcore_camp_N_N_active_20250906_1100_ssd-bai-yun-banyan-tree-sep25_</t>
  </si>
  <si>
    <t>Come 3 Pay 2 at Bai Yun, Banyan Tree! 🥢</t>
  </si>
  <si>
    <t>TH_BKK_ctnoti_netcore_camp_N_N_active_20250906_1100_ssd-bai-yun-banyan-tree-sep25_</t>
  </si>
  <si>
    <t>มา 3 จ่าย 2 กับ Bai Yun Banyan Tree 🥢</t>
  </si>
  <si>
    <t>EN_BKK_ctnoti_netcore_group_N_N_active_20250906_1500_ssd-cafe22-by-courtyard-sep25</t>
  </si>
  <si>
    <t>Cafe22 Unlimited Seafood Delight! 🦐</t>
  </si>
  <si>
    <t>Feast on river prawns, oysters &amp; more — all-you-can-eat for 2 full hours at just 888 THB. Available until 30 Sep only</t>
  </si>
  <si>
    <t>TH_BKK_ctnoti_netcore_group_N_N_active_20250906_1500_ssd-cafe22-by-courtyard-sep25</t>
  </si>
  <si>
    <t>Cafe22 Unlimited Seafood Delight 🦐</t>
  </si>
  <si>
    <t>สดจากทะเล ทานได้แบบไม่จำกัด 2 ชั่วโมงกับเมนูซีฟู้ดหลากหลายทั้งกุ้งแม่น้ำ หอยนางรม และอีกมากมาย พิเศษเพียง 888 บาท วันนี้ - 30 ก.ย.</t>
  </si>
  <si>
    <t>EN_BKK_ctnoti_netcore_single_N_N_active_20250906_1700_ssd-biscotti-anantara-siam-sep25</t>
  </si>
  <si>
    <t>Biscotti Indulge in 3-Course Luxury 🇮🇹</t>
  </si>
  <si>
    <t>Savor an elevated Italian dining experience at Anantara Siam — now 25% off, just 1,350 THB (from 1,800 THB).Offer valid until 30 Sep only.</t>
  </si>
  <si>
    <t>TH_BKK_ctnoti_netcore_single_N_N_active_20250906_1700_ssd-biscotti-anantara-siam-sep25</t>
  </si>
  <si>
    <t>ลด 25% กับ Biscotti Anantara Siam</t>
  </si>
  <si>
    <t>ลิ้มลอง 3 คอร์สดินเนอร์อิตาเลียนหรู ต้อนรับสุดสัปดาห์ ในราคาพิเศษเพียง 1,350 บาท จากปกติ 1,800 บาท วันนี้ - 30 ก.ย. เท่านั้น</t>
  </si>
  <si>
    <t>EN_BKK_ctnoti_netcore_single_N_N_active_20250907_1100_ssd-chon-som-at-courtyard-sep25</t>
  </si>
  <si>
    <t>Chon Som Come 4 Pay 3 Buffet 🍴</t>
  </si>
  <si>
    <t>Enjoy 90 minutes of unlimited international delights from multiple stations — starting at just 592 THB! Promo valid ‘til 30 Sep only</t>
  </si>
  <si>
    <t>TH_BKK_ctnoti_netcore_single_N_N_active_20250907_1100_ssd-chon-som-at-courtyard-sep25</t>
  </si>
  <si>
    <t>มา 4 จ่าย 3 กับ Chon Som 🍴</t>
  </si>
  <si>
    <t>อิ่มไม่อั้นกับบุฟเฟต์นานาชาติ จากหลากหลายสเตชั่น ในราคาพิเศษเริ่มต้นเพียง 592 บาท วันนี้ถึง 30 ก.ย. เท่านั้น จองเลย</t>
  </si>
  <si>
    <t>EN_BKK_ctnoti_netcore_single_N_N_active_20250907_1500_ssd-chao-nua-thong-sep25</t>
  </si>
  <si>
    <t>Chao Nua Thong 20% Off Deal🔥</t>
  </si>
  <si>
    <t>Famous grilled beef spot from Kanchanaburi now at Kaset Nawamin! Starting from just 345 THB — valid until 30 Sep only</t>
  </si>
  <si>
    <t>TH_BKK_ctnoti_netcore_single_N_N_active_20250907_1500_ssd-chao-nua-thong-sep25</t>
  </si>
  <si>
    <t>เจ้าเนื้อทอง ลดจัดหนัก 20% 🔥</t>
  </si>
  <si>
    <t>สายเนื้อย่างต้องห้ามพลาด กับร้านเนื้อเจ้าเด็ดจากกาญจนบุรี มาเยือนแล้วที่เกษตรนวมินทร์ เริ่มต้นเพียง 345 บาท วันนี้ - 30 ก.ย. เท่านั้น</t>
  </si>
  <si>
    <t>EN_BKK_ctnoti_netcore_single_N_N_active_20250907_1700_ssd-chu-grill-shabu-sep25</t>
  </si>
  <si>
    <t>Come 4 Pay 3 at Chu Grill Shabu 🔥</t>
  </si>
  <si>
    <t>Enjoy all-you-can-eat shabu, sushi, sashimi, and premium meats at just 593 THB/person. The more, the merrier — until 30 Sep only!</t>
  </si>
  <si>
    <t>TH_BKK_ctnoti_netcore_single_N_N_active_20250907_1700_ssd-chu-grill-shabu-sep25</t>
  </si>
  <si>
    <t>มา 4 จ่าย 3 กับ Chu Grill Shabu</t>
  </si>
  <si>
    <t>ยิ่งมาเยอะ ยิ่งจ่ายน้อย กับบุฟเฟต์ชาบู ซูชิ ซาชิมิ ไปจนถึงเนื้อพรีเมียม และอีกมากมาย ในราคาพิเศษเพียง 593 บาทต่อท่าน วันนี้ - 30 ก.ย. เท่านั้น</t>
  </si>
  <si>
    <t>TH_BKK_ctnoti_netcore_group_N_N_active_20250908_1500_ssd-charoen-rung-rueang-sep25</t>
  </si>
  <si>
    <t>🔥 เจริญรุ่งเรือง มา 3 จ่ายแค่ 2 !!</t>
  </si>
  <si>
    <t>โปรพิเศษเฉพาะทุกวันจันทร์-ศุกร์ กับบุฟเฟต์นานาชาติมื้อเที่ยง เต็มอิ่มไม่อั้นทั้งเป็ดปักกิ่ง กุ้งแม่น้ำ เนื้อวากิว พร้อมเมนูพิเศษไม่อั้น</t>
  </si>
  <si>
    <t>EN_BKK_ctnoti_netcore_group_N_N_active_20250908_1500_ssd-charoen-rung-rueang-sep25</t>
  </si>
  <si>
    <t>🔥 Come 3 Pay 2 at Charoen Rung Rueang</t>
  </si>
  <si>
    <t>Weekday lunch buffet just got better! Enjoy unlimited Peking duck, river prawns, wagyu beef &amp; more, Mon–Fri only. Don’t miss out!</t>
  </si>
  <si>
    <t>EN_BKK_ctnoti_netcore_single_N_N_active_20250908_1700_ssd-224-winesphere-sep25</t>
  </si>
  <si>
    <t>🍷 15% OFF at 224 Winesphere</t>
  </si>
  <si>
    <t>Wine lovers, this one’s for you! Chill at this Ari wine bar and customize your combo set — starting at just 361 THB/person. Book now!</t>
  </si>
  <si>
    <t>TH_BKK_ctnoti_netcore_single_N_N_active_20250908_1700_ssd-224-winesphere-sep25</t>
  </si>
  <si>
    <t>🍷 ลด 15% กับ 224 Winesphere</t>
  </si>
  <si>
    <t>สายไวน์เชิญทางนี้ กับไวน์บาร์ฟิลดีใน่านอารีย์ กับแพ็กเกจสุดพิเศษเลือกเมนูคอมโบในเซ็ตได้ตามสไตล์ เริ่มต้นเพียงคนละ 361 บาท เท่านั้น</t>
  </si>
  <si>
    <t>EN_BKK_ctnoti_netcore_single_N_N_active_20250908_1900_ads-ruenton-restaurant-sep25</t>
  </si>
  <si>
    <t>🥢 Ruenton Buffet Come 2 Pay 1</t>
  </si>
  <si>
    <t>Feast on Montien’s signature Hainanese Chicken Rice, Emperor-style dim sum &amp; more — just 875 THB/person. Book now!</t>
  </si>
  <si>
    <t>TH_BKK_ctnoti_netcore_single_N_N_active_20250908_1900_ads-ruenton-restaurant-sep25</t>
  </si>
  <si>
    <t>🥢 มา 2 จ่าย 1 กับ ห้องอาหารเรือนต้น</t>
  </si>
  <si>
    <t>ยกขบวนบุฟเฟต์ติ่มซำจักรพรรดิและอาหารจีน ทั้งข้าวมันไก่มณเฑียร ปลากระพงนึ่งซอสซีฟู้ด และอีกมากมาย เพียง 875 บาท ต่อท่าน จองเลย</t>
  </si>
  <si>
    <t>EN_BKK_ctnoti_netcore_partner_N_N_active_20250909_1100_krungsri-sep25</t>
  </si>
  <si>
    <t>TH_BKK_ctnoti_netcore_partner_N_N_active_20250909_1100_krungsri-sep25</t>
  </si>
  <si>
    <t>EN_BKK_ctnoti_netcore_single_N_N_active_20250909_1500_ssd-akato-bkk-sep25</t>
  </si>
  <si>
    <t>🍣 Omakase Buy 2 Get 1 Free!</t>
  </si>
  <si>
    <t>Modern Japanese omakase at AKATO BKK — choose from Standard or Premium set. From just 460 THB. Until 30 Nov only!</t>
  </si>
  <si>
    <t>TH_BKK_ctnoti_netcore_single_N_N_active_20250909_1500_ssd-akato-bkk-sep25</t>
  </si>
  <si>
    <t>🍣 ซื้อ 2 จ่ายแค่ 1 กับ AKATO BKK</t>
  </si>
  <si>
    <t>คุ้มเกินคุ้ม กับคอร์สโอมากาเสะโมเดิร์น สไตล์ญี่ปุ่นแท้ๆ เลือกได้ทั้งแบบ Standard และ Premium เริ่มต้นเพียง 460 บาท ต่แพ็กเกจ วันนี้ - 30 พ.ย. เท่านั้น</t>
  </si>
  <si>
    <t>EN_BKK_ctnoti_netcore_single_N_N_active_20250909_1700_ads-kohaku-sep25</t>
  </si>
  <si>
    <t>🍣 Kohaku Omakase Is Here!</t>
  </si>
  <si>
    <t>Fall in love with authentic Edomae-style omakase. 10 premium courses from only 1,165 THB (was 1,364 THB)!</t>
  </si>
  <si>
    <t>TH_BKK_ctnoti_netcore_single_N_N_active_20250909_1700_ads-kohaku-sep25</t>
  </si>
  <si>
    <t>🍣 Kohaku Omakase มาแล้ว</t>
  </si>
  <si>
    <t>โอมากาเสะเอโดะมาเอะที่อาจจะทำให้คุณหลงรัก เริ่มต้นที่ 10 คอร์สสุดพรีเมียม ในราคาพิเศษเพียง 1,165 บาท จากปกติ 1,364 บาท เท่านั้น</t>
  </si>
  <si>
    <t>SG_BKK_ctnoti_netcore_single_N_N_active_20250905_1100_sg-fook-kin-sept25</t>
  </si>
  <si>
    <t>Up to 44% OFF @ Fook Kin</t>
  </si>
  <si>
    <t>EN_BKK_ctnoti_netcore_group_N_N_active_20250910_1100_weekly-new-week2-sep25</t>
  </si>
  <si>
    <t>TH_BKK_ctnoti_netcore_group_N_N_active_20250910_1100_weekly-new-week2-sep25</t>
  </si>
  <si>
    <t>SG_BKK_ctnoti_netcore_single_N_N_active_20250910_1400_sg-Shrimp-Prawn-Seafood-sept25</t>
  </si>
  <si>
    <t>Free Lobster Awaits 🦞✨</t>
  </si>
  <si>
    <t>Dive into Shrimp Prawn Seafood’s Premium Sharing Set for 2–3 and enjoy a complimentary lobster worth $88. Up to 50% OFF!</t>
  </si>
  <si>
    <t>EN_BKK_ctnoti_netcore_single_N_N_active_20250910_1500_ssd-copper-aquarium-sep25</t>
  </si>
  <si>
    <t>🌊 Dine Under the Sea at Copper Aquarium!</t>
  </si>
  <si>
    <t>Come 2 Pay 1 Unlimited seafood &amp; international buffet with underwater shows — only 777 THB till Sept 30.</t>
  </si>
  <si>
    <t>TH_BKK_ctnoti_netcore_single_N_N_active_20250910_1500_ssd-copper-aquarium-sep25</t>
  </si>
  <si>
    <t>🌊 มา 2 จ่าย 1 กับ Copper Aquarium</t>
  </si>
  <si>
    <t>นานาชาติ X ซีฟู้ด สั่งได้ไม่อั้น พร้อมกับสัมผัสประสบการณ์ใต้ท้องทะเล ชมโชว์สุดพิเศษมากมาย เพียง 777 บาท วันนี้ - 30 ก.ย. เท่านั้น</t>
  </si>
  <si>
    <t>EN_BKK_ctnoti_netcore_single_N_N_active_20250910_1700_ads-82-concept-sep25</t>
  </si>
  <si>
    <t>🍴 Thai Flavors at 82 Concept!</t>
  </si>
  <si>
    <t>From just 396 THB! Enjoy rich, authentic Thai dishes in Party Packs or all-you-can-eat buffet style. Book now!</t>
  </si>
  <si>
    <t>TH_BKK_ctnoti_netcore_single_N_N_active_20250910_1700_ads-82-concept-sep25</t>
  </si>
  <si>
    <t>🍴 อิ่่มคุ้มกับ 82 Concept เริ่มต้น 396 บาท</t>
  </si>
  <si>
    <t>อิ่มอร่อยกับอาหารไทยรสชาติถึงเครื่อง เลือกได้ตามใจทั้งเซ็ตเมนูแบ Party Pack หรือ บุฟเฟต์สั่งได้ไม่อั้น จองเลย</t>
  </si>
  <si>
    <t>EN_BKK_ctnoti_netcore_single_N_N_active_20250911_1100_ssd-deja-brew-sep25</t>
  </si>
  <si>
    <t>🥂 Come 2 Pay 1 at Deja Brew!</t>
  </si>
  <si>
    <t>TH_BKK_ctnoti_netcore_single_N_N_active_20250911_1100_ssd-deja-brew-sep25</t>
  </si>
  <si>
    <t>🥂 มา 2 จ่าย 1 กับ Deja Brew</t>
  </si>
  <si>
    <t>EN_BKK_ctnoti_netcore_single_N_N_active_20250911_1500_ssd-hagi-centara-sep25</t>
  </si>
  <si>
    <t>🍣 Come 4 Pay 3 at Hagi Japanese Buffet!</t>
  </si>
  <si>
    <t>Enjoy over 100 à la carte dishes for 90 mins — now only 749 THB/person (from 999). Until 30 Sep only!</t>
  </si>
  <si>
    <t>TH_BKK_ctnoti_netcore_single_N_N_active_20250911_1500_ssd-hagi-centara-sep25</t>
  </si>
  <si>
    <t>🍣 มา 4 จ่าย 3 กับ Hagi Centara Grand</t>
  </si>
  <si>
    <t>จัดหนักกว่า 100 เมนู กับเมนูอลาคาสสไตล์ญี่ปุ่นไม่อั้น กว่า 90 นาทีเต็ม พิเศษ 749 บาทต่อท่าน จากปกติ 999 บาท วันนี้ - 30 ก.ย. เท่านั้น</t>
  </si>
  <si>
    <t>EN_BKK_ctnoti_netcore_single_N_N_active_20250911_1700_ads-ssd-man-fu-lou-v1-sep25</t>
  </si>
  <si>
    <t>🥟 Premium Dim Sum Buffet Only 799 THB!</t>
  </si>
  <si>
    <t>Weekday exclusive at Man Fu Lou — enjoy premium dim sum buffet for just 799 THB (from 1,199). Until 30 Sep!</t>
  </si>
  <si>
    <t>TH_BKK_ctnoti_netcore_single_N_N_active_20250911_1700_ads-ssd-man-fu-lou-v1-sep25</t>
  </si>
  <si>
    <t>🥟 ติ่มซำพรีเมียมบุฟเฟต์ ไม่ถึง 800 บาท</t>
  </si>
  <si>
    <t>โปรแรงเฉพาะวันจันทร์-ศุกร์ กับ บุฟเฟต์ติ่มซำพรีเมียมจากหม่าน ฟู่ โหลว เฉพาะวันธรรมดาเพียง 799 บาท จากปกติ 1,199 บาท วันนี้ - 30 ก.ย.</t>
  </si>
  <si>
    <t>Premium Dim Sum Buffet less than 800 Baht</t>
  </si>
  <si>
    <t>EN_BKK_ctnoti_netcore_single_N_N_active_20250912_1100_ssd-laohu-shabu-buffet</t>
  </si>
  <si>
    <t>🔥 Come 4 Pay 3 at Laohu Shabu Buffet!</t>
  </si>
  <si>
    <t>Unlimited premium pork &amp; beef shabu — book via Hungry Hub and enjoy unlimited Thai-French beef! Until 30 Sep only!</t>
  </si>
  <si>
    <t>TH_BKK_ctnoti_netcore_single_N_N_active_20250912_1100_ssd-laohu-shabu-buffet</t>
  </si>
  <si>
    <t>🔥 มา 4 จ่าย 3 กับ Laohu Shabu Buffet</t>
  </si>
  <si>
    <t>สายชาบูจองกันด่วนๆ กับโปรบุฟเฟต์สุดร้อนแรง อิ่มไม่อั้นกับเนื้อและหมูพรีเมียม พิเศษจองผ่าน Hungry Hub สั่งเนื้อโคขุนไม่อั้น ถึง 30 ก.ย.</t>
  </si>
  <si>
    <t>EN_BKK_ctnoti_netcore_single_N_N_active_20250912_1500_ssd-house-of-chandra-sep25</t>
  </si>
  <si>
    <t>🍮 Come 2 Pay 1 at House of Chandra!</t>
  </si>
  <si>
    <t>Unlimited daily Thai desserts like Alua, Luk Chup, and more — just 199 THB! Until 30 Sep only.</t>
  </si>
  <si>
    <t>TH_BKK_ctnoti_netcore_single_N_N_active_20250912_1500_ssd-house-of-chandra-sep25</t>
  </si>
  <si>
    <t>🍮 มา 2 จ่าย 1 กับ House of Chandra</t>
  </si>
  <si>
    <t>เติมความหวานไม่อั้น กับบุฟเฟต์ขนมไทยประจำวัน อาทิ กลีบลำดวน, อาลัว, อาลัวผลไม้ และอีกมากมาย เพียง 199 บาทต่อท่าน วันนี้ - 30 ก.ย. เท่านั้น</t>
  </si>
  <si>
    <t>TH_BKK_ctnoti_netcore_single_N_N_active_20250912_1700_ads-throwback-rooftop-sep25</t>
  </si>
  <si>
    <t>🍹 ศุกร์เย็น ก็สนุกได้ กับ Throwback Rooftop</t>
  </si>
  <si>
    <t>ปาร์ตี้ให้สุด แล้วมาอิ่มอร่อยกับ 7 เมนูที่คุณเลือกได้ พร้อมเครื่องดื่มค็อกเทล 2 แก้วต่อท่าน เพียง 3,999 บาท สำหรับ 4 ท่าน จองเลย</t>
  </si>
  <si>
    <t>SG_BKK_ctnoti_netcore_single_N_N_active_20250912_1700_sg-Town-at-Fullerton-sept25</t>
  </si>
  <si>
    <t>Feast by the River — 25% OFF 🌊</t>
  </si>
  <si>
    <t>International lunch &amp; dinner buffet spreads from S$52.75. Book now &amp; save up to 25%!</t>
  </si>
  <si>
    <t>SG_BKK_ctnoti_netcore_single_N_N_active_20250912_1730_sg-Courtyard-at-Fullerton-sept25</t>
  </si>
  <si>
    <t>Super September Afternoon Tea Bliss ✨</t>
  </si>
  <si>
    <t>Experience The Courtyard’s signature afternoon tea in an iconic setting — enjoy up to 20% OFF this September!</t>
  </si>
  <si>
    <t>SG_BKK_ctnoti_netcore_single_N_N_active_20250912_1800_sg-La-Brasserie-sept25</t>
  </si>
  <si>
    <t>Weekend Brunch, Super September Style 🍷</t>
  </si>
  <si>
    <t>La Brasserie’s 3–4 course weekend indulgence starts from S$74. Enjoy up to 20% OFF this September!</t>
  </si>
  <si>
    <t>EN_BKK_ctnoti_netcore_single_N_N_active_20250913_1100_ssd-guilty-anantara-siam-sep25</t>
  </si>
  <si>
    <t>🥂 Luxe Sunday Brunch – Come 3 Pay 2!</t>
  </si>
  <si>
    <t>Enjoy unlimited Lobster, Peking Duck &amp; Wagyu at Guilty, Anantara Siam. Just 1,993 THB/person. Until 30 Sep!</t>
  </si>
  <si>
    <t>TH_BKK_ctnoti_netcore_single_N_N_active_20250913_1100_ssd-guilty-anantara-siam-sep25</t>
  </si>
  <si>
    <t>🥂 มา 3 จ่าย 2 กับ Guilty Anantara Siam</t>
  </si>
  <si>
    <t>จัดเต็มกับบุฟเฟต์ Sunday Brunch สุดหรู ยกขบวนทั้ง เป็ดปักกิ่ง ล็อบสเตอร์ วากิว และอีกมากมาย เพียง 1,993 บาท วันนี้ - 30 ก.ย. เท่านั้น</t>
  </si>
  <si>
    <t>Yes, the offer is Come 3 Pay 2.</t>
  </si>
  <si>
    <t>SG_BKK_ctnoti_netcore_single_N_N_active_20250913_1200_sg-The-Landing-point-sept25</t>
  </si>
  <si>
    <t>Luxe Tea Time at The Fullerton 🫖</t>
  </si>
  <si>
    <t>Refined bites, stunning views, and a touch of indulgence — enjoy afternoon tea at The Landing Point, starting at S$65.</t>
  </si>
  <si>
    <t>EN_BKK_ctnoti_netcore_single_N_N_active_20250913_1500_ssd-greenhouse-restaurant-sep25</t>
  </si>
  <si>
    <t>🍽️ Come 4 Pay 3 With Greenhouse Restaurant</t>
  </si>
  <si>
    <t>Indulge in Wagyu Steak, Peking Duck, and River Prawn Tamarind—all you can eat for just 667 THB/person. Until 31 Dec only!</t>
  </si>
  <si>
    <t>SG_BKK_ctnoti_netcore_single_N_N_active_20250913_1200_sg-Oscars-At-Conrad--sept25</t>
  </si>
  <si>
    <t>A Feast You’ll Tell Stories About 🌟@Oscar's</t>
  </si>
  <si>
    <t>TH_BKK_ctnoti_netcore_single_N_N_active_20250913_1500_ssd-greenhouse-restaurant-sep25</t>
  </si>
  <si>
    <t>🍽️ มา 4 จ่าย 3 กับ Greenhouse Restaurant</t>
  </si>
  <si>
    <t>ยกคู่มาทั้งบุฟเฟต์อาหารไทยและติ่มซำ อาทิ กุ้งแม่น้ำทอดซอสมะขาม สเต็กเนื้อวากิว เป็ดปักกิ่ง เพียง 667.บาท วันนี้ถึง 31 ธ.ค. เท่านั้น</t>
  </si>
  <si>
    <t>EN_BKK_ctnoti_netcore_single_N_N_active_20250913_1700_ssd-izumidai-the-alley-sep25</t>
  </si>
  <si>
    <t>🔥 20% OFF at Izumidai The Alley</t>
  </si>
  <si>
    <t>Feast on over 100 premium items including Salmon Sashimi, Wagyu Steak, Tempura &amp; more—starting from just 390 THB. Book now!</t>
  </si>
  <si>
    <t>TH_BKK_ctnoti_netcore_single_N_N_active_20250913_1700_ssd-izumidai-the-alley-sep25</t>
  </si>
  <si>
    <t>🔥 ลด 20% กับ Izumidai The Alley</t>
  </si>
  <si>
    <t>จัดเต็มความอร่อยที่คุณจะต้องเลิฟแน่นอน ทั้ง แซลมอนซาซิมิ สเต็กเนื้อวากิว เทมปุระ และอีกมากมายกว่า 100 เมนู พิเศษเริ่มต้น 390 บาท จองเลย</t>
  </si>
  <si>
    <t>EN_BKK_ctnoti_netcore_single_N_N_active_20250914_1100_ssd-jw-cafe-at-jw-marriott-sep25</t>
  </si>
  <si>
    <t>🥂 Come 2 Pay 1 at JW Café!</t>
  </si>
  <si>
    <t>Enjoy a premium buffet brunch, breakfast, or dinner — all-you-can-eat starting from just 495 THB. Until Sep 30 only!</t>
  </si>
  <si>
    <t>TH_BKK_ctnoti_netcore_single_N_N_active_20250914_1100_ssd-jw-cafe-at-jw-marriott-sep25</t>
  </si>
  <si>
    <t>มา 2 จ่าย 1 กับ JW Café</t>
  </si>
  <si>
    <t>สุดคุ้มกับมื้อบรันช์อาทิตย์ มื้อเช้า หรือ ดินเนอร์บุฟเฟต์แบบไม่อั้น พร้อมขบวนเมนูนานาชาติระดับพรีเมียม เริ่มต้นเพียง 495 บาท วันนี้ - 30 ก.ย.</t>
  </si>
  <si>
    <t>EN_BKK_ctnoti_netcore_single_N_N_active_20250914_1500_ssd-jim-thompson-sep25</t>
  </si>
  <si>
    <t>✨ 20% Off at Jim Thompson</t>
  </si>
  <si>
    <t>Elevate your Thai dining experience in a silk-filled, elegant atmosphere — now from just 690 THB/person. Until Sep 30 only!</t>
  </si>
  <si>
    <t>TH_BKK_ctnoti_netcore_single_N_N_active_20250914_1500_ssd-jim-thompson-sep25</t>
  </si>
  <si>
    <t>✨ Jim Thompson ลด 20%</t>
  </si>
  <si>
    <t>ก้าวสู่นิยามใหม่ ของอาหารไทยร่วมสมัย ในบรรยากาศสุดพิเศษที่ตกแต่งด้วยผ้าไหมอันงดงาม พิเศษเริ่มต้นเพียง 690 บาท ต่อท่าน วันนี้ - 30 ก.ย.</t>
  </si>
  <si>
    <t>EN_BKK_ctnoti_netcore_single_N_N_active_20250914_1700_ssd-kaenkrung-sep25</t>
  </si>
  <si>
    <t>🔥 20% Off at Kaen Krung</t>
  </si>
  <si>
    <t>Discover modern Isan fine dining like never before with our exclusive Tasting Set Menu. Book now — promo ends Sep 30!</t>
  </si>
  <si>
    <t>TH_BKK_ctnoti_netcore_single_N_N_active_20250914_1700_ssd-kaenkrung-sep25</t>
  </si>
  <si>
    <t>แก่นกรุง ลด 20%</t>
  </si>
  <si>
    <t>เปิดมิติใหม่ ต้องมาจองก่อนใคร กับ Tasting Set Menu ไฟน์ไดนิ่งอาหารอีสาน ในสไตล์ที่ทันสมัยกว่าเดิม ในราคาสุดพิเศษ ลดถึง 30 ก.ย. เท่านั้น</t>
  </si>
  <si>
    <t>TH_BKK_ctnoti_netcore_single_N_N_active_20250915_1100_ssd-jass-bar-bistro-sep25</t>
  </si>
  <si>
    <t>🍳 มา 2 จ่าย 1 กับ Jass Bar &amp; Bistro</t>
  </si>
  <si>
    <t>สตาร์ทสัปดาห์ใหม่ กับบุฟเฟต์ Breakfast ทั้ง สลัดบาร์, เมนูจานหลัก, รวมไปถึงอาหารสไตล์เอเชียและยุโรป เพียง 226 บาท วันนี้ - 30 ก.ย.</t>
  </si>
  <si>
    <t>EN_BKK_ctnoti_netcore_single_N_N_active_20250915_1100_ssd-jass-bar-bistro-sep25</t>
  </si>
  <si>
    <t>🍳 2-for-1 Breakfast Buffet!</t>
  </si>
  <si>
    <t>Kickstart your week with an all-you-can-eat breakfast at Jass Bar &amp; Bistro. Asian, European, salads &amp; mains — just THB 226! Until Sep 30.</t>
  </si>
  <si>
    <t>SG_BKK_ctnoti_netcore_single_N_N_active_20250829_1500_sg-Hongdae-korean-bbq-sept25</t>
  </si>
  <si>
    <t>Hongdae Korean BBQ: New on Hungry Hub!!</t>
  </si>
  <si>
    <t>EN_BKK_ctnoti_netcore_single_N_N_active_20250915_1500_ssd-charoen-rung-rueang-rama-3-sep25</t>
  </si>
  <si>
    <t>🥢 4 Dine, Only Pay for 3!</t>
  </si>
  <si>
    <t>Weekday indulgence at Charoen Rung Ruan (MS Siam Tower)! All-you-can-eat buffet with seafood, Japanese delights &amp; exclusive dishes. Until Sep 30 only!</t>
  </si>
  <si>
    <t>TH_BKK_ctnoti_netcore_single_N_N_active_20250915_1500_ssd-charoen-rung-rueang-rama-3-sep25</t>
  </si>
  <si>
    <t>มา 4 จ่าย 3 กับ เจริญรุ่งเรือง บุฟเฟต์!!</t>
  </si>
  <si>
    <t>คุ้มทุกจันทร์ถึงศุกร์ กับขบวนุฟเฟต์นานาชาติ ซีฟู้ด อาหารญี่ปุ่น พร้อมเมนูพิเศษสั่งได้ไม่อั้น เฉพาะที่สาขา MS Siam Tower ถึง 30 ก.ย.</t>
  </si>
  <si>
    <t>EN_BKK_ctnoti_netcore_single_N_N_active_20250915_1700_ssd-subscription-voucher-sep25</t>
  </si>
  <si>
    <t>💳 Pay 19 THB, Get Up to 1,500 THB!</t>
  </si>
  <si>
    <t>Don’t miss Hungry Hub’s hot Subscription Voucher deal — buy from just 19 THB and receive up to 1,500 THB in value. Until 30 Sep only!</t>
  </si>
  <si>
    <t>TH_BKK_ctnoti_netcore_single_N_N_active_20250915_1700_ssd-subscription-voucher-sep25</t>
  </si>
  <si>
    <t>💳 ซื้อเริ่มต้น 19 บาท ได้สูงสุดถึง 1,500 บาท</t>
  </si>
  <si>
    <t>ห้ามพลาดโปรแรง กับ Subscription Voucher ซื้อเวาเชอร์เริ่มต้นเพียง 19 บาท รับเวาเชอร์รวมสูงสุดถึง 1,500 บาท วันนี้ - 30 ก.ย. เท่านั้น</t>
  </si>
  <si>
    <t>offer: Yes, Come: No, Pay: Yes</t>
  </si>
  <si>
    <t>TH_BKK_ctnoti_netcore_single_N_N_active_20250916_1100_ssd-kunshine-hotpot-asok-sep25</t>
  </si>
  <si>
    <t>🔥 อะไรนะ วากิวบุฟเฟต์ A5 ไม่ถึงพัน!!!</t>
  </si>
  <si>
    <t>โปรแรงเอาใจสายหม้อไฟ กับ Kunshine Hotpot สั่งวากิว A4 และ A5 ได้ไม่อั้น ในราคาสุดพิเศษ เริ่มต้น 619 บาทต่อท่าน วันนี้ - 6 พ.ย. เท่านั้น</t>
  </si>
  <si>
    <t>EN_BKK_ctnoti_netcore_single_N_N_active_20250916_1100_ssd-kunshine-hotpot-asok-sep25</t>
  </si>
  <si>
    <t>🔥 A5 Wagyu Hotpot Buffet from 619 THB!</t>
  </si>
  <si>
    <t>Craving premium meat? Dive into unlimited A4–A5 Wagyu at Kunshine Hotpot starting from just 619 THB per person. Until 6 Nov only!</t>
  </si>
  <si>
    <t>EN_BKK_ctnoti_netcore_single_N_N_active_20250916_1500_zeta-cafe-sep25</t>
  </si>
  <si>
    <t>🥤❤️ FREE Coca-Cola Bag!</t>
  </si>
  <si>
    <t>Dine 4 Pay 3 at Zeta Café (Dinner) and get a free Coca-Cola bag! Just follow the easy steps—click for details.</t>
  </si>
  <si>
    <t>TH_BKK_ctnoti_netcore_single_N_N_active_20250916_1500_zeta-cafe-sep25</t>
  </si>
  <si>
    <t>🥤❤️ แจกฟรี! กระเป๋าผ้าจาก "โค้ก"</t>
  </si>
  <si>
    <t>เมื่อจองแพ็กเกจมื้อเย็น มา 4 จ่าย 3 จาก Zeta Café Holiday Inn Bangkok และทำตามเงื่อนไข ดูรายละเอียดเพิ่มเติม คลิกเลยที่นี่</t>
  </si>
  <si>
    <t>EN_BKK_ctnoti_netcore_single_N_N_active_20250916_1700_ssd-stock-room-sep25</t>
  </si>
  <si>
    <t>Dine 4 Pay 3 at Stock.Room! 🍽️</t>
  </si>
  <si>
    <t>Dive into the Sea+Land Dinner Buffet with unlimited seafood, grilled meats, and more—starting from just THB 742/person. Book now!</t>
  </si>
  <si>
    <t>TH_BKK_ctnoti_netcore_single_N_N_active_20250916_1700_ssd-stock-room-sep25</t>
  </si>
  <si>
    <t>มา 4 จ่าย 3 กับ Stock.Room</t>
  </si>
  <si>
    <t>Sea+Land Dinner Buffet อิ่มโดนๆทั้งซีฟู้ด เนื้อย่างพรีเมียม และอีกมากมาย เริ่มต้นเพียง 742 บาทต่อท่านเท่านั้น รีบจองเลย</t>
  </si>
  <si>
    <t>EN_BKK_ctnoti_netcore_group_N_N_active_20250917_1100_weekly-new-week3-sep25</t>
  </si>
  <si>
    <t>TH_BKK_ctnoti_netcore_group_N_N_active_20250917_1100_weekly-new-week3-sep25</t>
  </si>
  <si>
    <t>EN_BKK_ctnoti_netcore_single_N_N_active_20250917_1500_ssd-57th-street-sep25</t>
  </si>
  <si>
    <t>Dine 3 Pay 2 at 57th Street! 🦀</t>
  </si>
  <si>
    <t>Enjoy unlimited snow crab legs and a wide array of international buffet delights — now only THB 660 from the original price of THB 990. Until 31 Oct only!</t>
  </si>
  <si>
    <t>TH_BKK_ctnoti_netcore_single_N_N_active_20250917_1500_ssd-57th-street-sep25</t>
  </si>
  <si>
    <t>ยกขบวน ขาปูหิมะ ไม่อั้น พร้อมบบุฟเฟต์นานาชาติหลากหลายสไตล์ ในราคาสุดพิเศษเพียง 660 บาท จากปกติ 990 บาท ถึง 31 ต.ค. เท่านั้น</t>
  </si>
  <si>
    <t>EN_BKK_ctnoti_netcore_single_N_N_active_20250917_1700_ssd-sos-shabu-sep25</t>
  </si>
  <si>
    <t>Dine 4 Pay 3 at SOS Shabu! 🍲</t>
  </si>
  <si>
    <t>Indulge in unlimited shabu buffet with beef, pork, seafood, refillable drinks, and ice cream — all for just THB 276! Until 30 Sept only.</t>
  </si>
  <si>
    <t>TH_BKK_ctnoti_netcore_single_N_N_active_20250917_1700_ssd-sos-shabu-sep25</t>
  </si>
  <si>
    <t>มา 4 จ่าย 3 กับ SOS Shabu 🍲</t>
  </si>
  <si>
    <t>จัดหนักกับบุฟเฟต์ชาบู เนื้อวัว เนื้อหมู ซีฟู้ด พร้อมเครื่องดื่มรีฟิลและไอศกรีมไม่อั้น เพียง 276 บาท วันนี้ - 30 ก.ย. เท่านั้น จองเลย</t>
  </si>
  <si>
    <t>EN_BKK_ctnoti_netcore_single_N_N_active_20250918_1100_ssd-orchid-cafe-at-sheraton-sep25</t>
  </si>
  <si>
    <t>Come 2 Pay 1 at Orchid Café 🌸</t>
  </si>
  <si>
    <t>Indulge in a luxurious international and seafood buffet at a 5-star hotel setting — all at a special rate starting from only THB 834! Until 30 Sept only.</t>
  </si>
  <si>
    <t>TH_BKK_ctnoti_netcore_single_N_N_active_20250918_1100_ssd-orchid-cafe-at-sheraton-sep25</t>
  </si>
  <si>
    <t>มา 2 จ่าย 1 กับ Orchid Cafe 🌸</t>
  </si>
  <si>
    <t>เต็มอิ่มครบทุกสไตล์ทั้งบุฟเฟต์นานาชาติ ซีฟู้ด ในบรรยากาศหรูใจกลางโรงแรม 5 ดาว ในราคาพิเศษ เริ่มต้นเพียง 834 บาท วันนี้ - 30 ก.ย. เท่านั้น</t>
  </si>
  <si>
    <t>SG_BKK_ctnoti_netcore_single_N_N_active_20250918_1200_sg-China-Taste-sept25</t>
  </si>
  <si>
    <t>China taste - Authentic Flavors, Real Savings</t>
  </si>
  <si>
    <t>Classic Chinese cuisine at up to 45% OFF — limited time only!</t>
  </si>
  <si>
    <t>EN_BKK_ctnoti_netcore_single_N_N_active_20250918_1500_ads-ssd-praya-kitchen-sep25</t>
  </si>
  <si>
    <t>🦞 Durian &amp; Seafood Buffet Madness – Just THB 1,049!</t>
  </si>
  <si>
    <t>Don’t miss this 4-pay-3 deal at Praya Kitchen! Dive into unlimited seafood from the iconic Signature Seafood Wall plus seasonal durian buffet, all for just THB 1,049</t>
  </si>
  <si>
    <t>SG_BKK_ctnoti_netcore_single_N_N_active_20250918_1500_sg-Korat-thai-sept25</t>
  </si>
  <si>
    <t>Korat Thai Café - Spice Meets Savings 🌶️</t>
  </si>
  <si>
    <t>Bold Thai flavors at 36% OFF — this deal won’t last!</t>
  </si>
  <si>
    <t>TH_BKK_ctnoti_netcore_single_N_N_active_20250918_1500_ads-ssd-praya-kitchen-sep25</t>
  </si>
  <si>
    <t>🦞 ทุเรียน + ซีฟู้ดไม่อั้น พิเศษ 1,049 บาท!</t>
  </si>
  <si>
    <t>โปรมา 4 จ่าย 3 จาก Praya Kitchen จัดหนักทั้งซิกเนเจอร์ซีฟู้ดวอลล์ และบุฟเฟต์หลากหลายธีม พร้อมทุเรียนไม่อั้น เพียง 1,049 บาทเท่านั้น</t>
  </si>
  <si>
    <t>EN_BKK_ctnoti_netcore_single_N_N_active_20250918_1700_ssd-vertigo-too-banyan-tree-sep25</t>
  </si>
  <si>
    <t>🌆🍽️ Come 2 Pay 1 at Vertigo TOO</t>
  </si>
  <si>
    <t>Rain or shine, the million-dollar view at Sathorn is always stunning. Indulge in a luxurious international buffet with free-flow mocktails—all for just THB 1,799. Until 30 Sept only!</t>
  </si>
  <si>
    <t>TH_BKK_ctnoti_netcore_single_N_N_active_20250918_1700_ssd-vertigo-too-banyan-tree-sep25</t>
  </si>
  <si>
    <t>🌆🍽️ มา 2 จ่าย 1 กัับ Vertigo TOO</t>
  </si>
  <si>
    <t>ชมวิวหลักล้านใจกลางสาทรแบบไม่ต้องกลัวฝน พร้อมทานบุฟเฟต์นานาชาติสุดหรู พร้อมม็อกเทลไม่อั้น เพียง 1,799 บาท วันนี้ - 30 ก.ย. เท่านั้น</t>
  </si>
  <si>
    <t>SG_BKK_ctnoti_netcore_single_N_N_active_20250918_1700_sg-Heavens-Lotus-sept25</t>
  </si>
  <si>
    <t>Heaven's Lotus - Thai Elegance, Big Deals 🌸</t>
  </si>
  <si>
    <t>Authentic creations with upto 41% OFF — It's a Shiok Deal!! Reserve your table now</t>
  </si>
  <si>
    <t>EN_BKK_ctnoti_netcore_single_N_N_active_20250919_1100_ssd-seasonal-tastes-sep25</t>
  </si>
  <si>
    <t>Friday &amp; Saturday Seafood Buffet — 2 for 1! 🦞</t>
  </si>
  <si>
    <t>Grilled meat, fresh seafood, and unlimited buffet at Seasonal Tastes. Just THB 912 per person. Until Sept 30!</t>
  </si>
  <si>
    <t>TH_BKK_ctnoti_netcore_single_N_N_active_20250919_1100_ssd-seasonal-tastes-sep25</t>
  </si>
  <si>
    <t>ศุกร์นี้ต้องมา Seafood &amp; Grill Dinner</t>
  </si>
  <si>
    <t>เต็มอิ่่มกับบุฟเฟต์ซีฟู้ดและปิ้งย่างสำหรับมื้อค่ำ ทุกวันศุกร์และเสาร์ ที่ Seasonal Tastes พร้อมโปรมา 2 จ่าย 1 เพียง 912 บาท วันนี้ - 30 ก.ย. เท่านั้น</t>
  </si>
  <si>
    <t>SG_BKK_ctnoti_netcore_single_N_N_active_20250919_1500_sg-lazy-Lizard-sept25</t>
  </si>
  <si>
    <t>Lazy Lizard Lands on Hungry Hub 🎉</t>
  </si>
  <si>
    <t>Singapore’s favorite chain is here! Enjoy delicious bites &amp; drinks from just S$33 — book fast before tables fill up.</t>
  </si>
  <si>
    <t>EN_BKK_ctnoti_netcore_single_N_N_active_20250919_1500_ssd-romsai-banyan-tree-sep25</t>
  </si>
  <si>
    <t>Romsai Banyan Tree — Buy 1 Get 1 Free!</t>
  </si>
  <si>
    <t>Enjoy a lavish international buffet with free-flow sparkling wine and half lobster per person. Available for Fri–Sat dinner and Sunday brunch. Until Sept 30</t>
  </si>
  <si>
    <t>TH_BKK_ctnoti_netcore_single_N_N_active_20250919_1500_ssd-romsai-banyan-tree-sep25</t>
  </si>
  <si>
    <t>มา 2 จ่าย 1 กับ Romsai Banyan Tree</t>
  </si>
  <si>
    <t>ทานไม่อั้นกับบุฟเฟต์นานาชาติพร้อมสปาร์กลิงไวน์ไม่อั้น และล็อบสเตอร์ครึ่งตัวต่อท่าน เฉพาะศุกร์-เสาร์ ดินเนอร์ และ บรันช์วันอาทิตย์ ถึง 30 ก.ย.</t>
  </si>
  <si>
    <t>SG_BKK_ctnoti_netcore_single_N_N_active_20250919_1700_sg-The-Writing-Club-sept25</t>
  </si>
  <si>
    <t>Whisky + Feast = Perfect Evening 🥃</t>
  </si>
  <si>
    <t>Sharing sets &amp; whisky bottles at seriously slashed prices. Snag yours before they sell out.</t>
  </si>
  <si>
    <t>EN_BKK_ctnoti_netcore_single_N_N_active_20250919_1700_ssd-red-oven-so-bangkok-sep25</t>
  </si>
  <si>
    <t>An Elevated Feast Awaits 🍽️✨</t>
  </si>
  <si>
    <t>Dine at Red Oven with 40+ buffet dishes and premium creations. Enjoy 2 for the price of 1 — just 1,118 THB. Ends Sept 30!</t>
  </si>
  <si>
    <t>TH_BKK_ctnoti_netcore_single_N_N_active_20250919_1700_ssd-red-oven-so-bangkok-sep25</t>
  </si>
  <si>
    <t>Red Oven มา 2 จ่ายแค่ 1</t>
  </si>
  <si>
    <t>ยกระดับดินเนอร์ให้พิเศษกว่าใคร กับเมนูบุฟเฟต์กว่า 40 รายการ พร้อมเมนูพิเศษ ในราคาพิเศษเพียง 1,118 บาท วันนี้ - 30 ก.ย. เท่านั้น</t>
  </si>
  <si>
    <t>SG_BKK_ctnoti_netcore_single_N_N_active_20250919_1900_sg-Waa-Cow-Vivocity-sept25</t>
  </si>
  <si>
    <t>Waa Cow! VivoCity</t>
  </si>
  <si>
    <t>Wagyu Like Never Before at VivoCity. Indulge in flame-torched Wagyu donburis &amp; bold Japanese flavors. Seats fill fast — don’t miss out!</t>
  </si>
  <si>
    <t>Information on a "Come X Pay X" offer is not available in the provided context.</t>
  </si>
  <si>
    <t>EN_BKK_ctnoti_netcore_single_N_N_active_20250920_1100_mungkorn-seafood-x-you-hunt-we-cook-sep25</t>
  </si>
  <si>
    <t>A Seafood Feast Like No Other 🧡</t>
  </si>
  <si>
    <t>Experience Mungkorn Seafood x You Hunt We Cook signature dishes in buffet style for the very first time. Featuring Lobster Rice Bowl, premium marinated salmon, and live seafood — only 958 THB!</t>
  </si>
  <si>
    <t>TH_BKK_ctnoti_netcore_single_N_N_active_20250920_1100_mungkorn-seafood-x-you-hunt-we-cook-sep25</t>
  </si>
  <si>
    <t>มังกรซีฟู้ด X You Hunt We Cook มาแล้ว!!</t>
  </si>
  <si>
    <t>ครั้งแรกกับบุฟเฟต์ทะเลเดือด ยยกขบวนทั้งข้าวหน้ากุ้งมังกรแกะ แซลมอนดองซีอิ๊ว ปูทะเลเป็น กุ้งเป็น และอีกเพียบ เพียง 958 บาท เท่านั้น</t>
  </si>
  <si>
    <t>EN_BKK_ctnoti_netcore_single_N_N_active_20250920_1500_ssd-the-district-grill-room-sep25</t>
  </si>
  <si>
    <t>2 for 1 Deal at The District Grill Room!</t>
  </si>
  <si>
    <t>Unlimited foie gras, wagyu tartare, striploin, and dessert buffet – 1,990 THB for two. This is steakhouse heaven.</t>
  </si>
  <si>
    <t>TH_BKK_ctnoti_netcore_single_N_N_active_20250920_1500_ssd-the-district-grill-room-sep25</t>
  </si>
  <si>
    <t>มา 2 จ่าย 1 กับ The District Grill Room</t>
  </si>
  <si>
    <t>สั่งฟัวกราส์พรีเมียมแบบไม่อั้น พร้อมบุฟเฟต์อลาคาส ของหวานกว่า 20+ รายการ ทั้งวากิวทาร์ทาร์ สตริปลอยน์ เพียง 1,990 บาท</t>
  </si>
  <si>
    <t>EN_BKK_ctnoti_netcore_single_N_N_active_20250920_1700_ssd-omakase-ten-sep25_</t>
  </si>
  <si>
    <t>Buy 2 Pay 1 at Omakase Ten 🍣</t>
  </si>
  <si>
    <t>Yes, the offer is Buy 2 Pay 1, which fits the "Come X Pay X" structure.</t>
  </si>
  <si>
    <t>TH_BKK_ctnoti_netcore_single_N_N_active_20250920_1700_ssd-omakase-ten-sep25_</t>
  </si>
  <si>
    <t>🍣 ซื้อ 2 จ่าย 1 กับ Omakase Ten</t>
  </si>
  <si>
    <t>yes</t>
  </si>
  <si>
    <t>EN_BKK_ctnoti_netcore_single_N_N_active_20250921_1100_ssd-savio-at-chatrium-sep25</t>
  </si>
  <si>
    <t>Come 3 Pay 2 at Savio, Chatrium Grand 🍽️</t>
  </si>
  <si>
    <t>Indulge in an exceptional dinner buffet with rotating themed nights, available Sunday to Friday at just 999 THB per person. Until Sept 30 only!</t>
  </si>
  <si>
    <t>TH_BKK_ctnoti_netcore_single_N_N_active_20250921_1100_ssd-savio-at-chatrium-sep25</t>
  </si>
  <si>
    <t>มา 3 จ่าย 2 กับ Savio at Chatrium Grand 🍽️</t>
  </si>
  <si>
    <t>ทุกวันอาทิตย์ถึงวันศุกร์ ดื่มด่ำกับดินเนอร์บุฟเฟต์สุดพิเศษ พร้อมธีมอาหารไม่ซ้ำแต่ละคืน ในราคาพิเศษ 999 บาท วันนี้ - 30 ก.ย. เท่านั้น</t>
  </si>
  <si>
    <t>EN_BKK_ctnoti_netcore_single_N_N_active_20250921_1500_ssd-xin-tian-di-crowne-plaza-sep25</t>
  </si>
  <si>
    <t>Come 3 Pay 2 at Xin Tian Di 🥟</t>
  </si>
  <si>
    <t>Enjoy all-you-can-eat dim sum with classic Chinese dishes in a premium setting. Book via Hungry Hub to receive an exclusive tasting menu (1 dish per person) for FREE! Only 592 THB per person, now until Dec 30.</t>
  </si>
  <si>
    <t>TH_BKK_ctnoti_netcore_single_N_N_active_20250921_1500_ssd-xin-tian-di-crowne-plaza-sep25</t>
  </si>
  <si>
    <t>มา 3 จ่่าย 2 กับ Xin Tian Di 🥟</t>
  </si>
  <si>
    <t>ต่อความคุ้มต่อเนื่องกับบุฟเฟต์ติ่มซำไม่อั้น พิเศษ! จองผ่าน Hungry Hub รับเมนูเทสติ้ง 1 เสิร์ฟต่อท่าน เพียง 592 บาท วันนี้ - 30 ธ.ค. เท่านั้น</t>
  </si>
  <si>
    <t>EN_BKK_ctnoti_netcore_single_N_N_active_20250921_1700_ssd-river-barge-at-chatrium-sep25</t>
  </si>
  <si>
    <t>Seafood Splash: Come 4 Pay 3 🦞</t>
  </si>
  <si>
    <t>Splash into the night with a premium seafood buffet featuring cold cuts, BBQ, and Western delights — now only 1,267 THB per person</t>
  </si>
  <si>
    <t>TH_BKK_ctnoti_netcore_single_N_N_active_20250921_1700_ssd-river-barge-at-chatrium-sep25</t>
  </si>
  <si>
    <t>Seafood Splash Seafood</t>
  </si>
  <si>
    <t>สแปลชความสดรับยามเย็นกับบุฟเฟต์ซีฟู้ด ตะวันตก โคลด์คัท บาร์ีคิว และอีกมากมาย พร้อมโปรมา 4 จ่าย 3 เพียง 1,267 บาท เท่านั้น</t>
  </si>
  <si>
    <t>TH_BKK_ctnoti_netcore_single_N_N_active_20250922_1500_ssd-sui-sian-restaurant-sep25</t>
  </si>
  <si>
    <t>🥢 จะวันไหนก็จัดหนักบุฟเฟต์ติ่มซำได้!!</t>
  </si>
  <si>
    <t>คุ้มทุกวันกับโปรมา 4 จ่าย 3 จาก ซุย เซียน โรงแรมแลนด์มาร์ค เต็มอิ่มกับติ่มซำ เมนูอาหารจีนสไตล์กวางตุ้ง และอีกมากมาย ถึง 30 ก.ย. เท่านั้น</t>
  </si>
  <si>
    <t>EN_BKK_ctnoti_netcore_single_N_N_active_20250922_1500_ssd-sui-sian-restaurant-sep25</t>
  </si>
  <si>
    <t>Dim Sum Every Day – Come 4 Pay 3 🥢</t>
  </si>
  <si>
    <t>Enjoy an unlimited premium dim sum buffet with authentic Cantonese dishes at Sui Sian, The Landmark Bangkok. Book via Hungry Hub now — valid until 30 Sep only!</t>
  </si>
  <si>
    <t>TH_BKK_ctnoti_netcore_single_N_N_active_20250922_1700_ssd-tsuru-saru-sep25</t>
  </si>
  <si>
    <t>Tsuru Saru ลด 20% 🇯🇵</t>
  </si>
  <si>
    <t>ฟินแบบสไตล์ญี่ปุ่น กับเซ็ตอลาคาส พร้อมส่่วนลดสุดพิเศษกว่า 20% ตั้งแต่วันนี้จนถึง 30 ก.ย. 68 เท่านั้น จองเลย</t>
  </si>
  <si>
    <t>EN_BKK_ctnoti_netcore_single_N_N_active_20250922_1700_ssd-tsuru-saru-sep25</t>
  </si>
  <si>
    <t>Get 20% OFF at Tsuru Saru 🇯🇵</t>
  </si>
  <si>
    <t>Indulge in authentic Japanese à la carte sets with a special 20% discount — no promo code needed! Valid until 30 Sep 2025 only via Hungry Hub</t>
  </si>
  <si>
    <t>EN_BKK_ctnoti_netcore_single_N_N_active_20250922_1900_ssd-atrium-restaurant-sep25</t>
  </si>
  <si>
    <t>Come 2 Pay 1 at Atrium Restaurant 🍴</t>
  </si>
  <si>
    <t>Enjoy premium international buffets — lunch, dinner, or weekend brunch — starting from just THB 873/person. Book with Hungry Hub by Sep 30</t>
  </si>
  <si>
    <t>TH_BKK_ctnoti_netcore_single_N_N_active_20250922_1900_ssd-atrium-restaurant-sep25</t>
  </si>
  <si>
    <t>มา 2 จ่าย 1 กับ Atrium Restaurant 🍴</t>
  </si>
  <si>
    <t>อิ่มได้ในราคาที่คุ้มกว่า กับบุฟเฟต์มื้อเที่ยง ดินเนอร์ หรือบรันช์สุดสัปดาห์ เริ่มต้นเพียง 873 บาท วันนี้ - 30 ก.ย. เท่านั้น</t>
  </si>
  <si>
    <t>EN_BKK_ctnoti_netcore_single_N_N_active_20250923_1100_ssd-khao-wireless-road-sep25</t>
  </si>
  <si>
    <t>Get 15% OFF at “Khao – Wireless Road” 🇹🇭</t>
  </si>
  <si>
    <t>Indulge in a 4-course premium Thai set menu — choose your favorites like River Prawn Chu-Chee Curry or Australian Wagyu Waterfall Beef. Limited time only, until Sep 30!</t>
  </si>
  <si>
    <t>TH_BKK_ctnoti_netcore_single_N_N_active_20250923_1100_ssd-khao-wireless-road-sep25</t>
  </si>
  <si>
    <t>ข้าว ถนนวิทยุ ลดพิเศษ 15% 🇹🇭</t>
  </si>
  <si>
    <t>จัดด่วนกับเซ็ตอาหารไทยสุดพรีเมียม 4 จาน เลือกได้ตามใจทั้ง ฉู่ฉี่กุ้งแม่น้ำใหญ่พิเศษ เนื้อออสเตรเลียวากิวย่างน้ำตก วันนี้ - 30 ก.ย. เท่านั้น</t>
  </si>
  <si>
    <t>EN_BKK_ctnoti_netcore_single_N_N_active_20250923_1500_ssd-dynasty-centara-grand-sep25</t>
  </si>
  <si>
    <t>Come 4 Pay 3 at Dynasty Centara Grand 🥢</t>
  </si>
  <si>
    <t>Enjoy a premium Chinese buffet with over 36 items including dim sum, Peking duck, fried rice &amp; more — plus special seasonal dishes. Just 817 THB/person. Valid until Sep 30 only!</t>
  </si>
  <si>
    <t>TH_BKK_ctnoti_netcore_single_N_N_active_20250923_1500_ssd-dynasty-centara-grand-sep25</t>
  </si>
  <si>
    <t>มา 4 จ่าย 3 กับ Dynasty Centara Grand 🥢</t>
  </si>
  <si>
    <t>ยกระดับที่สุดของบุฟเฟต์อาหารจีน กับเมนูคัดสรรมาให้ทานแบบไม่อั้นกว่า 36 เมนู พร้อมเมนูพิเศษ เพียง 817 บาท ถึง 30 ก.ย. เท่านั้น</t>
  </si>
  <si>
    <t>EN_BKK_ctnoti_netcore_single_N_N_active_20250923_1700_ads-ssd-ava-brasserie-sep25</t>
  </si>
  <si>
    <t>Come 3 Pay 2 at AVA Brasserie 🥂</t>
  </si>
  <si>
    <t>Enjoy a special weekday dinner with a semi-buffet featuring seafood, cold cuts, cheese, and desserts — all for just 777 THB/person until Sep 30 only!</t>
  </si>
  <si>
    <t>TH_BKK_ctnoti_netcore_single_N_N_active_20250923_1700_ads-ssd-ava-brasserie-sep25</t>
  </si>
  <si>
    <t>มา 3 จ่าย 2 กับ AVA Brasserie 🥂</t>
  </si>
  <si>
    <t>โปรดินเนอร์สุดพิเศษ เฉพาะวันจันทร์-ศุกร์ กับ Semi-buffet จากสเตชั่นหลากหลายสไตล์ ไม่ว่าจะเป็นซีฟู้ด โคลด์คัทและชีส ของหวาน เพียง 777 บาท วันนี้ - 30 ก.ย. เท่านั้น</t>
  </si>
  <si>
    <t>EN_BKK_ctnoti_netcore_single_N_N_active_20250924_1100_weekly-new-week4-sep25</t>
  </si>
  <si>
    <t>TH_BKK_ctnoti_netcore_single_N_N_active_20250924_1100_weekly-new-week4-sep25</t>
  </si>
  <si>
    <t>EN_BKK_ctnoti_netcore_group_N_N_active_20250924_1500_ssd-neta-grill-sep25</t>
  </si>
  <si>
    <t>Come 3 Pay 2 at Neta Grill! 🍖</t>
  </si>
  <si>
    <t>Enjoy unlimited BBQ with beef, pork, Japanese dishes &amp; snacks. Starting at just 350 THB/person. 📅 Now – Sep 30 only!</t>
  </si>
  <si>
    <t>TH_BKK_ctnoti_netcore_group_N_N_active_20250924_1500_ssd-neta-grill-sep25</t>
  </si>
  <si>
    <t>Neta Grill มา 3 จ่ายแค่ 2!!</t>
  </si>
  <si>
    <t>อิ่มไม่อั้นกับบุฟเฟต์ปิ้งย่างสุดฟิน ทั้งเนื้อ หมู อาหารญี่ปุ่น และของทานเล่น เริ่มต้นเพียง 350 บาท/ท่าน วันนี้ – 30 ก.ย. เท่านั้น</t>
  </si>
  <si>
    <t>EN_BKK_ctnoti_netcore_single_N_N_active_20250924_1700_ads-ssd-akako-omakase-sep25</t>
  </si>
  <si>
    <t>🍣 Buy 1 Get 1 Free at Akako Omakase!</t>
  </si>
  <si>
    <t>Enjoy a 14-course omakase for only 1,200 THB (from 2,400 THB). Limited time only – Book by Dec 8!</t>
  </si>
  <si>
    <t>TH_BKK_ctnoti_netcore_single_N_N_active_20250924_1700_ads-ssd-akako-omakase-sep25</t>
  </si>
  <si>
    <t>🍣 มา 1 ฟรี 1 ที่ Akako Omakase</t>
  </si>
  <si>
    <t>โอมากาเสะ 14 คอร์สสุดพรีเมียม เหลือเพียง 1,200 บาท จากปกติ 2,400 บาทเท่านั้น! จองได้ตั้งแต่วันนี้ – 8 ธ.ค. รีบด่วนก่อนเต็ม!</t>
  </si>
  <si>
    <t>EN_BKK_ctnoti_netcore_single_N_N_active_20250925_1100_ssd-the-berkeley-dining-room-sep25</t>
  </si>
  <si>
    <t>Come 2 Pay 1 at The Berkeley Dining Room! 🦐</t>
  </si>
  <si>
    <t>All-you-can-eat seafood buffet featuring grilled river prawns, fresh oysters &amp; more. Live cooking stations await — until Oct 31 only!</t>
  </si>
  <si>
    <t>TH_BKK_ctnoti_netcore_single_N_N_active_20250925_1100_ssd-the-berkeley-dining-room-sep25</t>
  </si>
  <si>
    <t>มา 2 จ่าย 1 กับ The Berkeley Dining Room 🦐</t>
  </si>
  <si>
    <t>ยกซีฟู้ดสดๆ มาเสริฟแบบไม่อั้น อัดแน่นด้วยกุ้งแม่น้ำเผา หอยนางรม และอีกเพียบ พร้อม Live Cooking Stations ในราคาสุดพิเศษ ถึง 31 ต.ค. จองเลย</t>
  </si>
  <si>
    <t>EN_BKK_ctnoti_netcore_single_N_N_active_20250925_1500_ssd-ratchapruek-seafood-sep25</t>
  </si>
  <si>
    <t>Come 3 Pay 2 at Ratchapruek Seafood Buffet! 🦐🔥</t>
  </si>
  <si>
    <t>3.5-hour all-you-can-eat feast with over 90 seafood items — tiger prawns, lobsters, grilled river prawns &amp; more! Just 1,032 THB/person · Until Oct 31 only.</t>
  </si>
  <si>
    <t>TH_BKK_ctnoti_netcore_single_N_N_active_20250925_1500_ssd-ratchapruek-seafood-sep25</t>
  </si>
  <si>
    <t>มา 3 จ่าย 2 กับ ราชพฤกษ์ซีฟู้ดบุฟเฟ่ต์ 🦐🔥</t>
  </si>
  <si>
    <t>จุใจ 3 ชั่วโมงครึ่ง กับบุฟเฟต์ซีฟู้ดทานได้แบบไม่อั้นทั้ง กุ้งลายเสือ กุ้งมังกร กุ้งแม่น้ำเผา และอีกเพียบกว่า 90 เมนู เพียง 1,032 บาท วันนี้ - 31 ต.ค. เท่านั้น</t>
  </si>
  <si>
    <t>EN_BKK_ctnoti_netcore_single_N_N_active_20250925_1700_ads-streats-cafe-at-ibis-styles-sep25</t>
  </si>
  <si>
    <t>Boiled Rice Buffet for Just 260 THB! 🍚</t>
  </si>
  <si>
    <t>Streats Cafe offers a comforting late-night buffet with rice porridge and a wide variety of à la carte dishes from multiple stations Now only 260 THB (from 399 THB)</t>
  </si>
  <si>
    <t>TH_BKK_ctnoti_netcore_single_N_N_active_20250925_1700_ads-streats-cafe-at-ibis-styles-sep25</t>
  </si>
  <si>
    <t>🍚 บุฟเฟต์ข้าวต้ม ในงบไม่เกิน 300!!</t>
  </si>
  <si>
    <t>จัดมาให้แล้ว Streats Cafe บุฟเฟต์ข้าวต้มรอบดึก พร้อมเมนูจานเดียว จากหลากหลายสเตชั่น เพียง 260 บาท จากปกติ 399 บาท จองเลย</t>
  </si>
  <si>
    <t>EN_BKK_ctnoti_netcore_single_N_N_active_20250926_1100_ssd-mimosa-mediterranean-sep25</t>
  </si>
  <si>
    <t>Over 40% Off at Mimosa! 🍷🇮🇹</t>
  </si>
  <si>
    <t>Dine in style with a premium Mediterranean-Italian set menu featuring options like Lobster Truffle, Tenderloin, and more now through 30 Sep only!</t>
  </si>
  <si>
    <t>Yes, but not "Come X Pay X". It says "Over 40% Off".</t>
  </si>
  <si>
    <t>TH_BKK_ctnoti_netcore_single_N_N_active_20250926_1100_ssd-mimosa-mediterranean-sep25</t>
  </si>
  <si>
    <t>Mimosa ลดหนักกว่า 40% 🍷🇮🇹</t>
  </si>
  <si>
    <t>อร่อยหรูแบบคุ้มค่า กับเซ็ตเมนูเมดิเตอร์เรเนียน-อิตาเลียน เลือกได้ทั้ง ล็อบสเตอร์ทรัฟเฟิล เทนเดอร์ลอยน์ และอีกมากมาย วันนี้ - 30 ก.ย. เท่านั้น</t>
  </si>
  <si>
    <t>EN_BKK_ctnoti_netcore_single_N_N_active_20250926_1500_ssd-wagyu-kurabu-sep25</t>
  </si>
  <si>
    <t>Come 4 Pay 3 at Wagyu Kurabu 🍱🍺</t>
  </si>
  <si>
    <t>Classic Japanese buffet featuring wagyu, sushi, sashimi, and izakaya-style dishes — plus free-flow beer!
From just 794 THB/person, valid until 30 Sep only</t>
  </si>
  <si>
    <t>TH_BKK_ctnoti_netcore_single_N_N_active_20250926_1500_ssd-wagyu-kurabu-sep25</t>
  </si>
  <si>
    <t>มา 4 จ่าย 3 กับ Wagyu Kurabu 🍱🍺</t>
  </si>
  <si>
    <t>คุ้มแบบคลาสสิกกับบุฟเฟต์อาหารญี่ปุ่นหลากหลายเมนู พร้อมเบียร์ไม่อั้น เริ่มต้นเพียง 794 บาท วันนี้ - 30 ก.ย. เท่านั้น จองเลย</t>
  </si>
  <si>
    <t>EN_BKK_ctnoti_netcore_single_N_N_active_20250926_1700_ssd-the-oasis-at-hotel-nikko-sep25</t>
  </si>
  <si>
    <t>Come 4 Pay 3 at The Oasis Brunch 🌿</t>
  </si>
  <si>
    <t>This Saturday, indulge in an international brunch buffet with over 100 menu items across multiple live stations — from grills to desserts! Only 1,499 THB/person, valid until 30 Sep.</t>
  </si>
  <si>
    <t>TH_BKK_ctnoti_netcore_single_N_N_active_20250926_1700_ssd-the-oasis-at-hotel-nikko-sep25</t>
  </si>
  <si>
    <t>มา 4 จ่าย 3 กัับ The Oasis 🌿</t>
  </si>
  <si>
    <t>วันเสาร์นี้ พร้อมยกทัพความอร่อยกับ Saturday Brunch Buffet ด้วยเมนูนานาชาติ ของหวาน จากหลากหลายสเตชั่นกว่า 100+ เมนู เพียง 1,499 บาท ถึง 30 ก.ย. เท่านั้น</t>
  </si>
  <si>
    <t>EN_BKK_ctnoti_netcore_single_N_N_active_20250927_1100_september-fast-track-sep25</t>
  </si>
  <si>
    <t>Last Chance to Fast Track Your Benefits 💳</t>
  </si>
  <si>
    <t>⏳ Final countdown! Buy a Hungry Hub Gift Card that meets the required amount
to instantly unlock Gold or Platinum tier — and receive up to 5,000 THB in free vouchers!  Offer ends 30 Sep 2025.</t>
  </si>
  <si>
    <t>TH_BKK_ctnoti_netcore_single_N_N_active_20250927_1100_september-fast-track-sep25</t>
  </si>
  <si>
    <t>โอกาสสุดท้าย ในการยกระดับสิทธิืพิเศษ!!</t>
  </si>
  <si>
    <t>นับถอยหลังกับ Fast Track เพียงซื้อกิฟต์การ์ดครบยอดที่กำหนด ขึ้นเป็น Gold หรือ Platinum ทันที และรับเวาเชอร์สูงสุด 5,000 บาทฟรี ถึง 30 ก.ย. เท่านั้น</t>
  </si>
  <si>
    <t>EN_BKK_ctnoti_netcore_single_N_N_active_20250927_1500_ssd-yumcha-teahouse-sep25</t>
  </si>
  <si>
    <t>Come 3 Pay 2 at Yumcha Teahouse 🍺</t>
  </si>
  <si>
    <t>Unwind your evening with freshly made dim sum, bold-flavored side dishes, and free-flow beer! Just 712 THB per person  Now – 31 Oct 2025</t>
  </si>
  <si>
    <t>TH_BKK_ctnoti_netcore_single_N_N_active_20250927_1500_ssd-yumcha-teahouse-sep25</t>
  </si>
  <si>
    <t>มา 3 จ่าย 2 กับ Yumcha Teahouse</t>
  </si>
  <si>
    <t>เฮฮายามเย็น กับบุฟเฟต์ติ่มซำทำสด กับแกล้มพร้อมชนหมดแก้ว กับบุฟเฟต์เบียร์ เพียง 712 บาท วันนี้ - 31 ต.ค. เท่านั้น</t>
  </si>
  <si>
    <t>EN_BKK_ctnoti_netcore_single_N_N_active_20250927_1700_ssd-the-map-mestyle-sep25</t>
  </si>
  <si>
    <t>Come 4 Pay 3 at THE Map Mestyle 🦞</t>
  </si>
  <si>
    <t>Enjoy a generous seafood buffet with over 30 dishes including fried seabass, grilled river prawns, salmon, and live cooking stations Only 644 THB/person. Valid until 30 September 2025.</t>
  </si>
  <si>
    <t>TH_BKK_ctnoti_netcore_single_N_N_active_20250927_1700_ssd-the-map-mestyle-sep25</t>
  </si>
  <si>
    <t>มา 4 จ่าย 3 กับ THE Map Mestyle 🦞</t>
  </si>
  <si>
    <t>จัดหนักซีฟู้ดบุฟเฟต์ กับเมนูพิเศษพิเศษกว่า 30 รายการ อาทิ ปลากะพงทอด กุ้งเผา แซลมอน Live Station และอาหารไทย เพียง 644 บาท ถึง 30 ก.ย. เท่านั้น</t>
  </si>
  <si>
    <t>EN_BKK_ctnoti_netcore_single_N_N_active_20250928_1100_ssd-trader-vic-s-at-anantara-sep25</t>
  </si>
  <si>
    <t>Come 4 Pay 3 Sunday Brunch at Trader Vic’s 🦞</t>
  </si>
  <si>
    <t>Indulge in a luxurious Sunday Brunch featuring unlimited lobster, foie gras, Alaskan crab, and more premium dishes. until 30 September 2025.</t>
  </si>
  <si>
    <t>TH_BKK_ctnoti_netcore_single_N_N_active_20250928_1100_ssd-trader-vic-s-at-anantara-sep25</t>
  </si>
  <si>
    <t>บรันช์วันอาทิตย์ ล็อบสเตอร์ไม่อั้น 🦞</t>
  </si>
  <si>
    <t>จองด่วน! กับโปรมา 4 จ่าย 3 กับ Trader Vic รวมเมนูเด็ดสั่งไม่อั้นทั้งฟัวกราส์ ล็อบสเตอร์ ปูอลาสก้า และอีกเพียบ วันนี้ - 30 ก.ย.</t>
  </si>
  <si>
    <t>EN_BKK_ctnoti_netcore_single_N_N_active_20250928_1500_ssd-subscription-voucher-sep25</t>
  </si>
  <si>
    <t>💳 Pay Just 19 THB, Get Up to 1,500 THB in Vouchers!</t>
  </si>
  <si>
    <t>Final chance to grab our Subscription Voucher deal — buy from just 19 THB and receive up to 1,500 THB in total value. Offer ends 30 September 2025</t>
  </si>
  <si>
    <t>TH_BKK_ctnoti_netcore_single_N_N_active_20250928_1500_ssd-subscription-voucher-sep25</t>
  </si>
  <si>
    <t>โอกาสสุดท้าย Subscription Voucher ซื้อเวาเชอร์เริ่มต้นเพียง 19 บาท รับเวาเชอร์รวมสูงสุดถึง 1,500 บาท วันนี้ - 30 ก.ย. เท่านั้น</t>
  </si>
  <si>
    <t>EN_BKK_ctnoti_netcore_single_N_N_active_20250928_1700_ssd-the-silk-road-the-athenee-sep25</t>
  </si>
  <si>
    <t>🧧 15% Off at The Silk Road</t>
  </si>
  <si>
    <t>Enjoy 15% off all packages featuring over 50 exquisite dishes and desserts from premium Chinese cuisine. Special price starts from just 1,099 THB per person. Until 30 Sep</t>
  </si>
  <si>
    <t>TH_BKK_ctnoti_netcore_single_N_N_active_20250928_1700_ssd-the-silk-road-the-athenee-sep25</t>
  </si>
  <si>
    <t>🧧 The Silk Road ลด 15%</t>
  </si>
  <si>
    <t>ลดทุกแพ็กเกจกับอาหารจีนพรีเมียมและของหวานรวมกว่า 50 เมนู ในราคาสุดพิเศษ เริ่มต้นเพียงคนละ 1,099 บาท วันนี้ - 30 ก.ย. เท่านั้น</t>
  </si>
  <si>
    <t>TH_BKK_ctnoti_netcore_single_N_N_active_20250929_1100_the-market-5-sep25</t>
  </si>
  <si>
    <t>🦞 The Market@5 ลดหนักสูงสุด 50%</t>
  </si>
  <si>
    <t>ลดหนักรับมื้อเที่ยง - ดินเนอร์ กับขบวนกองทัพซีฟู้ดออนไอซ์ นานาชาติ อาหารญี่ปุ่น และอีกมากมาย เริ่มต้นเพียง 675 บาท เท่านั้น จองเลย</t>
  </si>
  <si>
    <t>EN_BKK_ctnoti_netcore_single_N_N_active_20250929_1100_the-market-5-sep25</t>
  </si>
  <si>
    <t>🦞 Up to 50% Off at The Market@5!</t>
  </si>
  <si>
    <t>Big savings for lunch and dinner! Dive into a seafood-on-ice feast, international favorites, Japanese delights, and more. Prices start from just 675 THB.</t>
  </si>
  <si>
    <t>EN_BKK_ctnoti_netcore_single_N_N_active_20250929_1500_ssd-taco-hachi-sep25</t>
  </si>
  <si>
    <t>🌮 Buy 1 Get 1 Free at Taco Hachi!</t>
  </si>
  <si>
    <t>Mexican or Japanese? Why not both! Enjoy all-you-can-eat from over 50 menu items plus unlimited drinks, just 999 THB for 2 (from 1,998 THB). Available now until 30 Nov only</t>
  </si>
  <si>
    <t>TH_BKK_ctnoti_netcore_single_N_N_active_20250929_1500_ssd-taco-hachi-sep25</t>
  </si>
  <si>
    <t>🌮 มา 2 จ่าย 1 กับ Taco Hachi</t>
  </si>
  <si>
    <t>เม็กซิกัน หรือ ญี่ปุ่น ก็อิ่มได้ไม่อั้น แถมเลือกได้กว่า 50 เมนู พร้อมเครื่องดื่มไม่อั้น เพียง 999 บาท จากปกติ 1,998 บาท วันนี้ - 30 พ.ย. เท่านั้น</t>
  </si>
  <si>
    <t>EN_BKK_ctnoti_netcore_single_N_N_active_20250929_1700_ssd-vegas-cafe-gallery-sep25</t>
  </si>
  <si>
    <t>✨ 20% Off at Vegas Cafe &amp; Gallery 🎶🍽️</t>
  </si>
  <si>
    <t>Chill with live music and stylish vibes at one of Ratchaphruek’s coziest cafes. Enjoy a delicious set menu from just THB 242/person</t>
  </si>
  <si>
    <t>TH_BKK_ctnoti_netcore_single_N_N_active_20250929_1700_ssd-vegas-cafe-gallery-sep25</t>
  </si>
  <si>
    <t>✨ ลด 20% กับ Vegas Cafe &amp; Gallery</t>
  </si>
  <si>
    <t>ดื่ม ชิล ฟังดนตรีสด กับคาเฟ่ไวป์ดีในย่านราชพฤกษ์ พร้อมอิ่มอร่อบกับเซ็ตเมนูอาหารหลากหลายสไตล์ เริ่มต้นเพียง 242 บาท/ท่าน</t>
  </si>
  <si>
    <t>TH_BKK_ctnoti_netcore_camp_N_N_active_20250930_1100_last-day-super-september-deals-sep25</t>
  </si>
  <si>
    <t>วันสุดท้าย Super September Deals 🎉🔥</t>
  </si>
  <si>
    <t>ห้ามพลาดกับดีลสุดยิ่งใหญ่แห่งปี พร้อมโปรโมชั่นลดสูงสุดถึง 70% จากร้านดังมากมาย และรับเวาเชอร์ฟรีสูงสุด 5,000 บาท วันนี้ - 30 ก.ย. เท่านั้น</t>
  </si>
  <si>
    <t>EN_BKK_ctnoti_netcore_camp_N_N_active_20250930_1100_last-day-super-september-deals-sep25</t>
  </si>
  <si>
    <t>Last Day of Super September Deals 🎉🔥</t>
  </si>
  <si>
    <t>Don't Miss Biggest deals with up to 70% OFF at top restaurants, plus come more pay less deals and Get up to 5,000 THB in free voucher</t>
  </si>
  <si>
    <t>EN_BKK_ctnoti_netcore_group_N_N_active_20250930_1500_ssd-manee-me-more-sep25</t>
  </si>
  <si>
    <t>🧡 Come 4 Pay 3 at Manee Me More</t>
  </si>
  <si>
    <t>Enjoy unlimited Thai-style shrimp head fat shabu – the one and only in Thailand – plus premium meats, pork, seafood, and more! Special price: THB 577/person Now until 30 Sept only!</t>
  </si>
  <si>
    <t>TH_BKK_ctnoti_netcore_group_N_N_active_20250930_1500_ssd-manee-me-more-sep25</t>
  </si>
  <si>
    <t>🧡 มา 4 จ่าย 3 กับ มานี มีหม้อ</t>
  </si>
  <si>
    <t>อิ่มไม่อั้นกับชาบูมันกุ้ง หนึ่งเดียวในไทยแลนด์ พร้อมเมนูเนื้อ หมู ซีฟู้ด และเมนูพรีเมียมอีกมากมาย พิเศษ 577 บาท ถึง 30 ก.ย. เท่านั้น</t>
  </si>
  <si>
    <t>EN_BKK_ctnoti_netcore_single_N_N_active_20250930_1700_anchor-premium-buffet-sep25</t>
  </si>
  <si>
    <t>Come 4 Pay 3 at Anchor Premium Buffet</t>
  </si>
  <si>
    <t>Indulge in 160+ premium seafood dishes with stunning Chao Phraya river views. From just 794 THB until Sept 30!</t>
  </si>
  <si>
    <t>TH_BKK_ctnoti_netcore_single_N_N_active_20250930_1700_anchor-premium-buffet-sep25</t>
  </si>
  <si>
    <t>มา 4 จ่าย 3 Anchor Premium Buffet</t>
  </si>
  <si>
    <t>ลิ้มลองรสชาติแห่งท้องทะเล กับพรีเมี่ยมบุฟเฟต์ซีฟู้ดนานาชาติ เลือกจุใจกว่า 160 เมนู วิวแม่น้ำเจ้าพระยา พร้อมชมวิวสะพานพระราม 9 เริ่มต้นเพียง 794 เท่านั้น</t>
  </si>
  <si>
    <t>EN_BKK_ctnoti_netcore_group_N_N_active_20251001_1100_buffet-festival-oct25</t>
  </si>
  <si>
    <t>🔥 It’s On! Buffet Festival 2025 🍣🦞</t>
  </si>
  <si>
    <t>Thailand’s biggest buffet deal is here! 600+ top restaurants, crazy discounts 📍 Now–31 Oct only!</t>
  </si>
  <si>
    <t>TH_BKK_ctnoti_netcore_group_N_N_active_20251001_1100_buffet-festival-oct25</t>
  </si>
  <si>
    <t>🔥 เริ่มแล้ววันนี้ Buffet Festival 2025 🍣🦞</t>
  </si>
  <si>
    <t>ยิงใหญ่กว่าเดิมกับดีลบุฟเฟต์มากที่สุดในไทย ลดจัดหนักกว่า 600+ ร้านอาหารบุฟเฟต์ชั้นนำ พร้อมโปรยิ่งมาเยอะยิงจ่ายน้อย วันนี้  31 ต.ค. เท่านั้น</t>
  </si>
  <si>
    <t>EN_BKK_ctnoti_netcore_group_N_N_active_20251001_1500_weekly-new-week1-oct25</t>
  </si>
  <si>
    <t>🟢 First Wednesday of October = New Restaurants!</t>
  </si>
  <si>
    <t>Be among the first 5 to book &amp; review any new restaurant this week and get up to 200 THB discount</t>
  </si>
  <si>
    <t>TH_BKK_ctnoti_netcore_group_N_N_active_20251001_1500_weekly-new-week1-oct25</t>
  </si>
  <si>
    <t>🟢 พุธแรกตุลาคม มีร้านมาใหม่เพียบ</t>
  </si>
  <si>
    <t>ประเดิมพูธแรกของเดือนกับร้านมาใหม่ประจำสัปดาห์ เมื่อจองพร้อมรีวิวเป็น 5 คนแรก ของร้านใหม่แต่ละร้าน รับฟรี! ส่วนลดสูงสุด 200 บาท</t>
  </si>
  <si>
    <t>EN_BKK_ctnoti_netcore_single_N_N_active_20251001_1700_nama-japanese-and-seafood-oct25</t>
  </si>
  <si>
    <t>🍣 Tried NAMA Buffet Yet?</t>
  </si>
  <si>
    <t>Unlimited Ikura (Salmon Roe), premium Japanese &amp; seafood buffet, plus a free Premium Box Set — only via Hungry Hub!</t>
  </si>
  <si>
    <t>TH_BKK_ctnoti_netcore_single_N_N_active_20251001_1700_nama-japanese-and-seafood-oct25</t>
  </si>
  <si>
    <t>🍣 วัันนี้ลอง Nama Buffet หรือยัง?</t>
  </si>
  <si>
    <t>ที่สุดของบุฟเฟต์ "ไข่แซลมอน" ตักได้ไม่อั้น พร้อมอาหารญี่ปุ่นและซีฟู้ดพรีเมียม และรับ Premium Box Set เฉพาะจองผ่าน Hungry Hub เท่านั้น</t>
  </si>
  <si>
    <t>TH_BKK_ctnoti_netcore_partner_N_N_active_20251002_1100_bangkok-airway-oct25</t>
  </si>
  <si>
    <t>🎁 Fast Rewards Fest ใช้คะแนนแลกลดสูงสุด 40%</t>
  </si>
  <si>
    <t>สิทธิพิเศษสำหรับลูกค้า FlyerBonus ใช้คะแนนแลกรับ คูปองส่วนลดจองร้านอาหารผ่าน Hungry Hub สูงสุดถึง 400 บาท วันนี้ - 31 ต.ค. เท่านั้น</t>
  </si>
  <si>
    <t>EN_BKK_ctnoti_netcore_partner_N_N_active_20251002_1100_bangkok-airway-oct25</t>
  </si>
  <si>
    <t>🎁 Fast Rewards Fest Redeem Up to 40% Off!</t>
  </si>
  <si>
    <t>FlyerBonus members enjoy Hungry Hub exclusive restaurant discount vouchers up to THB 400 — Until Oct 31!</t>
  </si>
  <si>
    <t>EN_BKK_ctnoti_netcore_single_N_N_active_20251002_1500_bf-copper-beyond-the-sense-oct25</t>
  </si>
  <si>
    <t>🦞 Lobster 1 Dish + Unlimited Foie Gras!</t>
  </si>
  <si>
    <t>Only THB 1,999 at Copper The Sense: Get 1 premium dish (like lobster) + unlimited foie gras. Extended Until Oct 31 only!</t>
  </si>
  <si>
    <t>TH_BKK_ctnoti_netcore_single_N_N_active_20251002_1500_bf-copper-beyond-the-sense-oct25</t>
  </si>
  <si>
    <t>🦞 ล็อบสเตอร์ 1 จาน + ฟัวกราส์ไม่อั้น เพียง 1,999.-</t>
  </si>
  <si>
    <t>ขยายเวลาโปรฯ สุดที่ร้อนแรงที่สุดจาก Copper The Sense ปิ่นเกล้า จ่ายเพียง 1,999.- เลือก 1 เมนูพิเศษจาก 3 เมนู + ทานฟัวกราส์ไม่อั้น ถึง 31 ต.ค. นี้ เท่านั้น</t>
  </si>
  <si>
    <t>EN_BKK_ctnoti_netcore_single_N_N_active_20251002_1700_ads-hotaru-119-omakase-oct25</t>
  </si>
  <si>
    <t>14-Course Omakase from Just THB 1,176!</t>
  </si>
  <si>
    <t>Feast at Hotaru 119 Omakase &amp; Izakaya. Book for 2 via Hungry Hub &amp; get bonus premium dishes 🎉</t>
  </si>
  <si>
    <t>TH_BKK_ctnoti_netcore_single_N_N_active_20251002_1700_ads-hotaru-119-omakase-oct25</t>
  </si>
  <si>
    <t>จ่ายหลักพัน ได้ทาน 14 คอร์สสุดหรู!!</t>
  </si>
  <si>
    <t>เสิร์ฟแบบล้นๆ กับโอมากาเสะ จาก Hotaru 119 Omakase &amp; Izakaya เริ่มต้น 1,176 บาท จองผ่าน Hungry Hub 2 ท่านขึ้นไป รับเมนูพิเศษเพิ่มเติมไปเลย!</t>
  </si>
  <si>
    <t>EN_BKK_ctnoti_netcore_group_N_N_active_20251003_1100_bf-charoen-rung-rueang-oct25</t>
  </si>
  <si>
    <t>Come 3 Pay 2 at Charoen Rung Rueang</t>
  </si>
  <si>
    <t>Weekday lunch just got better — enjoy an all-you-can-eat international buffet for only THB 1,332. Until Oct 31 only!</t>
  </si>
  <si>
    <t>TH_BKK_ctnoti_netcore_group_N_N_active_20251003_1100_bf-charoen-rung-rueang-oct25</t>
  </si>
  <si>
    <t>มา 3 จ่าย 2 ที่ เจริญรุ่งเรืองบุฟเฟต์!</t>
  </si>
  <si>
    <t>อิ่มอร่อยกับบุฟเฟต์นานาชาติ ต้อนรับมื้อเที่ยงเฉพาะวันจันทร์-ศุกร์ ในราคาสุดพิเศษ พร้อมสั่งเมนูพิเศษได้แบบไม่อั้น เพียง 1,332 บาท ถึง 31 ต.ค. เท่านั้น</t>
  </si>
  <si>
    <t>EN_BKK_ctnoti_netcore_group_N_N_active_20251003_1500_bf-oishi-grand-oct25</t>
  </si>
  <si>
    <t>Weekday Deal at Oishi Grand! 🍣🔥</t>
  </si>
  <si>
    <t>Enjoy 140+ premium Japanese buffet items with a special dish of your choice — just THB 823. Book now 👉</t>
  </si>
  <si>
    <t>TH_BKK_ctnoti_netcore_group_N_N_active_20251003_1500_bf-oishi-grand-oct25</t>
  </si>
  <si>
    <t>Oishi Grand วันธรรมดาคุ้มกว่า 🍣🔥</t>
  </si>
  <si>
    <t>อิ่มไม่อั้นกับ 140+ ไลน์บุฟเฟต์อาหารญี่ปุ่นสุดพรีเมียม พร้อมเลือกรับเมนูพิเศษ เพียง 823 บาท เท่านั้น จองเลย 👉</t>
  </si>
  <si>
    <t>EN_BKK_ctnoti_netcore_single_N_N_active_20251003_1700_ads-kohaku-omakase-oct25</t>
  </si>
  <si>
    <t>🇯🇵 Kohaku Omakase is here!</t>
  </si>
  <si>
    <t>Experience authentic Edomae-style omakase with 4 course styles starting from just THB 1,165 — only on Hungry Hub!</t>
  </si>
  <si>
    <t>TH_BKK_ctnoti_netcore_single_N_N_active_20251003_1700_ads-kohaku-omakase-oct25</t>
  </si>
  <si>
    <t>🇯🇵 Kohaku Omakase มาแล้ว!!</t>
  </si>
  <si>
    <t>ลิ้มลองความอร่อยสไตล์เอโดะมาเอะ กับโอมากาเสะ 4 สไตล์ เริ่มต้นที่ 10 คอร์ส เริ่มต้นในราคาพิเศษเพียง 1,165 บาท เท่านั้น ที่ Hungry Hub</t>
  </si>
  <si>
    <t>EN_BKK_ctnoti_netcore_group_N_N_active_20251004_1100_bf-baiyoke-sky-hotel-buffet-oct25</t>
  </si>
  <si>
    <t>Baiyoke Buffet – All You Can Eat, Sky-High! 🌏✨</t>
  </si>
  <si>
    <t>Feast across 75th–82nd floors with Indian, international, seafood &amp; Chinese dishes. Starts at just THB 550!</t>
  </si>
  <si>
    <t>TH_BKK_ctnoti_netcore_group_N_N_active_20251004_1100_bf-baiyoke-sky-hotel-buffet-oct25</t>
  </si>
  <si>
    <t>บุฟเฟต์ใบหยก อิ่มไม่อั้นยกชั้น!! 🌏✨</t>
  </si>
  <si>
    <t>ไม่ไประวังพลาด กับบุฟเฟต์หลากสไตล์ยกขบวนมาเสิร์ฟตั้งแต่ชั้น 75-82 ทั้งอินเดีย นานาชาติ ซีฟู้ด และ อาหารจีน เริ่มต้นเพียง 550 บาท เท่านั้น</t>
  </si>
  <si>
    <t>1767, 2554, 2615, 3119, 3164, 6371</t>
  </si>
  <si>
    <t>EN_BKK_ctnoti_netcore_single_N_N_active_20251004_1500_bf-4k-cafe-cross-vibe-oct25</t>
  </si>
  <si>
    <t>Come 4 Pay 3 at 4K Café Cross Vibe 🍴</t>
  </si>
  <si>
    <t>Enjoy an all-you-can-eat à la carte buffet + 1 premium highlight dish. Just THB 742 (from 990). Until Nov 30 only!</t>
  </si>
  <si>
    <t>TH_BKK_ctnoti_netcore_single_N_N_active_20251004_1500_bf-4k-cafe-cross-vibe-oct25</t>
  </si>
  <si>
    <t>มา 4 จ่าย 3 กับ 4K Café Cross Vibe 🍴</t>
  </si>
  <si>
    <t>สั้งได้ไม่อั้นกับบุฟเฟต์อลาคาส พร้อมเลือกเมนูไฮไลท์พรีเมียม 1 เมนู ในราคาพิเศษเพียง 742 บาท จากปกติ 990 บาท วันนี้ - 30 พ.ย. เท่านั้น</t>
  </si>
  <si>
    <t>EN_BKK_ctnoti_netcore_single_N_N_active_20251004_1700_ads-deja-brew-lifestyle-cafe-oct25</t>
  </si>
  <si>
    <t>Come 2 Pay 1 at Deja Brew 🍰☕</t>
  </si>
  <si>
    <t>Enjoy an unlimited buffet of international dishes, desserts &amp; drinks — all starting from just THB 395. Until Dec 31 only!</t>
  </si>
  <si>
    <t>TH_BKK_ctnoti_netcore_single_N_N_active_20251004_1700_ads-deja-brew-lifestyle-cafe-oct25</t>
  </si>
  <si>
    <t>มา 2 จ่าย 1 กับ Deja Brew 🍰☕</t>
  </si>
  <si>
    <t>คุ้มต่อเนื่อง กับกองทัพเมนูบุฟเฟต์นานาชาติ ของหวาน และเครื่องดื่มอีกมากมายสั่งได้ไม่อั้น ในราคาพิเศษเริ่มต้น 395 บาท วันนี้ -  31 ธ.ค.</t>
  </si>
  <si>
    <t>EN_BKK_ctnoti_netcore_single_N_N_active_20251005_1100_bf-sui-sian-restaurant-oct25</t>
  </si>
  <si>
    <t>Come 4 Pay 3 at Sui Sian 🥟🍜</t>
  </si>
  <si>
    <t>Indulge in premium dim sum and exquisite Chinese dishes. From just THB 899 until Nov 16 only!</t>
  </si>
  <si>
    <t>TH_BKK_ctnoti_netcore_single_N_N_active_20251005_1100_bf-sui-sian-restaurant-oct25</t>
  </si>
  <si>
    <t>มา 4 จ่าย 3 กับ Sui Sian 🥟🍜</t>
  </si>
  <si>
    <t>มื้อพิเศษสำหรับครอบครัว อิ่มได้ไม่อั้นกับบุฟเฟต์ติ่มซำพรีเมี่ยม และอาหารจีนพรีเมียม ในราคาพิเศษเริ่มต้นเพียง 899 บาท ถึง 16 พ.ย. เท่านั้น</t>
  </si>
  <si>
    <t>EN_BKK_ctnoti_netcore_single_N_N_active_20251005_1500_chatuchak-cafe-oct25</t>
  </si>
  <si>
    <t>Come 4 Pay 3 at Chatuchak Cafe 🍱✨</t>
  </si>
  <si>
    <t>Discover premium buffet from 7 dining zones with 100+ dishes, all-you-can-eat from just THB 749. Until Oct 31 only!</t>
  </si>
  <si>
    <t>TH_BKK_ctnoti_netcore_single_N_N_active_20251005_1500_chatuchak-cafe-oct25</t>
  </si>
  <si>
    <t>มา 4 จ่าย 3 กัับ Chatuchak Cafe 🍱✨</t>
  </si>
  <si>
    <t>ไปกันต่อกับโลกแห่งบุฟเฟต์แบบใหม่จาก 7 ห้องอาหารชื่อดังกว่า 100+ เมนูพรีเมียม สั่งได้ไม่อั้น ในราคาพิเศษเพียง 749.- ถึง 31 ต.ค. เท่านั้น</t>
  </si>
  <si>
    <t>EN_BKK_ctnoti_netcore_single_N_N_active_20251005_1700_ads-rusty-bkk-bangkok-oct25</t>
  </si>
  <si>
    <t>Rusty.Bkk is here! 🎶🍷</t>
  </si>
  <si>
    <t>Hidden bar near PATA with live music, great food &amp; drinks, plus over 20% off when booking via Hungry Hub!</t>
  </si>
  <si>
    <t>TH_BKK_ctnoti_netcore_single_N_N_active_20251005_1700_ads-rusty-bkk-bangkok-oct25</t>
  </si>
  <si>
    <t>Rusty.Bkk มาแล้ว!! 🎶🍷</t>
  </si>
  <si>
    <t>ชิลๆ ยามเย็นกับบาร์ลับติดพาต้า พร้อมฟังดนตรีสด และอิ่มอร่อยกับอาหาร เครื่องดื่ม และส่วนลดกว่า 20% จองเลยที่ Hungry Hub</t>
  </si>
  <si>
    <t>TH_BKK_ctnoti_netcore_group_N_N_active_20251006_1500_bf-hongmin-oct25</t>
  </si>
  <si>
    <t>ฮองมินบุฟเฟต์ วันธรรมดาราคาพิเศษ 🥡🔥</t>
  </si>
  <si>
    <t>อิ่มอร่อยไม่อั้น กับบุฟเฟต์อาหารจีนกว่า 70+ เมนู พร้อมเลือกรับเมนูพรีเมียม อาทิ เป็ดปักกิ่งครึ่งตัว และอีกมากมาย เริ่มต้น 950 บาท เท่านั้น</t>
  </si>
  <si>
    <t>EN_BKK_ctnoti_netcore_group_N_N_active_20251006_1500_bf-hongmin-oct25</t>
  </si>
  <si>
    <t>Weekday Buffet Deal at Hongmin! 🥡🔥</t>
  </si>
  <si>
    <t>All-you-can-eat over 70 Chinese dishes, including half Peking duck — from just 950 THB on weekdays only!</t>
  </si>
  <si>
    <t>Yes, the search results mention a "Come 4 Pay 3" offer.</t>
  </si>
  <si>
    <t>TH_BKK_ctnoti_netcore_single_N_N_active_20251006_1700_bf-the-seafood-cafe-restaurant-oct25</t>
  </si>
  <si>
    <t>Failed</t>
  </si>
  <si>
    <t>บุฟเฟต์ซีฟู้ดเจ้าเด็ด ใจกลางเยาวราช 🍣🦞</t>
  </si>
  <si>
    <t>ไปให้สุดกับ The Seafood Cafe สั่งบุฟเฟต์ซีฟู้ดพรีเมียมได้ไม่อั้นทั้งได้ไม่อั้นทั้งกุ้งแม่น้ำ แซลมอน 2 ชั่วโมงเต็ม เริ่มต้นเพียง 1,190 บาท เท่านั้น</t>
  </si>
  <si>
    <t>EN_BKK_ctnoti_netcore_single_N_N_active_20251006_1700_bf-the-seafood-cafe-restaurant-oct25</t>
  </si>
  <si>
    <t>Seafood Feast in Yaowarat! 🍣🦞</t>
  </si>
  <si>
    <t>Dive into 80+ premium seafood dishes at The Seafood Cafe—river prawns, salmon &amp; more. 2-hour buffet starts at just 1,190 THB!</t>
  </si>
  <si>
    <t>EN_BKK_ctnoti_netcore_single_N_N_active_20251006_1700_ads-kohaku-omakase-oct25</t>
  </si>
  <si>
    <t>4 Styles of Edomae Omakase Now in BKK! 🔥</t>
  </si>
  <si>
    <t>Experience authentic Kohaku Omakase with 4 unique Edomae-style courses. Starting from 10 courses at just 1,165 THB only!</t>
  </si>
  <si>
    <t>TH_BKK_ctnoti_netcore_single_N_N_active_20251006_1700_ads-kohaku-omakase-oct25</t>
  </si>
  <si>
    <t>โอมากาเสะ 4 แบบสุดแนว สไตล์เอโดะ อยู่นี้แล้ว!</t>
  </si>
  <si>
    <t>ลองกันเลย กับ Kohaku Omakase โอมากาเสะเอโดะมาเอะ 4 สไตล์ เริ่มต้นที่ 10 คอร์ส เริ่มต้นในราคาพิเศษเพียง 1,165 บาท เท่านั้น</t>
  </si>
  <si>
    <t>TH_BKK_ctnoti_netcore_single_N_N_active_20251007_1100_stock-room-breakfast-oct25</t>
  </si>
  <si>
    <t>มื้อเช้าสุดพิเศษ อร่อยไม่ซ้ำสไตล์ 🌞🍴</t>
  </si>
  <si>
    <t>บุฟเฟต์อาหารเช้าระดับตำนาน จาก Stock.Room รวมหลากหลายความอร่อยไว้ในที่เดียว ทั้งสไตล์อังกฤษ ไทย จีน พร้อมโปรมา 2 จ่าย 1</t>
  </si>
  <si>
    <t>EN_BKK_ctnoti_netcore_single_N_N_active_20251007_1100_stock-room-breakfast-oct25</t>
  </si>
  <si>
    <t>Start Your Morning at Stock.Room 🌞🍴</t>
  </si>
  <si>
    <t>Legendary breakfast buffet with Thai, Chinese &amp; English styles in one spot. Special deal: Come 2 Pay 1 — Book now!</t>
  </si>
  <si>
    <t>EN_BKK_ctnoti_netcore_single_N_N_active_20251007_1500_atrium-restaurant-oct25</t>
  </si>
  <si>
    <t>Come 2 Pay 1 at Atrium Restaurant ✨</t>
  </si>
  <si>
    <t>Enjoy hotel buffet for lunch, dinner or weekend brunch from just 982 THB. Limited time only – until Dec 1!</t>
  </si>
  <si>
    <t>TH_BKK_ctnoti_netcore_single_N_N_active_20251007_1500_atrium-restaurant-oct25</t>
  </si>
  <si>
    <t>มา 2 จ่าย 1 Atrium Restaurant ✨</t>
  </si>
  <si>
    <t>ต่อเวลาความคุ้มค่า กับโปรบุฟเฟต์มื้อเที่ยง ดินเนอร์ หรือบรันช์สุดสัปดาห์ ในราคาสุดพิเศษ เริ่มต้นเพียง 982 บาท วันนี้ - 1 ธ.ค. เท่านั้น</t>
  </si>
  <si>
    <t>EN_BKK_ctnoti_netcore_single_N_N_active_20251007_1700_ads-shabu-nang-nai-sukhaphiban-3-oct25</t>
  </si>
  <si>
    <t>All-you-can-eat Shabu for just 299 THB 🥢</t>
  </si>
  <si>
    <t>At Shabu Shabu Nang Nai, enjoy unlimited pork, beef, shrimp &amp; more—over 50 menus for 3 full hours! Book now via Hungry Hub!</t>
  </si>
  <si>
    <t>TH_BKK_ctnoti_netcore_single_N_N_active_20251007_1700_ads-shabu-nang-nai-sukhaphiban-3-oct25</t>
  </si>
  <si>
    <t>ชาบู ชาบู นางใน มาแล้ว! 🥢</t>
  </si>
  <si>
    <t>บุฟเฟต์ชาบูจ่ายเบาๆ คนละ 299 บาท อิ่มอร่อยกับ 50 เมนู ทานได้ไม่อั้น 3 ชั่วโมงเต็ม! ทั้ง เมนูเนื้อ หมู กุ้ง และอีกมากมาย จองเลยที่ Hungry Hub</t>
  </si>
  <si>
    <t>The provided subject line and search results do not explicitly mention a "Come X Pay X" offer.</t>
  </si>
  <si>
    <t>EN_BKK_ctnoti_netcore_single_N_N_active_20251008_1100_weekly-new-week2-oct25</t>
  </si>
  <si>
    <t>TH_BKK_ctnoti_netcore_single_N_N_active_20251008_1100_weekly-new-week2-oct25</t>
  </si>
  <si>
    <t>No, the subject line indicates that new stores have arrived this Wednesday, but it does not specify a "Come X Pay X" offer.</t>
  </si>
  <si>
    <t>EN_BKK_ctnoti_netcore_single_N_N_active_20251008_1500_nice-two-meat-u-oct25</t>
  </si>
  <si>
    <t>Grill your cravings at Nice Two Meat U! 🥩🔥</t>
  </si>
  <si>
    <t>Premium Korean BBQ with Thai Wagyu, Kurobuta pork &amp; 50+ menu items. All starting at just 845 THB — only on Hungry Hub!</t>
  </si>
  <si>
    <t>TH_BKK_ctnoti_netcore_single_N_N_active_20251008_1500_nice-two-meat-u-oct25</t>
  </si>
  <si>
    <t>Nice Two Meat U มาแล้ว!! 🥩🔥</t>
  </si>
  <si>
    <t>จบทุกความอร่อย กับร้านปิ้งย่างเกาหลีพรีเมียม ยกทัพมาทั้ง เนื้อไทยวากิว หมูคุโรบูตะ และอีกมากมายกว่า 50+ เมนู เริ่มต้น 845 บาท เท่านั้น</t>
  </si>
  <si>
    <t>The provided subject line does not explicitly state a "Come X Pay X" offer. You would need to check the content of the message for offer details.</t>
  </si>
  <si>
    <t>EN_BKK_ctnoti_netcore_single_N_N_active_20251008_1700_ads-anchor-premium-buffet-oct25</t>
  </si>
  <si>
    <t>Come 4 Pay 3 at Anchor Premium Buffet! 🌊🦐</t>
  </si>
  <si>
    <t>Feast on over 160 premium seafood dishes with stunning views of Chao Phraya River &amp; Rama IX Bridge — from just 794 THB. Book by Oct 31!</t>
  </si>
  <si>
    <t>TH_BKK_ctnoti_netcore_single_N_N_active_20251008_1700_ads-anchor-premium-buffet-oct25</t>
  </si>
  <si>
    <t>มา 4 จ่าย 3 กับ Anchor Premium Buffet</t>
  </si>
  <si>
    <t>อิ่มจุใจกว่า 160 เมนู กับพรีเมี่ยมบุฟเฟต์ซีฟู้ดนานาชาติ วิวแม่น้ำเจ้าพระยา พร้อมชมวิวสะพานพระราม 9 พิเศษ เริ่มต้นเพียง 794 บาท ถึง 31 ต.ค.</t>
  </si>
  <si>
    <t>TH_BKK_ctnoti_netcore_single_N_N_active_20251009_1100_bangkok-78-oct25</t>
  </si>
  <si>
    <t>บุฟเฟต์มื้อเที่ยงสุดคุ้ม กับ Bangkok'78 🍛</t>
  </si>
  <si>
    <t>อิ่มอร่อยไม่อั้นกับเมนูอาหารไทยสุดฮิต อาทิ กุ้งทอดซอสมะขาม ข้าวซอยปูนิ่ม และอีกมากมาย พร้อมเลือกรับ 1 เมนูพิเศษ เพียง 790 บาท</t>
  </si>
  <si>
    <t>EN_BKK_ctnoti_netcore_single_N_N_active_20251009_1100_bangkok-78-oct25</t>
  </si>
  <si>
    <t>Bangkok'78 Thai Lunch Buffet 🍛</t>
  </si>
  <si>
    <t>Enjoy unlimited Thai favorites like Tamarind Prawns &amp; Soft-Shell Crab Khao Soi, plus 1 special dish — all for just 790 THB!</t>
  </si>
  <si>
    <t>EN_BKK_ctnoti_netcore_single_N_N_active_20251009_1500_thien-duong-at-baan-dusit-oct25</t>
  </si>
  <si>
    <t>Michelin-Recommended Vietnamese Buffet 🇻🇳🍽️</t>
  </si>
  <si>
    <t>Experience authentic Vietnamese cuisine at Thien Duong, Baan Dusit Thani, awarded the Michelin Bib Gourmand. Unlimited buffet starts at just 899 THB — book now!</t>
  </si>
  <si>
    <t>TH_BKK_ctnoti_netcore_single_N_N_active_20251009_1500_thien-duong-at-baan-dusit-oct25</t>
  </si>
  <si>
    <t>มาแล้ว! บุุฟเฟต์อาหารเวียดนาม การันตีมิชลิน 🇻🇳🍽️</t>
  </si>
  <si>
    <t>สัมผัสมิติใหม่กับ Thien Duong บุฟเฟต์อาหารเวียดนามจาก Baan Dusit Thani การันตีความอร่อยจาก Michein Bib Gourmand เริ่มต้นเพียง 899 บาท จองเลย</t>
  </si>
  <si>
    <t>EN_BKK_ctnoti_netcore_group_N_N_active_20251009_1700_ads-the-coffee-club-oct25</t>
  </si>
  <si>
    <t>🍳 All-Day Café Buffet from Just 189 THB</t>
  </si>
  <si>
    <t>The Coffee Club offers unlimited drinks — coffee, frappé, soda — or indulge in a full international buffet. Only on Hungry Hub!</t>
  </si>
  <si>
    <t>TH_BKK_ctnoti_netcore_group_N_N_active_20251009_1700_ads-the-coffee-club-oct25</t>
  </si>
  <si>
    <t>🍳 คาเฟ่บุฟเฟต์สุดคุ้ม เริ่มแค่ 189.-</t>
  </si>
  <si>
    <t>The Coffee Club ดื่มกินได้ไม่อั้น ทั้งบุฟเฟต์กาแฟ เฟรปเป้ โซดา หรือ บุฟเฟต์นานาชาติหลากหลายสไตล์ โปรพิเศษเฉพาะ Hungry Hub เท่านั้น</t>
  </si>
  <si>
    <t>SG_BKK_ctnoti_netcore_single_N_N_active_20251009_1800_sg-town-restaurant-oct25</t>
  </si>
  <si>
    <t>✨ Up to 25% OFF a Lavish Riverside Buffet!</t>
  </si>
  <si>
    <t>Last Know Location Singapore - Telok Ayer - Stevens,Last Know Location Singapore Raffles Place - MRT Promenade</t>
  </si>
  <si>
    <t>EN_BKK_ctnoti_netcore_single_N_N_active_20251010_1100_brewave-ratchada-oct25</t>
  </si>
  <si>
    <t>Brewave Ratchada Now Has a Buffet!</t>
  </si>
  <si>
    <t>Feast on 90+ Thai &amp; Western dishes with live music in a cozy vibe. All-you-can-eat starts from just 790 THB — book now on Hungry Hub!</t>
  </si>
  <si>
    <t>TH_BKK_ctnoti_netcore_single_N_N_active_20251010_1100_brewave-ratchada-oct25</t>
  </si>
  <si>
    <t>Brewave Ratchada มีบุฟเฟต์แล้ว!!</t>
  </si>
  <si>
    <t>สายชิลล์-สายฟินมาครบกับอาหารไทย-ยุโรป กว่า 90 รายการ สั่งได้แบบไม่อั้น พร้อมนั่งฟังดนตรีสด เริ่มต้นเพียง 790 บาท จองเลย</t>
  </si>
  <si>
    <t>EN_BKK_ctnoti_netcore_single_N_N_active_20251010_1500_theatre-riverside-oct25</t>
  </si>
  <si>
    <t>Riverside Buffet with Temple Views!</t>
  </si>
  <si>
    <t>Dine by the Chao Phraya River at Theatre Riverside Bangkok, with breathtaking views of Wat Phra Kaew and Wat Arun at sunset. Enjoy an international buffet for just 990 THB</t>
  </si>
  <si>
    <t>TH_BKK_ctnoti_netcore_single_N_N_active_20251010_1500_theatre-riverside-oct25</t>
  </si>
  <si>
    <t>กินบุฟเฟต์ สัมผัสเสน่ห์วัดพระแก้ว</t>
  </si>
  <si>
    <t>ใกล้ยามเย็นต้องมาลอง Theatre Riverside บุฟเฟต์ริมแม่น้ำเจ้าพระยา พร้อมชมวิววัดพระแก้ว และ วัดอรุณ ราคาพิเศษเพียง 990 บาท เท่านั้น</t>
  </si>
  <si>
    <t>No, the subject line "กินบุฟเฟต์ สัมผัสเสน่ห์วัดพระแก้ว" (Eat buffet, feel the charm of Wat Phra Kaew) does not contain a "Come X Pay X" offer.</t>
  </si>
  <si>
    <t>EN_BKK_ctnoti_netcore_single_N_N_active_20251010_1700_ads-ava-brasserie-oct25</t>
  </si>
  <si>
    <t>Hurry! Come 3 Pay 2 at AVA Brasserie 🍷</t>
  </si>
  <si>
    <t>Enjoy a luxurious Semi-Buffet Dinner with 1 premium main dish per person at AVA Brasserie, AVANI Sukhumvit. Special promo – only 793 THB per person when you book for 3! 📍Limited time: Now – Nov 30</t>
  </si>
  <si>
    <t>TH_BKK_ctnoti_netcore_single_N_N_active_20251010_1700_ads-ava-brasserie-oct25</t>
  </si>
  <si>
    <t>ด่วน! มา 3 จ่าย 2 กับ AVA Brasserie 🍷</t>
  </si>
  <si>
    <t>จองโปรดินเนอร์ต้อนรับสุดสัปดาห์สุดพิเศษ เต็มอิ่มกับเมนู Semi-Buffet จากหลากหลายสเตชั่น พร้อมเลือกรับเมนูจานหลัก 1 รายการ เพียง 793 บาท ถึง 30 พ.ย. เท่านั้น</t>
  </si>
  <si>
    <t>SG_BKK_ctnoti_netcore_single_N_N_active_20251010_1800_sg-kintamani-at-furama-oct25__</t>
  </si>
  <si>
    <t>🇮🇩 Up to 37% OFF a Legendary Halal Buffet!</t>
  </si>
  <si>
    <t>Indulge in an authentic Indonesian feast at Kintamani. Enjoy unlimited classic dishes at one of Singapore's most beloved Halal buffets. Weekday lunch now starts from just S$36. Book this amazing offer!</t>
  </si>
  <si>
    <t>EN_BKK_ctnoti_netcore_single_N_N_active_20251011_1100_the-map-mestyle-lunch-oct25</t>
  </si>
  <si>
    <t>Unlimited Lunch – No Time Limit! 🍴</t>
  </si>
  <si>
    <t>Weekend special at The Map Me Style: Enjoy Thai, Western &amp; more at only 559 THB. No time limit. Book now via Hungry Hub!</t>
  </si>
  <si>
    <t>TH_BKK_ctnoti_netcore_single_N_N_active_20251011_1100_the-map-mestyle-lunch-oct25</t>
  </si>
  <si>
    <t>🍴 มื้อเที่ยง ทานไม่อั้น ไม่จำกัดเวลา!!</t>
  </si>
  <si>
    <t>โปรใหม่เฉพาะวันเสาร์และอาทิตย์ จาก The Map Me Style อิ่มไม่อั้นกับเมนูบูฟเฟต์หลากหลายสเตชั่น อาหารไทย ตะวันตก พิเศษ 559 บาท</t>
  </si>
  <si>
    <t>EN_BKK_ctnoti_netcore_group_N_N_active_20251011_1500_ruen-petch-suki-oct25</t>
  </si>
  <si>
    <t>🍲 Come 4 Pay 3 at Ruen Petch Suki</t>
  </si>
  <si>
    <t>Enjoy premium sukiyaki buffet with over 50 dishes to choose from — pork, beef, seafood, and more — starting at only 524 THB per person.</t>
  </si>
  <si>
    <t>TH_BKK_ctnoti_netcore_group_N_N_active_20251011_1500_ruen-petch-suki-oct25</t>
  </si>
  <si>
    <t>🍲 มา 4 จ่าย 3 กับ เรือนเพชรสุกี้</t>
  </si>
  <si>
    <t>ที่นี่ที่เดียว กับโปรบุฟเฟต์สุกี้พรีเมียมระดับตำนาน สั่งได้ไม่อั้นกว่า 50 เมนู ในราคาสุดพิเศษเริ่มต้นเพียง 524 บาท เท่านั้น จองเลย</t>
  </si>
  <si>
    <t>EN_BKK_ctnoti_netcore_single_N_N_active_20251011_1700_ads-long-jim-shabu-oct25</t>
  </si>
  <si>
    <t>Come 3 Pay for 2 at Long Jim Shabu!</t>
  </si>
  <si>
    <t>Enjoy unlimited Shabu &amp; BBQ buffet — pork, beef, seafood, and more — starting at just 212 THB/person. Available every weekend until Dec 31.</t>
  </si>
  <si>
    <t>TH_BKK_ctnoti_netcore_single_N_N_active_20251011_1700_ads-long-jim-shabu-oct25</t>
  </si>
  <si>
    <t>มา 3 จ่าย 2 กับ หลงจิ้ม ชาบู</t>
  </si>
  <si>
    <t>สุดสัปดาห์ได้เวลาชาบู!! จัดหนักมาให้แล้วกับบุฟเฟต์ชาบู+ปิ้งย่าง ครบทั้งหมู เนื้อ ทะเล เริ่มต้นเพียง 212 บาท ถึง 31 ธ.ค. เท่านั้น</t>
  </si>
  <si>
    <t>EN_BKK_ctnoti_netcore_single_N_N_active_20251012_1100_jw-cafe-sunday-brunch-oct25</t>
  </si>
  <si>
    <t>Sunday Brunch Deal Come 2 Pay for 1</t>
  </si>
  <si>
    <t>Indulge in an extravagant Sunday feast at JW Marriott Bangkok. Enjoy unlimited seafood on ice, Japanese delights, dim sum, Chinese cuisine, and more! Special price: Only 1,545 THB/person</t>
  </si>
  <si>
    <t>TH_BKK_ctnoti_netcore_single_N_N_active_20251012_1100_jw-cafe-sunday-brunch-oct25</t>
  </si>
  <si>
    <t>Sunday Brunch สุดคุ้ม มา 2 จ่ายแค่ 1</t>
  </si>
  <si>
    <t>แฮปปี้ทุกวันอาทิตย์กับ JW Café at JW Marriott อิ่มไม่อั้นทั้งเมนูซีฟู้ดสดๆ อาหารญี่ปุ่น ติ่มซำ อาหารจีน และอีกเพียบ เพียง 1,545 บาท ถึง 30 พ.ย. เท่านั้น</t>
  </si>
  <si>
    <t>EN_BKK_ctnoti_netcore_group_N_N_active_20251012_1500_gyu-ya-oct25</t>
  </si>
  <si>
    <t>All-You-Can-Eat Japanese BBQ at Just 559 THB!</t>
  </si>
  <si>
    <t>Gyu-Ya Yakiniku offers unlimited premium meats: Aussie lamb, pork, salmon, and a special bonus dish! Book via Hungry Hub!</t>
  </si>
  <si>
    <t>TH_BKK_ctnoti_netcore_group_N_N_active_20251012_1500_gyu-ya-oct25</t>
  </si>
  <si>
    <t>ปิ้งย่างญี่ปุ่นสุดคุ้ม พิเศษ 559 บาท 🔥🇯🇵</t>
  </si>
  <si>
    <t>อิ่มไม่อั้นกับ Gyu-Ya Yakiniku บุฟเฟต์ปิ้งย่างสไตล์ญี่ปุ่น จัดเต็มทั้งเนื้อแกะออสเตรเลีย หมู แซลมอน และรับเมนูพิเศษไปเลย!!</t>
  </si>
  <si>
    <t>EN_BKK_ctnoti_netcore_single_N_N_active_20251012_1700_ads-wagyu-kurabu-premium-oct25</t>
  </si>
  <si>
    <t>Come 4 Pay 3 at Wagyu Kurabu Yakiniku!</t>
  </si>
  <si>
    <t>Enjoy premium Wagyu BBQ, sushi &amp; more in Pratunam. Special price from just 794 THB – only via Hungry Hub till Oct 31!</t>
  </si>
  <si>
    <t>TH_BKK_ctnoti_netcore_single_N_N_active_20251012_1700_ads-wagyu-kurabu-premium-oct25</t>
  </si>
  <si>
    <t>มา 4 จ่าย 3 กับ Wagyu Kurabu Premium Yakiniku</t>
  </si>
  <si>
    <t>ที่สุดของร้านบุฟเฟต์ปิ้งย่างวากิว ในย่านประตูน้ำ พร้อมกองทัพเมนูอาหารญี่ปุ่น ซูชิ ในราคาสุดพิเศษเริ่มต้น 794 บาท วันนี้ - 31 ต.ค. เท่านั้น</t>
  </si>
  <si>
    <t>EN_BKK_ctnoti_netcore_single_N_N_active_20251013_1100_romsai-banyan-tree-oct25</t>
  </si>
  <si>
    <t>Buffet at Romsai starts from 450 THB!</t>
  </si>
  <si>
    <t>Breakfast, lunch or dinner — enjoy a premium buffet at Banyan Tree Bangkok only on Hungry Hub.</t>
  </si>
  <si>
    <t>TH_BKK_ctnoti_netcore_single_N_N_active_20251013_1100_romsai-banyan-tree-oct25</t>
  </si>
  <si>
    <t>บุฟเฟต์ร่มไทร อิ่มไม่อั้น เริ่มต้น 450.-</t>
  </si>
  <si>
    <t>จะมื้อเข้า กลางวัน หรือ ดินเนอร์ ก็จัดมาให้ครบ ที่ Romsai Banyan Tree Bangkok กับบุฟเฟต์หรูจากหลากหลายสเตชั่น เริ่มต้นเพียง 450.- เท่านั้น จองเลย</t>
  </si>
  <si>
    <t>EN_BKK_ctnoti_netcore_single_N_N_active_20251013_1500_beef-express-oct25_</t>
  </si>
  <si>
    <t>2 for 1 at Beef Express!</t>
  </si>
  <si>
    <t>TH_BKK_ctnoti_netcore_single_N_N_active_20251013_1500_beef-express-oct25_</t>
  </si>
  <si>
    <t>มา 2 จ่าย 1 ที่ Beef Express</t>
  </si>
  <si>
    <t>EN_BKK_ctnoti_netcore_single_N_N_active_20251013_1700_shabu-square-oct25</t>
  </si>
  <si>
    <t>Weekday Deal: 3 Pay 2 at Shabu Square!</t>
  </si>
  <si>
    <t>Enjoy Gold &amp; Platinum Buffet with Wagyu A5, seafood &amp; more from just 595 THB. Book now!</t>
  </si>
  <si>
    <t>3 Pay 2</t>
  </si>
  <si>
    <t>TH_BKK_ctnoti_netcore_single_N_N_active_20251013_1700_shabu-square-oct25</t>
  </si>
  <si>
    <t>มา 3 จ่าย 2 กับ Shabu Square</t>
  </si>
  <si>
    <t>โปรแรงเฉพาะวันธรรมดาเท่านั้น กับบุฟเฟต์ชาบู Gold และ Platinum อิ่มไม่อั้นทั้งเนื้อวากิว A5 ซีฟู้ด และอีกมากมาย เริ่มต้นเพียง 595 บาท จองเลย</t>
  </si>
  <si>
    <t>TH_BKK_ctnoti_netcore_single_N_N_active_20251014_1100_korea-house-gold-the-fourth-oct25</t>
  </si>
  <si>
    <t>🥩 มา 2 จ่าย 1 กับ Korea House Gold</t>
  </si>
  <si>
    <t>คุ้มทุกวันจันทร์-พฤหัส กับบุฟเฟต์มื้อเที่ยงและดินเนอร์ ปิ้งย่างเกาหลี ครบทั้งเนื้อวากิว กุ้งแม่น้ำ ซีฟู้ด และอีกมากมาย เริ่มต้น 695 บาท จนถึง 30 พ.ย. เท่านั้น</t>
  </si>
  <si>
    <t>EN_BKK_ctnoti_netcore_single_N_N_active_20251014_1100_korea-house-gold-the-fourth-oct25</t>
  </si>
  <si>
    <t>🥩 2 Pay 1 at Korea House Gold</t>
  </si>
  <si>
    <t>Weekday lunch &amp; dinner Korean BBQ with Wagyu, river prawns &amp; more! From just 695 THB. Mon–Thu only</t>
  </si>
  <si>
    <t>2 Pay 1</t>
  </si>
  <si>
    <t>EN_BKK_ctnoti_netcore_single_N_N_active_20251014_1500_yumcha-teahouse-oct25</t>
  </si>
  <si>
    <t>🥢 3 Pay 2 at Yumcha Teahouse</t>
  </si>
  <si>
    <t>All-you-can-eat fresh dim sum, a la carte &amp; beer buffet! From just 498 THB. Until Oct 31 only.</t>
  </si>
  <si>
    <t>TH_BKK_ctnoti_netcore_single_N_N_active_20251014_1500_yumcha-teahouse-oct25</t>
  </si>
  <si>
    <t>เร่งมือกันหน่อย กับโปรบุฟเฟต์ติ่มซำทำสด เมนูจานเดี่ยว และกับแกล้มพร้อมชนหมดแก้ว กับบุฟเฟต์เบียร์ เริ่มต้น 498 บาท วันนี้ - 31 ต.ค.</t>
  </si>
  <si>
    <t>EN_BKK_ctnoti_netcore_single_N_N_active_20251014_1700_ads-orchid-cafe-at-sheraton-oct25</t>
  </si>
  <si>
    <t>✨ Come 2 Pay 1 at Orchid Café!</t>
  </si>
  <si>
    <t>Luxury 5-star international buffet in Sukhumvit. Lunch &amp; dinner only. From just 970 THB. Until Dec 31!</t>
  </si>
  <si>
    <t>TH_BKK_ctnoti_netcore_single_N_N_active_20251014_1700_ads-orchid-cafe-at-sheraton-oct25</t>
  </si>
  <si>
    <t>✨ มา 2 จ่าย 1 กับ Orchid Cafe</t>
  </si>
  <si>
    <t>เต็มอิ่มครบกับบุฟเฟต์นานาชาติหรู ใจกลางโรงแรม 5 ดาว พร้อมโปรพิเศษเฉพาะมื้อเที่ยง ดินเนอร์ ในราคาเริ่มต้นเพียง 970 บาท วันนี้ - 31 ธ.ค. เท่านั้น</t>
  </si>
  <si>
    <t>TH_BKK_ctnoti_netcore_N_N_active_20251015_1100_weekly-new-week3-oct25</t>
  </si>
  <si>
    <t>EN_BKK_ctnoti_netcore_N_N_active_20251015_1100_weekly-new-week3-oct25</t>
  </si>
  <si>
    <t>SG_BKK_ctnoti_netcore_single_N_N_active_20251015_1200_sg-cafe-de-paris-singapore-oct25</t>
  </si>
  <si>
    <t>🇫🇷 Sweet Deals at Café de Paris!</t>
  </si>
  <si>
    <t>Indulge in delicious food and desserts in a beautiful Parisian-themed setting. From brunch to afternoon tea, enjoy amazing value with meals from only S$22.5 (up to 32% OFF). Reserve your table.</t>
  </si>
  <si>
    <t>SG_BKK_ctnoti_netcore_single_N_N_active_20251015_1700_sg-oscar-s-at-conrad-oct25</t>
  </si>
  <si>
    <t>✨ Up to 25% OFF a World-Class Buffet!</t>
  </si>
  <si>
    <t>Indulge in a lavish international buffet at the renowned Oscar's. From fresh seafood on ice 🦞 to live carving stations, a world of flavours awaits. Enjoy this amazing feast with up to 25% OFF</t>
  </si>
  <si>
    <t>Yes, the subject line has an offer, but it does not contain "Come X Pay X".</t>
  </si>
  <si>
    <t>SG_BKK_ctnoti_netcore_single_N_N_active_20251015_1400_sg-blvd-mbfc-singapore-oct25__</t>
  </si>
  <si>
    <t>🍻 The Perfect After-Work Spot in the CBD!</t>
  </si>
  <si>
    <t>Unwind at BLVD MBFC! Gather your colleagues for delicious Modern Singaporean sharing platters and great vibes. With deals up to 30% OFF, meals start from just S$51.5. Book your table.</t>
  </si>
  <si>
    <t>EN_BKK_ctnoti_netcore_N_N_active_20251015_1500_crave-aloft-oct25</t>
  </si>
  <si>
    <t>🍤 Buy 2 Pay 1 at Crave!</t>
  </si>
  <si>
    <t>TH_BKK_ctnoti_netcore_N_N_active_20251015_1500_crave-aloft-oct25</t>
  </si>
  <si>
    <t>🍤 มา 2 จ่าย 1 กับ Crave</t>
  </si>
  <si>
    <t>EN_BKK_ctnoti_netcore_single_N_N_active_20251015_1700_ads-rossini-s-at-sheraton-grande-oct25</t>
  </si>
  <si>
    <t>🍷 Rossini’s – Extra 15% Off!</t>
  </si>
  <si>
    <t>Enjoy a romantic Tuscan-style dinner with premium mocktails &amp; fine wine. Perfect for a cozy date night — starting from just THB 675, until Dec 31 only!</t>
  </si>
  <si>
    <t>TH_BKK_ctnoti_netcore_single_N_N_active_20251015_1700_ads-rossini-s-at-sheraton-grande-oct25</t>
  </si>
  <si>
    <t>🍷 Rossini's ลดเพิ่ม 15%</t>
  </si>
  <si>
    <t>ดินเนอร์ยามเย็น หรือ ออกเดทกับคนรู้ใจกับแพ็กเกจสุดพิเศษ ในบรรยากาศสไตล์ทัศแคน พร้อมม็อกเทลและไวน์ชั้นเลิศ เริ่มต้นเพียง 675 บาท ถึง 31 ธ.ค. เท่านั้น</t>
  </si>
  <si>
    <t>EN_BKK_ctnoti_netcore_single_N_N_active_20251016_1100_xin-tian-di-crowne-plaza-oct25</t>
  </si>
  <si>
    <t>🥢 Come 3 Pay 2 at Xin Tian Di!</t>
  </si>
  <si>
    <t>Indulge in an all-you-can-eat dim sum buffet — perfect for weekday lunches or weekend dinners!
Special price starts from just THB 592 until Dec 30 only!</t>
  </si>
  <si>
    <t>TH_BKK_ctnoti_netcore_single_N_N_active_20251016_1100_xin-tian-di-crowne-plaza-oct25</t>
  </si>
  <si>
    <t>🥢 มา 3 จ่าย 2 กับ Xin Tian Di</t>
  </si>
  <si>
    <t>ฟินทุกวันมื้อเที่ยง-ดินเนอร์ วันธรรมดายันวันเสาร์และอาทิตย์ กับบุฟเฟต์ติ่มซำสุดคุ้ม ราคาพิเศษเริ่มต้นเพียง 592 บาท วันนี้ - 30 ธ.ค. เท่านั้น</t>
  </si>
  <si>
    <t>EN_BKK_ctnoti_netcore_partner_N_N_active_20251016_1500_krungsri-final-oct25</t>
  </si>
  <si>
    <t>💳 Last Chance to Unlock Ultimate Online Perks!</t>
  </si>
  <si>
    <t>TH_BKK_ctnoti_netcore_partner_N_N_active_20251016_1500_krungsri-final-oct25</t>
  </si>
  <si>
    <t>💳 โอกาสสุดท้าย คุ้มทะลุ ทุกเรื่องออนไลน์</t>
  </si>
  <si>
    <t>SG_BKK_ctnoti_netcore_single_N_N_active_20251016_1400_sg-fleurato-singapore-oct25</t>
  </si>
  <si>
    <t>🌸 Dine in a Whimsical Floral Wonderland!</t>
  </si>
  <si>
    <t>Escape to the beautiful Fleurato, a café nestled within a flower shop. Enjoy delicious European dishes surrounded by beautiful blooms. With deals up to 26% OFF, meals start from just S$37.75. Book your picture-perfect moment.</t>
  </si>
  <si>
    <t>EN_BKK_ctnoti_netcore_group_N_N_active_20251016_1700_sheraton-grand-brunch-oct25</t>
  </si>
  <si>
    <t>🍾 Treat Yourself to 3 Exclusive Sunday Brunches!</t>
  </si>
  <si>
    <t>Experience unlimited indulgence at Sheraton Grande Sukhumvit’s 3 signature Sunday Brunch Buffets — enjoy the Come 4 Pay 3 deal when you book now!</t>
  </si>
  <si>
    <t>SG_BKK_ctnoti_netcore_single_N_N_active_20251016_1700_sg-bull-market-noodle-bar-oct25__</t>
  </si>
  <si>
    <t>🍜 This is Not Your Average Beef Noodle!</t>
  </si>
  <si>
    <t>Indulge in a rich, gourmet beef noodle experience at Bull Market. Savour incredibly tender beef and deeply flavourful broth in a modern noodle bar setting. Enjoy this premium treat with deals up to 28% OFF. Book now.</t>
  </si>
  <si>
    <t>TH_BKK_ctnoti_netcore_group_N_N_active_20251016_1700_sheraton-grand-brunch-oct25</t>
  </si>
  <si>
    <t>🍾 ให้รางวัลตัวเองกับ 3 ซันเดย์บรันซ์สุดพิเศษ</t>
  </si>
  <si>
    <t>สัมผัสประสบการณ์บรันช์แบบไม่อั้นกับ Sunday Brunch Buffet จาก 3 ห้องอาหาร Sheraton Grande Sukhumvit พร้อมโปรมา 4 จ่าย 3 จองเลย!!</t>
  </si>
  <si>
    <t>SG_BKK_ctnoti_netcore_single_N_N_active_20251016_1900_sg-nozomi-at-millenia-walk-oct25</t>
  </si>
  <si>
    <t>🇯🇵 All-You-Can-Eat Premium Japanese Buffet!</t>
  </si>
  <si>
    <t>Indulge in an endless spread of freshly prepared Japanese delights at Nozomi. From premium sashimi to grilled dishes, feast on all your favourites, made-to-order, from just S$69</t>
  </si>
  <si>
    <t>EN_BKK_ctnoti_netcore_single_N_N_active_20251017_1100_audrey-cafe-emquartier-oct25</t>
  </si>
  <si>
    <t>🥐 Audrey Café – Come 4 Pay 3 Still On!</t>
  </si>
  <si>
    <t>Enjoy an international buffet every day in a chic French-style café setting.
Special price starts from just THB 798, until Nov 30 only!</t>
  </si>
  <si>
    <t>TH_BKK_ctnoti_netcore_single_N_N_active_20251017_1100_audrey-cafe-emquartier-oct25</t>
  </si>
  <si>
    <t>🥐 Audrey Cafe มา 4 จ่าย 3 ยังมีอยู่!!</t>
  </si>
  <si>
    <t>อิ่มได้ทุกวันกับบุฟเฟต์นานาชาติ ในคาเฟ่บรรยากาศฝรั่งเศสคลาสสิกสุดเรียบหรู ราคาพิเศษเริ่มต้น 798 บาท วันนี้ - 30 พ.ย. เท่านั้น</t>
  </si>
  <si>
    <t>EN_BKK_ctnoti_netcore_single_N_N_active_20251017_1500_57th-street-marriott-oct25</t>
  </si>
  <si>
    <t>✨ Come 2 Pay 1! at 57th Street Marriott Sukhumvit 57</t>
  </si>
  <si>
    <t>🍽️ Grab a friend! Enjoy a premium international dinner buffet for only 780 THB/person. Feast on fresh seafood, grilled river prawns, and more. Book now!</t>
  </si>
  <si>
    <t>TH_BKK_ctnoti_netcore_single_N_N_active_20251017_1500_57th-street-marriott-oct25</t>
  </si>
  <si>
    <t>✨ มา 2 จ่าย 1! ที่ 57th Street Marriott Sukhumvit 57</t>
  </si>
  <si>
    <t>🍽️ ชวนเพื่อนมาหาร! อิ่มอร่อยกับบุฟเฟ่ต์นานาชาติมื้อค่ำสุดพรีเมียม จ่ายเฉลี่ยเพียงท่านละ 780 บาท! จัดเต็มซีฟู้ด กุ้งแม่น้ำเผา และอีกเพียบ! จองเลย!</t>
  </si>
  <si>
    <t>EN_BKK_ctnoti_netcore_group_N_N_active_20251017_1700_penthouse-bar-grill-park-hyatt-oct25</t>
  </si>
  <si>
    <t>🥩 20% Off at Penthouse Bar + Grill Park Hyatt!</t>
  </si>
  <si>
    <t>🌃 Dine in style at a luxurious rooftop bar! Enjoy premium steaks and international dishes starting from just 898 THB! Experience a romantic atmosphere with stunning city views. Book now</t>
  </si>
  <si>
    <t>TH_BKK_ctnoti_netcore_group_N_N_active_20251017_1700_penthouse-bar-grill-park-hyatt-oct25</t>
  </si>
  <si>
    <t>🥩 ลด 20% ที่ Penthouse Bar + Grill Park Hyatt!</t>
  </si>
  <si>
    <t>🌃 ดินเนอร์หรูบนรูฟท็อปบาร์ใจกลางเมือง! อิ่มอร่อยกับสเต๊กชั้นเลิศและเมนูนานาชาติพรีเมียมในราคาเริ่มต้นเพียง 898 บาท! บรรยากาศสุดโรแมนติกพร้อมวิวหลักล้าน! รีบจองเลย!</t>
  </si>
  <si>
    <t>SG_BKK_ctnoti_netcore_single_N_N_active_20251017_1900_sg-foc-by-the-beach-oct25</t>
  </si>
  <si>
    <t>🥘 Up to 39% OFF Spanish Food by the Sea!</t>
  </si>
  <si>
    <t>Craving paella with a stunning sea view? Head to FOC by the Beach for a vibrant Spanish feast right on the sands of Sentosa. An unbeatable experience from only S$58 per person</t>
  </si>
  <si>
    <t>EN_BKK_ctnoti_netcore_single_N_N_active_20251018_1100_the-emerald-coffee-shop-oct25</t>
  </si>
  <si>
    <t>🎉 Up to 33% Off! at The Emerald Coffee Shop</t>
  </si>
  <si>
    <t>🍣 Great value international buffet! Lunch starts from just 599 THB. Enjoy a full spread of Japanese food, fresh seafood &amp; more. Located right at MRT Huai Khwang. Book now</t>
  </si>
  <si>
    <t>TH_BKK_ctnoti_netcore_single_N_N_active_20251018_1100_the-emerald-coffee-shop-oct25</t>
  </si>
  <si>
    <t>🎉 ลดสูงสุด 33%! ที่ The Emerald Coffee Shop</t>
  </si>
  <si>
    <t>🍣 บุฟเฟ่ต์นานาชาติสุดคุ้ม! มื้อกลางวันเริ่มต้นเพียง 599 บาท! จัดเต็มอาหารญี่ปุ่น ซีฟู้ดสดๆ และอีกเพียบ! เดินทางสะดวกติด MRT ห้วยขวาง จองเลย!</t>
  </si>
  <si>
    <t>EN_BKK_ctnoti_netcore_single_N_N_active_20251018_1500_ramen-kaosoi-oct25</t>
  </si>
  <si>
    <t>🍜 A Hidden Gem! Discover Ramen Kao Soi</t>
  </si>
  <si>
    <t>🍣 More than just great ramen! Feast on foie gras sushi, Salmon Volcano, and tons of unlimited premium Japanese dishes. Only at 543 THB</t>
  </si>
  <si>
    <t>TH_BKK_ctnoti_netcore_single_N_N_active_20251018_1500_ramen-kaosoi-oct25</t>
  </si>
  <si>
    <t>🍜 ร้านเด็ดต้อง "เข้าซอย"! ที่ ราเมง เข้าซอย</t>
  </si>
  <si>
    <t>🍣 ไม่ได้มีดีแค่ราเมน! จัดเต็มซูชิฟัวกราส์, แซลมอนภูเขาไฟ, และเมนูบุฟเฟต์ญี่ปุ่นพรีเมียมอีกเพียบ! อิ่มอร่อยในราคาสบายๆ เพียง 543 บาท</t>
  </si>
  <si>
    <t>EN_BKK_ctnoti_netcore_single_N_N_active_20251018_1700_river-barge-at-chatrium-oct25</t>
  </si>
  <si>
    <t>🔥 Come 2 Pay 1! Buffet by the River</t>
  </si>
  <si>
    <t>🥂 Enjoy an international lunch buffet at River Barge Chatrium Riverside for only 994.5 THB/person! Stunning views and a delicious feast await. Book now</t>
  </si>
  <si>
    <t>TH_BKK_ctnoti_netcore_single_N_N_active_20251018_1700_river-barge-at-chatrium-oct25</t>
  </si>
  <si>
    <t>🔥 มา 2 จ่าย 1! บุฟเฟต์ริมน้ำเจ้าพระยา</t>
  </si>
  <si>
    <t>🥂 อิ่มอร่อยกับบุฟเฟ่ต์นานาชาติมื้อกลางวันที่ River Barge Chatrium Riverside เฉลี่ยเพียงท่านละ 994.5 บาท! วิวสวยปัง อาหารจัดเต็ม! จองเลย!</t>
  </si>
  <si>
    <t>EN_BKK_ctnoti_netcore_single_N_N_active_20251019_1100_copper-aquarium-oct25</t>
  </si>
  <si>
    <t>🔥 Come 2 Pay 1! Buffet in an Aquarium!</t>
  </si>
  <si>
    <t>🐠 Dine with the fishes at Copper Aquarium! Enjoy an all-you-can-eat international &amp; seafood buffet for only 777 THB/person. A truly unique experience! Book now</t>
  </si>
  <si>
    <t>TH_BKK_ctnoti_netcore_single_N_N_active_20251019_1100_copper-aquarium-oct25</t>
  </si>
  <si>
    <t>🔥 มา 2 จ่าย 1! บุฟเฟต์ในอควาเรียมสุดปัง!</t>
  </si>
  <si>
    <t>🐠 ดินเนอร์ชมปลาที่ Copper Aquarium! อิ่มอร่อยกับบุฟเฟ่ต์นานาชาติและซีฟู้ดไม่อั้น เหลือเพียงท่านละ 777 บาท! บรรยากาศหนึ่งเดียวในไทย! รีบจองเลย!</t>
  </si>
  <si>
    <t>EN_BKK_ctnoti_netcore_single_N_N_active_20251019_1500_flavors-at-renaissance-oct25</t>
  </si>
  <si>
    <t>🔥 Come 2 Pay 1! at Flavors, Renaissance Bangkok</t>
  </si>
  <si>
    <t>🦀 The ultimate Surf &amp; Turf buffet! Only 890 THB/person. Feast on unlimited Alaskan King Crab, Wagyu Brisket, Lobster &amp; Fine de Claire Oysters! Book now</t>
  </si>
  <si>
    <t>TH_BKK_ctnoti_netcore_single_N_N_active_20251019_1500_flavors-at-renaissance-oct25</t>
  </si>
  <si>
    <t>🔥 มา 2 จ่าย 1! ที่ Flavors, Renaissance Bangkok</t>
  </si>
  <si>
    <t>🦀 ที่สุดแห่งบุฟเฟ่ต์ Surf &amp; Turf! เฉลี่ยท่านละ 890 บาท! จัดเต็มไม่อั้นทั้ง ปูอลาสก้า, เนื้อวากิวบริสเก็ต, ล็อบสเตอร์ และ หอยนางรม Fine de Claire! รีบจองด่วน!</t>
  </si>
  <si>
    <t>EN_BKK_ctnoti_netcore_single_N_N_active_20251019_1700_ads-the-factory-corner-oct25</t>
  </si>
  <si>
    <t>🍽️ Chilled Fusion Buffet from 990 THB!</t>
  </si>
  <si>
    <t>🏭 Make your dinner special at The Factory Corner! Enjoy an all-you-can-eat international buffet with free-flow soft drinks in a cool Factory Loft-style setting</t>
  </si>
  <si>
    <t>TH_BKK_ctnoti_netcore_single_N_N_active_20251019_1700_ads-the-factory-corner-oct25</t>
  </si>
  <si>
    <t>🍽️ บุฟเฟต์ฟิวชั่นสุดชิลล์ เริ่มต้น 990 บาท!</t>
  </si>
  <si>
    <t>🏭 เปลี่ยนมื้อค่ำให้พิเศษที่ The Factory Corner! อิ่มไม่อั้นกับอาหารนานาชาติพร้อมเครื่องดื่ม ในบรรยากาศ Factory Loft สุดเก๋ จองโต๊ะเลย!</t>
  </si>
  <si>
    <t>TH_BKK_ctnoti_netcore_single_N_N_active_20251020_1100_man-ho-chinese-restaurant-oct25</t>
  </si>
  <si>
    <t>มา 2 จ่าย 1 Man Ho ติ่มซำบุฟเฟต์!</t>
  </si>
  <si>
    <t>🥢 บุฟเฟ่ต์ติ่มซำมื้อกลางวันระดับพรีเมียม เหลือเฉลี่ยท่านละ 800 บาท! จัดเต็มเมนูซิกเนเจอร์และเมนูอื่นๆ กว่า 50 รายการ ที่ห้องอาหารจีน Man Ho! ชวนเพื่อนด่วน!</t>
  </si>
  <si>
    <t>EN_BKK_ctnoti_netcore_single_N_N_active_20251020_1100_man-ho-chinese-restaurant-oct25</t>
  </si>
  <si>
    <t>Come 2 Pay 1! Dim Sum Buffet at Man Ho</t>
  </si>
  <si>
    <t>🥢 Premium weekday Dim Sum lunch buffet for only 800 THB/person! Feast on over 50 signature and classic items at the renowned Man Ho. Grab a friend now</t>
  </si>
  <si>
    <t>TH_BKK_ctnoti_netcore_group_N_N_active_20251020_1500_buffet-festival-remind-2-oct25</t>
  </si>
  <si>
    <t>🔥 10 กว่าวันเท่านั้น Buffet Festival 2025 🍣🦞</t>
  </si>
  <si>
    <t>ห้ามพลาดกับดีลบุฟเฟต์เยอะที่สุดในไทย ลดจัดหนักกว่า 600+ จากร้านอาหารบุฟเฟต์ชั้นนำ พร้อมโปรยิ่งมาเยอะยิงจ่ายน้อย วันนี้  31 ต.ค.</t>
  </si>
  <si>
    <t>EN_BKK_ctnoti_netcore_group_N_N_active_20251020_1500_buffet-festival-remind-2-oct25</t>
  </si>
  <si>
    <t>🔥 Only 10 Days Left! Buffet Festival 2025 🍣🦞</t>
  </si>
  <si>
    <t>Don’t miss Thailand’s biggest buffet deals — over 600+ top restaurants with massive discounts and “the more you come, the less you pay” promos! Until Oct 31 only!</t>
  </si>
  <si>
    <t>SG_BKK_ctnoti_netcore_single_N_N_active_20251020_1700_sg-the-cocktail-office-oct25</t>
  </si>
  <si>
    <t>🍸 Unlimited Cocktails for 2 Hours!</t>
  </si>
  <si>
    <t>Clock out for the day and head to The Cocktail Office! For only S$80, enjoy 2 full hours of free-flow cocktails. The perfect way to unwind and get the party started. Reserve your spot.</t>
  </si>
  <si>
    <t>Unlimited Cocktails for 2 Hours</t>
  </si>
  <si>
    <t>EN_BKK_ctnoti_netcore_single_N_N_active_20251020_1700_ads-kohaku-omakase-v2-oct25</t>
  </si>
  <si>
    <t>✨ Up to 15% Off! Value Omakase at Kohaku</t>
  </si>
  <si>
    <t>🍣 Experience a premium Omakase course at a great price! Starting from just 1,165 THB for 10 courses. Enjoy fresh, seasonal ingredients from Japan. Near BTS Thong Lo. Book now</t>
  </si>
  <si>
    <t>TH_BKK_ctnoti_netcore_single_N_N_active_20251020_1700_ads-kohaku-omakase-v2-oct25</t>
  </si>
  <si>
    <t>✨ ลดสูงสุด 15%! โอมากาเสะสุดคุ้มที่ Kohaku</t>
  </si>
  <si>
    <t>🍣 สัมผัสประสบการณ์โอมากาเสะพรีเมียมในราคาสบายๆ! เริ่มต้นเพียง 1,165 บาทสำหรับ 10 คอร์ส! วัตถุดิบสดใหม่ส่งตรงจากญี่ปุ่น ใกล้ BTS ทองหล่อ จองเลย!</t>
  </si>
  <si>
    <t>SG_BKK_ctnoti_netcore_single_N_N_active_20251020_1900_sg-allora-ristorante-and-bar-oct25</t>
  </si>
  <si>
    <t>🇮🇹 Up to 40% OFF an Authentic Italian Feast!</t>
  </si>
  <si>
    <t>Discover the vibrant taste of Southern Italy at Allora! From wood-fired pizzas to fresh pastas, enjoy a truly authentic meal with amazing deals up to 40% OFF. Sets start from just S$33.</t>
  </si>
  <si>
    <t>EN_BKK_ctnoti_netcore_single_N_N_active_20251021_1100_savio-at-chatrium-grand-oct25</t>
  </si>
  <si>
    <t>✨ Up to 42% Off! Buffets at Savio Siam</t>
  </si>
  <si>
    <t>🍽️ A deal for every meal! Enjoy the international lunch buffet from 750 THB, or a grand dinner with our "Come 3 Pay 2" offer. Your premium feast in the heart of Siam awaits</t>
  </si>
  <si>
    <t>TH_BKK_ctnoti_netcore_single_N_N_active_20251021_1100_savio-at-chatrium-grand-oct25</t>
  </si>
  <si>
    <t>✨ ลดสูงสุด 42%! โปรบุฟเฟต์สุดหรูที่ Savio</t>
  </si>
  <si>
    <t>🍽️ อิ่มคุ้มได้ทุกมื้อ! ทั้งบุฟเฟ่ต์มื้อกลางวัน (เริ่ม 750.-) และมื้อค่ำสุดอลังการ (มา 3 จ่าย 2) ที่ Savio ใจกลางสยาม! เช็คดีลแล้วจองเลย!</t>
  </si>
  <si>
    <t>SG_BKK_ctnoti_netcore_single_N_N_active_20251021_1400_sg-evan-s-kitch-modern-asian-oct25</t>
  </si>
  <si>
    <t>✨ A Creative Twist on Your Favourite Flavours!</t>
  </si>
  <si>
    <t>Experience the magic of Modern Asian cuisine at Evan's Kitch. Discover playful and delicious takes on familiar local dishes, crafted with passion. Unforgettable sharing meals start from just S$46.67</t>
  </si>
  <si>
    <t>EN_BKK_ctnoti_netcore_single_N_N_active_20251021_1500_great-harbour-oct25</t>
  </si>
  <si>
    <t>Up to 15% Off! at Great Harbour</t>
  </si>
  <si>
    <t>🦀 Deals every day at this grand international buffet! Enjoy weekdays from 1,100 THB or a fantastic weekend feast at a special price. Indulge in seafood, sashimi, steak &amp; over 200 dishes! Book now</t>
  </si>
  <si>
    <t>TH_BKK_ctnoti_netcore_single_N_N_active_20251021_1500_great-harbour-oct25</t>
  </si>
  <si>
    <t>ลดสูงสุด 15%! ที่ Great Harbour</t>
  </si>
  <si>
    <t>🦀 บุฟเฟ่ต์นานาชาติสุดอลังการ มีโปรคุ้มทุกวัน! วันธรรมดาเริ่มต้นเพียง 1,100.- ส่วนวันหยุดก็จัดเต็มได้ในราคาสุดพิเศษ! อิ่มไม่อั้นกับซีฟู้ด ซาชิมิ สเต๊ก และอีกกว่า 200 เมนู! จองเลย!</t>
  </si>
  <si>
    <t>SG_BKK_ctnoti_netcore_single_N_N_active_20251021_1700_sg-stirling-steaks-oct25</t>
  </si>
  <si>
    <t>🔥 Craving Real Charcoal-Grilled Steak?</t>
  </si>
  <si>
    <t>Get that perfect smoky char at Stirling Steaks! Famous for serving high-quality, charcoal-grilled steaks at unbeatable prices. A satisfying steak meal awaits from just S$32.66</t>
  </si>
  <si>
    <t>EN_BKK_ctnoti_netcore_single_N_N_active_20251021_1700_ads-praya-kitchen-bangkok-oct25</t>
  </si>
  <si>
    <t>Come 4 Pay 3! at Praya Kitchen</t>
  </si>
  <si>
    <t>🦀 Great deals for lunch &amp; dinner! Grab our "Come 4 Pay 3" offer (from 824.25 THB/person) or enjoy the weekday lunch from 799 THB. Feast on the iconic Seafood Wall &amp; unlimited river prawns. Book now</t>
  </si>
  <si>
    <t>TH_BKK_ctnoti_netcore_single_N_N_active_20251021_1700_ads-praya-kitchen-bangkok-oct25</t>
  </si>
  <si>
    <t>มา 4 จ่าย 3! ที่ Praya Kitchen</t>
  </si>
  <si>
    <t>🦀 โปรบุฟเฟ่ต์สุดคุ้มทั้งมื้อกลางวันและค่ำ! ชวนเพื่อนมาหาร 4 จ่าย 3 เหลือเริ่มต้นท่านละ 824.25.- (หรืออิ่มสบายๆ มื้อกลางวันเริ่ม 799.-) จัดเต็มซีฟู้ดวอลล์และกุ้งแม่น้ำเผาไม่อั้น! จองด่วน!</t>
  </si>
  <si>
    <t>SG_BKK_ctnoti_netcore_single_N_N_active_20251021_1900_sg-una-at-the-alkaff-mansion-oct25__</t>
  </si>
  <si>
    <t>🇪🇸 Dine in One of Singapore's Most Beautiful Mansions!</t>
  </si>
  <si>
    <t>Looking for an unforgettable meal? UNA offers authentic Spanish flavours in the spectacular setting of The Alkaff Mansion. Experience this unique ambience with amazing sharing sets, now with up to 28% OFF</t>
  </si>
  <si>
    <t>EN_BKK_ctnoti_netcore_single_N_N_active_20251022_1100_bistro-m-at-marriott-executive-oct25</t>
  </si>
  <si>
    <t>🥂 Value All You Can Eat! at Bistro M Marriott</t>
  </si>
  <si>
    <t>😋 Unlimited dining with drinks! Starting from just 790 THB (incl. Free Flow Water), or upgrade to packages with free-flow beer/premium drinks! Relaxing dinner in Sukhumvit. Book now!</t>
  </si>
  <si>
    <t>TH_BKK_ctnoti_netcore_single_N_N_active_20251022_1100_bistro-m-at-marriott-executive-oct25</t>
  </si>
  <si>
    <t>🥂 All You Can Eat สุดคุ้ม! ที่ Bistro M Marriott</t>
  </si>
  <si>
    <t>😋 อิ่มไม่อั้นพร้อมเครื่องดื่ม! เริ่มต้นเพียง 790.- (รวม Free Flow Water) หรือเลือกแพ็กเกจพร้อมเบียร์/เครื่องดื่มพรีเมียม! ดินเนอร์สบายๆ ในสุขุมวิท จองเลย!</t>
  </si>
  <si>
    <t>EN_BKK_ctnoti_netcore_single_N_N_active_20251022_1500_chon-som-at-courtyard-oct25</t>
  </si>
  <si>
    <t>✨ Come 4 Pay 3! at Chon Som</t>
  </si>
  <si>
    <t>🍽️ Great buffet deals near the airport! Enjoy our "Come 4 Pay 3" offer for both lunch (from 592.5 THB/person) and a grand dinner. Feast on seafood and various international dishes. Book now</t>
  </si>
  <si>
    <t>TH_BKK_ctnoti_netcore_single_N_N_active_20251022_1500_chon-som-at-courtyard-oct25</t>
  </si>
  <si>
    <t>✨ มา 4 จ่าย 3! ที่ Chon Som</t>
  </si>
  <si>
    <t>🍽️ โปรบุฟเฟ่ต์สุดคุ้มใกล้สนามบิน! ชวนเพื่อนมาหาร 4 จ่าย 3 ได้ทั้งมื้อกลางวัน (เฉลี่ยเริ่ม 592.5.-) และมื้อค่ำสุดอลัง! จัดเต็มซีฟู้ดและอาหารนานาชาติเพียบ! จองเลย!</t>
  </si>
  <si>
    <t>SG_BKK_ctnoti_netcore_single_N_N_active_20251022_1400_sg-nozomi-at-the-star-vista-oct25</t>
  </si>
  <si>
    <t>🇯🇵 Up to 35% OFF Your Favourite Japanese Meal!</t>
  </si>
  <si>
    <t>Indulge for less at Nozomi at The Star Vista! From premium buffets to exquisite sharing sets, enjoy high-quality Japanese dining with up to 35% OFF. Delicious meals start from just S$37.5 per person. Book now.</t>
  </si>
  <si>
    <t>EN_BKK_ctnoti_netcore_single_N_N_active_20251022_1700_ads-koko-japanese-omakase-oct25</t>
  </si>
  <si>
    <t>🔥 Get 2 Pay 1! at Koko Omakase Silom</t>
  </si>
  <si>
    <t>🍣 Incredible Deal! Enjoy a premium 16-course Omakase for only 1,499.5 THB/person. Feast on Chutoro, Uni, Awabi, and Beef Steak! Book now before it's gone</t>
  </si>
  <si>
    <t>TH_BKK_ctnoti_netcore_single_N_N_active_20251022_1700_ads-koko-japanese-omakase-oct25</t>
  </si>
  <si>
    <t>🔥 ซื้อ 2 จ่ายแค่ 1! ที่ Koko Omakase</t>
  </si>
  <si>
    <t>🍣 โปรแรงที่สุด! โอมากาเสะพรีเมียม 16 คอร์ส เฉลี่ยเพียงท่านละ 1,499.5 บาท! จัดเต็มทั้ง ชูโทโร่, อูนิ, หอยเป๋าฮื้อญี่ปุ่น และสเต็กเนื้อ! รีบจองก่อนโปรหมด!</t>
  </si>
  <si>
    <t>SG_BKK_ctnoti_netcore_single_N_N_active_20251022_1700_sg-food-exchange-at-novotel-singapore-oct25</t>
  </si>
  <si>
    <t>🔥 50% OFF Lobster &amp; Seafood Buffet!</t>
  </si>
  <si>
    <t>This is not a drill! Enjoy a spectacular 50% OFF the famous Lobstermaia Dinner and Sunday Brunch at Food Exchange. Indulge in an endless feast of premium seafood and international dishes. Book this limited-time offer now!</t>
  </si>
  <si>
    <t>SG_BKK_ctnoti_netcore_single_N_N_active_20251022_1900_sg-flnt-singapore-oct25</t>
  </si>
  <si>
    <t>🎉 New Sharing Feasts at a Rooftop Gastrobar!</t>
  </si>
  <si>
    <t>Gather your crew! FLNT has just launched new sharing and sipping sets, perfect for groups. Experience unique Japanese-Peruvian Nikkei cuisine against stunning city views with deals up to 34% OFF</t>
  </si>
  <si>
    <t>EN_BKK_ctnoti_netcore_single_N_N_active_20251023_1100_pengyou-cuisine-specialty-bar-oct25</t>
  </si>
  <si>
    <t>🦆 รับฟรี เป็ดปักกิ่งทั้งตัว 1 ตัว</t>
  </si>
  <si>
    <t>Book the Come 4 Pay 3 buffet deal at PengYou Cuisine &amp; Specialty Bar (2 branches) via Hungry Hub — and enjoy a free full Peking duck! Until Dec 30 only!</t>
  </si>
  <si>
    <t>TH_BKK_ctnoti_netcore_single_N_N_active_20251023_1100_pengyou-cuisine-specialty-bar-oct25</t>
  </si>
  <si>
    <t>พิเศษสุดๆ เมื่อจองบุฟเฟต์โปรมา 4 จ่าย 3 จาก PengYou Cuisine &amp; Specialty Bar 2 สาขา ผ่าน Hungry Hub วันนี้ - 30 ธ.ค. เท่านั้น</t>
  </si>
  <si>
    <t>SG_BKK_ctnoti_netcore_single_N_N_active_20251023_1400_sg-sakon-thai-at-northpoint-city-oct25</t>
  </si>
  <si>
    <t>Craving authentic Thai food in Yishun? Sakon Thai makes it easy and affordable. Enjoy satisfying, flavour-packed meals from just S$20 per person. Book your table at Northpoint City now!</t>
  </si>
  <si>
    <t>EN_BKK_ctnoti_netcore_single_N_N_active_20251023_1500_suan-bua-centara-grand-oct25</t>
  </si>
  <si>
    <t>🇹🇭 Authentic Thai Buffet from 799 THB!</t>
  </si>
  <si>
    <t>😋 Unlimited delicious Thai cuisine at "Suan Bua", Centara Ladprao! Enjoy a wide variety of dishes with free-flow Thai herbal drinks in a luxurious setting. Book now</t>
  </si>
  <si>
    <t>TH_BKK_ctnoti_netcore_single_N_N_active_20251023_1500_suan-bua-centara-grand-oct25</t>
  </si>
  <si>
    <t>🇹🇭 บุฟเฟ่ต์อาหารไทยต้นตำรับ เริ่ม 799 บาท!</t>
  </si>
  <si>
    <t>😋 อิ่มไม่อั้นกับอาหารไทยรสเลิศที่ "สวนบัว" เซ็นทารา ลาดพร้าว! จัดเต็มเมนูเด็ดพร้อมเครื่องดื่มสมุนไพรไทยรีฟิล ในบรรยากาศสุดหรู จองเลย!</t>
  </si>
  <si>
    <t>EN_BKK_ctnoti_netcore_single_N_N_active_20251023_1700_ads-akato-bkk-bangkok-oct25</t>
  </si>
  <si>
    <t>🍣 Akato BKK – Buy 2 Pay 1!</t>
  </si>
  <si>
    <t>Enjoy a modern Japanese omakase experience with your choice of Standard or Premium course — starting from just THB 460 per person. Book now until Nov 30 only!</t>
  </si>
  <si>
    <t>SG_BKK_ctnoti_netcore_single_N_N_active_20251023_1700_sg-mama-diam-oct25__</t>
  </si>
  <si>
    <t>✨ A Playful Twist on Singaporean Food!</t>
  </si>
  <si>
    <t>Rediscover your favourite local flavours at Mama Diam, a speakeasy bar with a nostalgic soul. Indulge in creative sharing sets from just S$48.33 per person (up to 36% OFF)</t>
  </si>
  <si>
    <t>TH_BKK_ctnoti_netcore_single_N_N_active_20251023_1700_ads-akato-bkk-bangkok-oct25</t>
  </si>
  <si>
    <t>🍣 Akato BKK ซื้อ 2 จ่ายแค่ 1!!</t>
  </si>
  <si>
    <t>คุ้มกันอีกยาวๆ กับคอร์สโอมากาเสะสไตล์ญี่ปุ่นสุดโมเดิร์น เลือกได้ทั้งแบบ Standard และ Premium เริ่มต้นเพียง 460 บาทต่อท่าน จองเลย ถึง 30 พ.ย. เท่านั้น</t>
  </si>
  <si>
    <t>Buy 2 Pay 1</t>
  </si>
  <si>
    <t>SG_BKK_ctnoti_netcore_single_N_N_active_20251023_1900_sg-the-horse-s-mouth-oct25</t>
  </si>
  <si>
    <t>🌮 A Unique Latin-Japanese All-You-Can-Eat!</t>
  </si>
  <si>
    <t>Tired of the usual? The Horse's Mouth offers a vibrant fusion of Latin-American and Japanese flavours in a fun, secret izakaya setting. Experience their 2-hour unlimited feast for only S$59</t>
  </si>
  <si>
    <t>TH_BKK_ctnoti_netcore_single_N_N_active_20251024_1100_the-dining-room-oct25</t>
  </si>
  <si>
    <t>✨ ลด 25%! บุฟเฟ่ต์สุดสัปดาห์ The Dining Room</t>
  </si>
  <si>
    <t>🦀 จัดหนักมื้อพิเศษ! อิ่มไม่อั้นกับ ซี่โครงแกะย่าง, ร็อคล็อบสเตอร์, และ หอยนางรมฝรั่งเศส ที่ The Dining Room, Grand Hyatt Erawan! เริ่มต้น 1,945.- จองโต๊ะเลย!</t>
  </si>
  <si>
    <t>No, it has a "25% off" offer.</t>
  </si>
  <si>
    <t>EN_BKK_ctnoti_netcore_single_N_N_active_20251024_1100_the-dining-room-oct25</t>
  </si>
  <si>
    <t>✨ 25% Off! Weekend Buffet at The Dining Room</t>
  </si>
  <si>
    <t>🦀 A feast for the weekend! Indulge in unlimited Lamb Rack, Rock Lobster, and French Oysters at The Dining Room, Grand Hyatt Erawan. From 1,945 THB. Book your table now</t>
  </si>
  <si>
    <t>SG_BKK_ctnoti_netcore_single_N_N_active_20251024_1400_sg-basilico-at-conrad-singapore-oct25__</t>
  </si>
  <si>
    <t>🇮🇹 Experience One of Singapore's Best Italian Buffets!</t>
  </si>
  <si>
    <t>Indulge in an authentic Italian feast at the award-winning Basilico. Explore its famous antipasti bar, epic cheese room 🧀, and fresh live stations. An unforgettable buffet experience awaits from just S$70</t>
  </si>
  <si>
    <t>EN_BKK_ctnoti_netcore_single_N_N_active_20251024_1500_flavors-at-renaissance-oct25</t>
  </si>
  <si>
    <t>🔥 Come 2 Pay 1! at Flavors</t>
  </si>
  <si>
    <t>Only Thursday - Sunday Taste The ultimate Surf &amp; Turf buffet! Only 890 THB/person. Feast on unlimited Alaskan King Crab, Wagyu Brisket, Lobster &amp; Fine de Claire Oysters!</t>
  </si>
  <si>
    <t>TH_BKK_ctnoti_netcore_single_N_N_active_20251024_1500_flavors-at-renaissance-oct25</t>
  </si>
  <si>
    <t>🔥 มา 2 จ่าย 1! ที่ Flavors</t>
  </si>
  <si>
    <t>เฉพาะวันพฤหัสถึงอาทิตย์เท่านั้น อิ่มไม่อั้นกับที่สุดแห่งบุฟเฟ่ต์ Surf &amp; Turf! เฉลี่ยท่านละ 890 บาท! จัดเต็มไม่อั้นทั้ง ปูอลาสก้า, เนื้อวากิวบริสเก็ต, ล็อบสเตอร์ และ หอยนางรม Fine de Claire!</t>
  </si>
  <si>
    <t>SG_BKK_ctnoti_netcore_single_N_N_active_20251024_1700_sg-waa-cow-vivocity-oct25</t>
  </si>
  <si>
    <t>🔥 The OG Flame-Torched Wagyu Beef Bowls!</t>
  </si>
  <si>
    <t>Craving that melt-in-your-mouth wagyu goodness? Waa Cow! serves up Singapore's most iconic flame-torched beef bowls. Taste the hype with amazing deals up to 28% OFF. Sets start from just S$27.5!</t>
  </si>
  <si>
    <t>EN_BKK_ctnoti_netcore_single_N_N_active_20251024_1700_apsara-cruise-by-banyan-tree-oct25</t>
  </si>
  <si>
    <t>✨ 15% Off! Apsara Luxury Dinner Cruise</t>
  </si>
  <si>
    <t>🥂 Experience a magical night! Enjoy a fine 4-course Thai dinner aboard a traditional Thai vessel by Banyan Tree, while cruising along the Chao Phraya River. Book your romantic evening now</t>
  </si>
  <si>
    <t>TH_BKK_ctnoti_netcore_single_N_N_active_20251024_1700_apsara-cruise-by-banyan-tree-oct25</t>
  </si>
  <si>
    <t>✨ ลด 15%! ล่องเรือดินเนอร์หรู Apsara Cruise</t>
  </si>
  <si>
    <t>🥂 สัมผัสค่ำคืนสุดพิเศษ! ดินเนอร์อาหารไทย 4 คอร์สรสเลิศบนเรือสไตล์ไทยโบราณโดย Banyan Tree ชมวิวแม่น้ำเจ้าพระยายามค่ำคืน จองประสบการณ์สุดโรแมนติกเลย!</t>
  </si>
  <si>
    <t>SG_BKK_ctnoti_netcore_single_N_N_active_20251024_1900_sg-lazy-lizard-oct25</t>
  </si>
  <si>
    <t>🍕 Hearty Western Feasts from S$33.75!</t>
  </si>
  <si>
    <t>From pizzas and pastas to juicy steaks, Lazy Lizard has all your comfort food cravings covered. Gather your crew for a satisfying and wallet-friendly meal. The perfect casual dining spot awaits</t>
  </si>
  <si>
    <t>EN_BKK_ctnoti_netcore_single_N_N_active_20251025_1100_oishi-eaterium-oct25</t>
  </si>
  <si>
    <t>🍣 Oishi Eaterium Buffet – Special Price Only THB 699!</t>
  </si>
  <si>
    <t>Indulge in a premium Japanese buffet with unlimited salmon sashimi, sushi, teppanyaki, and more at 6 convenient locations. Book now and enjoy this amazing deal!</t>
  </si>
  <si>
    <t>TH_BKK_ctnoti_netcore_single_N_N_active_20251025_1100_oishi-eaterium-oct25</t>
  </si>
  <si>
    <t>🍣 Oishi Eaterium Buffet ราคาพิเศษเพียง 699.-!</t>
  </si>
  <si>
    <t>😋 จัดเต็มบุฟเฟ่ต์ญี่ปุ่นพรีเมียมในราคาสุดคุ้ม! อิ่มไม่อั้นกับแซลมอนซาชิมิ, ซูชิ, เทปันยากิ และเมนูอื่นๆ อีกเพียบ จาก 6 สาขาใกล้บ้าน จองเลย</t>
  </si>
  <si>
    <t>EN_BKK_ctnoti_netcore_single_N_N_active_20251025_1500_meridian-cruise-2-bangkok-oct25</t>
  </si>
  <si>
    <t>✨ Up to 38% Off! on Meridian Cruise 2</t>
  </si>
  <si>
    <t>🛳️ Great value buffet cruise! Enjoy the Sunset cruise from just 599 THB, or grab the "Come 4 Pay 3" deal for dinner rounds. Feast on an international buffet with stunning river views, departing from ICONSIAM. Book now</t>
  </si>
  <si>
    <t>TH_BKK_ctnoti_netcore_single_N_N_active_20251025_1500_meridian-cruise-2-bangkok-oct25</t>
  </si>
  <si>
    <t>✨ ลดสูงสุด 38%! ล่องเรือ Meridian Cruise 2</t>
  </si>
  <si>
    <t>🛳️ บุฟเฟ่ต์ล่องเรือสุดคุ้ม! รอบ Sunset เริ่มต้นเพียง 599.- เท่านั้น! ส่วนรอบค่ำก็มีโปรเด็ด มา 4 จ่าย 3! อิ่มอร่อยกับอาหารนานาชาติพร้อมชมวิวแม่น้ำเจ้าพระยา ขึ้นเรือที่ ICONSIAM จองเลย!</t>
  </si>
  <si>
    <t>EN_BKK_ctnoti_netcore_single_N_N_active_20251025_1700_man-fu-yuan-oct25</t>
  </si>
  <si>
    <t>🥢 Dim Sum Buffet from 598 THB</t>
  </si>
  <si>
    <t>😋 Enjoy an all-you-can-eat premium dim sum feast with free-flow beverages at Man Fu Yuan! Conveniently located at MRT QSNCC. Book your table now</t>
  </si>
  <si>
    <t>TH_BKK_ctnoti_netcore_single_N_N_active_20251025_1700_man-fu-yuan-oct25</t>
  </si>
  <si>
    <t>🥢 บุฟเฟต์ติ่มซำสุดคุ้ม เริ่ม 598.-</t>
  </si>
  <si>
    <t>😋 อิ่มไม่อั้นกับติ่มซำคุณภาพเยี่ยมพร้อมเครื่องดื่มรีฟิลที่ Man Fu Yuan! เดินทางสะดวกติด MRT ศูนย์ฯ สิริกิติ์ รีบชวนเพื่อนมาจัดเต็มเลย!</t>
  </si>
  <si>
    <t>SG_BKK_ctnoti_netcore_single_N_N_active_20251025_1700_sg-the-writing-club-oct25__</t>
  </si>
  <si>
    <t>🥃 For the Love of Whisky...</t>
  </si>
  <si>
    <t>Step into a whisky lover's paradise at The Writing Club. Explore over 700 rare and fine spirits in a luxurious, intimate setting. An exquisite experience awaits with deals up to 32% OFF</t>
  </si>
  <si>
    <t>EN_BKK_ctnoti_netcore_single_N_N_active_20251026_1100_guilty-anantara-siam-oct25</t>
  </si>
  <si>
    <t>🔥 Up to 55% Off! at Guilty Anantara Siam</t>
  </si>
  <si>
    <t>🌮 Deals for every occasion! Enjoy a value lunch set from 650 THB, or go all out with the All-You-Can-Eat (Come 2 Pay 1) and Sunday Brunch (Come 3 Pay 2) offers. Experience chic Latin American dining in the heart of Ratchadamri</t>
  </si>
  <si>
    <t>TH_BKK_ctnoti_netcore_single_N_N_active_20251026_1100_guilty-anantara-siam-oct25</t>
  </si>
  <si>
    <t>🔥 ลดสูงสุด 55%! ที่ Guilty Anantara Siam</t>
  </si>
  <si>
    <t>🌮 โปรดีมีครบ! ทั้งเซ็ตมื้อกลางวันสุดคุ้ม (เริ่ม 650.-) หรือจะจัดเต็ม All You Can Eat (มา 2 จ่าย 1) และ Sunday Brunch (มา 3 จ่าย 2)! สัมผัสอาหารละตินอเมริกันสุดชิคใจกลางราชดำริ จองเลย!</t>
  </si>
  <si>
    <t>Discount, not Come X Pay X.</t>
  </si>
  <si>
    <t>SG_BKK_ctnoti_netcore_single_N_N_active_20251026_1400_sg-element-restaurant-at-amara-oct25__</t>
  </si>
  <si>
    <t>✨ The Best of Both Worlds: A Semi-Buffet Feast!</t>
  </si>
  <si>
    <t>Why choose? At Element, select your own gourmet main course AND enjoy an all-you-can-eat spread of fresh seafood, appetisers, and desserts. This unique hotel buffet experience starts from just S$52.76</t>
  </si>
  <si>
    <t>EN_BKK_ctnoti_netcore_single_N_N_active_20251026_1500_red-oven-so-bangkok-oct25</t>
  </si>
  <si>
    <t>🔥 Come 2 Pay 1! at Red Oven, SO/ Bangkok</t>
  </si>
  <si>
    <t>🥂 Deals for every occasion at this stylish buffet in Sathorn! Enjoy weekday dinner from 883 THB/person, or indulge in the Sunday Brunch with 'Unlimited Foie Gras'! Book now</t>
  </si>
  <si>
    <t>TH_BKK_ctnoti_netcore_single_N_N_active_20251026_1500_red-oven-so-bangkok-oct25</t>
  </si>
  <si>
    <t>🔥 มา 2 จ่าย 1! ที่ Red Oven, SO/ Bangkok</t>
  </si>
  <si>
    <t>🥂 โปรแรงทุกวัน! บุฟเฟ่ต์ดีไซน์สุดเก๋ใจกลางสาทร มื้อค่ำเริ่มต้นเพียงท่านละ 883.- หรือจัดเต็มมื้อสายวันอาทิตย์กับ 'ฟัวกราส์ไม่อั้น'! จองเลย!</t>
  </si>
  <si>
    <t>SG_BKK_ctnoti_netcore_single_N_N_active_20251026_1700_sg-hongdae-korean-bbq-oct25</t>
  </si>
  <si>
    <t>🇰🇷 Up to 30% OFF Your Next Korean BBQ Party!</t>
  </si>
  <si>
    <t>Gather your crew for a flavour-packed K-BBQ feast! HONGDAE KOREAN BBQ offers delicious, authentic sets from just S$27.5 per person. The perfect spot for a fun and satisfying meal</t>
  </si>
  <si>
    <t>EN_BKK_ctnoti_netcore_single_N_N_active_20251026_1700_neta-grill-oct25</t>
  </si>
  <si>
    <t>🥩 Japanese Grill Buffet from 526 THB!</t>
  </si>
  <si>
    <t>🍣 A buffet for every budget at Neta Grill! Choose your level and enjoy both Yakiniku and Japanese dishes, from premium meats to fresh sashimi. Find a branch near you and book now</t>
  </si>
  <si>
    <t>TH_BKK_ctnoti_netcore_single_N_N_active_20251026_1700_neta-grill-oct25</t>
  </si>
  <si>
    <t>🥩 บุฟเฟต์ปิ้งย่างญี่ปุ่น เริ่มต้น 526.-!</t>
  </si>
  <si>
    <t>🍣 คุ้มทุกราคา! ที่ Neta Grill! มีให้เลือกหลายระดับความอร่อย ทั้งปิ้งย่างและอาหารญี่ปุ่น จัดเต็มทั้งเนื้อพรีเมียมและซาชิมิสดๆ เช็คสาขาใกล้บ้านแล้วจองเลย!</t>
  </si>
  <si>
    <t>SG_BKK_ctnoti_netcore_single_N_N_active_20251026_1900_sg-kozen-sushi-bar-oct25__</t>
  </si>
  <si>
    <t>🍣 Up to 40% OFF a Fresh Japanese Feast!</t>
  </si>
  <si>
    <t>Indulge in high-quality, authentic Japanese cuisine for less at Kozen. From fresh sashimi to delicious sharing plates, enjoy an amazing meal with deals up to 40% OFF. Sets start from just S$30 per person!</t>
  </si>
  <si>
    <t>TH_BKK_ctnoti_netcore_single_N_N_active_20251027_1100_man-fu-lou-bangkok-oct25</t>
  </si>
  <si>
    <t>✨ มา 4 จ่าย 3! ที่ Man Fu Lou</t>
  </si>
  <si>
    <t>🥢 บุฟเฟ่ต์อาหารจีนพรีเมียม! วันธรรมดาเริ่มเพียง 899.- Net หรือชวนแก๊งมาหาร 4 จ่าย 3 ได้ทุกวัน! ทั้งเป็ดปักกิ่ง ติ่มซำ และอาหารจีนกว่า 40 เมนู! จองเลย!</t>
  </si>
  <si>
    <t>EN_BKK_ctnoti_netcore_single_N_N_active_20251027_1100_man-fu-lou-bangkok-oct25</t>
  </si>
  <si>
    <t>✨ Come 4 Pay 3! at Man Fu Lou</t>
  </si>
  <si>
    <t>Premium Chinese Buffet! Weekdays start from just 899 THB Net, or enjoy the "Come 4 Pay 3" deal every day! Feast on Peking Duck, dim sum, and over 40 Chinese dishes</t>
  </si>
  <si>
    <t>EN_BKK_ctnoti_netcore_single_N_N_active_20251027_1500_last-5-day-buffet-festival-2025-oct25</t>
  </si>
  <si>
    <t>⏰ 5 Days Left - Buffet Festival 2025</t>
  </si>
  <si>
    <t>The subject line "⏰ 5 Days Left - Buffet Festival 2025" does not explicitly contain a "Come X Pay X" offer. The subject line only indicates a limited-time offer for a Buffet Festival.</t>
  </si>
  <si>
    <t>TH_BKK_ctnoti_netcore_single_N_N_active_20251027_1500_last-5-day-buffet-festival-2025-oct25</t>
  </si>
  <si>
    <t>⏰ นับถอยหลังอีก 5 วันเท่านั้น</t>
  </si>
  <si>
    <t>EN_BKK_ctnoti_netcore_single_N_N_active_20251027_1500_meridian-cruise-2-bangkok-oct25</t>
  </si>
  <si>
    <t>🛳️ Up to 38% Off! on Meridian Cruise 2</t>
  </si>
  <si>
    <t>Great value buffet cruise! Enjoy the Sunset cruise from just 599 THB, or grab the "Come 4 Pay 3" deal for dinner rounds. Feast on an international buffet with stunning river views, departing from ICONSIAM. Book now</t>
  </si>
  <si>
    <t>TH_BKK_ctnoti_netcore_single_N_N_active_20251027_1500_meridian-cruise-2-bangkok-oct25</t>
  </si>
  <si>
    <t>🛳️ ลดสูงสุด 38%! ล่องเรือ Meridian Cruise 2</t>
  </si>
  <si>
    <t>บุฟเฟต์ล่องเรือสุดคุ้ม! รอบ Sunset เริ่มต้นเพียง 599.- เท่านั้น! หรือจองรอบค่ำพร้อมมา 4 จ่าย 3!  อิ่มอร่อยกับอาหารนานาชาติพร้อมชมวิวแม่น้ำเจ้าพระยา ขึ้นเรือที่ ICONSIAM จองเลย!</t>
  </si>
  <si>
    <t>EN_BKK_ctnoti_netcore_single_N_N_active_20251028_1100_guilty-anantara-siam-oct25</t>
  </si>
  <si>
    <t>TH_BKK_ctnoti_netcore_single_N_N_active_20251028_1100_guilty-anantara-siam-oct25</t>
  </si>
  <si>
    <t>EN_BKK_ctnoti_netcore_single_N_N_active_20251028_1500_red-oven-so-bangkok-oct25</t>
  </si>
  <si>
    <t>TH_BKK_ctnoti_netcore_single_N_N_active_20251028_1500_red-oven-so-bangkok-oct25</t>
  </si>
  <si>
    <t>🥂 โปรดีฟินได้ทุกวัน! กับบุฟเฟต์ดีไซน์สุดเก๋ใจกลางสาทร มื้อค่ำเริ่มต้นเพียงท่านละ 883.- หรือจัดเต็มมื้อสายวันอาทิตย์กับ 'ฟัวกราส์ไม่อั้น'! จองเลย!</t>
  </si>
  <si>
    <t>EN_BKK_ctnoti_netcore_single_N_N_active_20251028_1700_neta-grill-oct25</t>
  </si>
  <si>
    <t>TH_BKK_ctnoti_netcore_single_N_N_active_20251028_1700_neta-grill-oct25</t>
  </si>
  <si>
    <t>EN_BKK_ctnoti_netcore_group_N_N_active_20251029_1100_weekly-new-week5-oct25</t>
  </si>
  <si>
    <t>🟢 Last Wednesday of the Month – New Restaurants Are Here!</t>
  </si>
  <si>
    <t>Book before payday and discover this week’s new arrivals!
Be among the first 5 reviewers of each new restaurant to get up to THB 200 off for free!</t>
  </si>
  <si>
    <t>TH_BKK_ctnoti_netcore_group_N_N_active_20251029_1100_weekly-new-week5-oct25</t>
  </si>
  <si>
    <t>EN_BKK_ctnoti_netcore_single_N_N_active_20251029_1500_ads-praya-kitchen-oct25</t>
  </si>
  <si>
    <t>✨ Come 4 Pay 3! at Praya Kitchen</t>
  </si>
  <si>
    <t>🦀 Great deals for lunch &amp; dinner! Grab our "Come 4 Pay 3" offer (from 824.25 THB/person) or enjoy the weekday lunch from 799 THB. Feast on the iconic Seafood Wall &amp; unlimited river prawns.</t>
  </si>
  <si>
    <t>TH_BKK_ctnoti_netcore_single_N_N_active_20251029_1500_ads-praya-kitchen-oct25</t>
  </si>
  <si>
    <t>✨ มา 4 จ่าย 3! ที่ Praya Kitchen</t>
  </si>
  <si>
    <t>🦀 โปรบุฟเฟต์สุดคุ้มทั้งมื้อกลางวันและค่ำ! ชวนเพื่อนมาหาร 4 จ่าย 3 เหลือเริ่มต้นท่านละ 824.25.- (หรืออิ่มสบายๆ มื้อกลางวันเริ่ม 799.-) จัดเต็มซีฟู้ดวอลล์และกุ้งแม่น้ำเผาไม่อั้น! จองด่วน!</t>
  </si>
  <si>
    <t>EN_BKK_ctnoti_netcore_single_N_N_active_20251029_1700_ads-ix-steak-house-nonthaburi-oct25</t>
  </si>
  <si>
    <t>🥩 Up to 24% Off! at IX Steak House</t>
  </si>
  <si>
    <t>👨‍👩‍👧‍👦 Bring the whole crew! Enjoy a value sharing set for 4, only 462.5 THB/person. Feast on a variety of steaks and fusion dishes in Bang Yai. Book your table now</t>
  </si>
  <si>
    <t>TH_BKK_ctnoti_netcore_single_N_N_active_20251029_1700_ads-ix-steak-house-nonthaburi-oct25</t>
  </si>
  <si>
    <t>🥩 ลดสูงสุด 24%! ที่ IX Steak House</t>
  </si>
  <si>
    <t>👨‍👩‍👧‍👦 ชวนมาทั้งแก๊ง! Sharing Set สุดคุ้มสำหรับ 4 ท่าน เฉลี่ยเพียงคนละ 462.5 บาท! อิ่มอร่อยกับสเต๊กและอาหารฟิวชั่นหลากหลายที่บางใหญ่! จองโต๊ะเลย!</t>
  </si>
  <si>
    <t>TH_BKK_ctnoti_netcore_single_N_N_active_20251030_1100_ads-china-palace-oct25</t>
  </si>
  <si>
    <t>✨ มา 4 จ่าย 3! บุฟเฟต์ติ่มซำ China Palace</t>
  </si>
  <si>
    <t>🥢 โปรวันธรรมดาสุดคุ้ม! ชวนแก๊งมา 4 จ่าย 3 อิ่มอร่อยกับบุฟเฟต์ติ่มซำพรีเมียม เหลือเฉลี่ยเพียงท่านละ 741.- เท่านั้น! (หรือเริ่มต้นที่ 788.-) จองเลย!</t>
  </si>
  <si>
    <t>EN_BKK_ctnoti_netcore_single_N_N_active_20251030_1100_ads-china-palace-oct25</t>
  </si>
  <si>
    <t>✨ Come 4 Pay 3! Dim Sum Buffet at China Palace</t>
  </si>
  <si>
    <t>🥢 Amazing weekday deal! Enjoy the Premium Dim Sum Buffet with our "Come 4 Pay 3" offer, only 741 THB/person on average! (Standard buffet starts from 788 THB). Book now</t>
  </si>
  <si>
    <t>EN_BKK_ctnoti_netcore_single_N_N_active_20251030_1500_viu-the-st-regis-oct25</t>
  </si>
  <si>
    <t>🔥 Come 2 Pay 1! at VIU, The St. Regis Bangkok</t>
  </si>
  <si>
    <t>🥂 Luxurious Epic Buffet Dinner! With our "Come 2 Pay 1" offer, it's only 1,500 THB/person. This amazing deal ends Oct 31st! Book your world-class experience now before it's gone</t>
  </si>
  <si>
    <t>TH_BKK_ctnoti_netcore_single_N_N_active_20251030_1500_viu-the-st-regis-oct25</t>
  </si>
  <si>
    <t>🔥 มา 2 จ่าย 1! ที่ VIU, The St. Regis Bangkok</t>
  </si>
  <si>
    <t>🥂 ดินเนอร์บุฟเฟต์สุดหรู! ชวนเพื่อนมาหาร 2 จ่าย 1 เหลือเพียงท่านละ 1,500.- โปรแรงถึงแค่ 31 ต.ค. นี้เท่านั้น! สัมผัสประสบการณ์ระดับเวิลด์คลาส รีบจองด่วน</t>
  </si>
  <si>
    <t>EN_BKK_ctnoti_netcore_single_N_N_active_20251030_1700_benihana-grand-mercure-oct25</t>
  </si>
  <si>
    <t>🔥 Live Teppanyaki Show at Benihana!</t>
  </si>
  <si>
    <t>🧑‍🍳 Be entertained by your personal chef! Enjoy premium Teppanyaki and Japanese dishes from just 1,766 THB, or go for the full All-You-Can-Eat experience! Near MRT Phetchaburi. Book now</t>
  </si>
  <si>
    <t>TH_BKK_ctnoti_netcore_single_N_N_active_20251030_1700_benihana-grand-mercure-oct25</t>
  </si>
  <si>
    <t>🔥 โชว์เทปันยากิสุดอลัง! ที่ Benihana</t>
  </si>
  <si>
    <t>🧑‍🍳 สนุกตื่นเต้นกับเชฟส่วนตัว! อิ่มอร่อยกับเมนูเทปันยากิและอาหารญี่ปุ่นพรีเมียม เริ่มต้นเพียง 1,766.- หรือจัดเต็ม All You Can Eat ก็คุ้ม! ใกล้ MRT เพชรบุรี จองเลย!</t>
  </si>
  <si>
    <t>EN_BKK_ctnoti_netcore_single_N_N_active_20251031_1100_last-day-buffet-festival-2025-oct25</t>
  </si>
  <si>
    <t>🚨 Last Day of Buffet Festival!</t>
  </si>
  <si>
    <t>Hurry up and grab exclusive buffet deals from top restaurants &amp; hotels — with “the more you come, the less you pay” promos! Available only until midnight tonight!</t>
  </si>
  <si>
    <t>TH_BKK_ctnoti_netcore_single_N_N_active_20251031_1100_last-day-buffet-festival-2025-oct25</t>
  </si>
  <si>
    <t>🚨 Buffet Festival วันสุดท้ายแล้ว!!</t>
  </si>
  <si>
    <t>รีบคว้าดีลบุฟเฟต์สุดพิเศษจากร้านอาหารและโรงแรมชั้นนำมากมาย พร้อมโปรโมชั่นยิ่งมาเยอะ ยิ่งจ่ายน้อย ถึงเที่ยงคืนนี้เท่านั้น</t>
  </si>
  <si>
    <t>SG_BKK_ctnoti_netcore_single_N_N_active_20251031_1400_sg-food-exchange-at-novotel-oct25</t>
  </si>
  <si>
    <t>EN_BKK_ctnoti_netcore_single_N_N_active_20251031_1500_gentle-butcher-oct25</t>
  </si>
  <si>
    <t>🔥 Up to 16% Off! Dry Aged Steak Buffet</t>
  </si>
  <si>
    <t>🥩 Calling all meat lovers! Enjoy an all-you-can-eat premium Dry Aged steak feast at Gentle Butcher, starting from just 1,390 THB in the heart of Sathorn. Book now</t>
  </si>
  <si>
    <t>TH_BKK_ctnoti_netcore_single_N_N_active_20251031_1500_gentle-butcher-oct25</t>
  </si>
  <si>
    <t>🔥 ลดสูงสุด 16%! บุฟเฟต์สเต๊กดรายเอจ</t>
  </si>
  <si>
    <t>🥩 สายเนื้อห้ามพลาด! อิ่มไม่อั้นกับสเต๊กดรายเอจ คุณภาพเยี่ยมที่ Gentle Butcher เริ่มต้นเพียง 1,390.- ใจกลางสาทร! จองด่วน!</t>
  </si>
  <si>
    <t>SG_BKK_ctnoti_netcore_single_N_N_active_20251031_1600_sg-fook-kin-singapore-oct25</t>
  </si>
  <si>
    <t>🔥 Up to 32% OFF Legendary Roast Meats!</t>
  </si>
  <si>
    <t>Taste the hype at Fook Kin! Indulge in their famous caramelized char siew and crispy roast pork with amazing deals up to 32% OFF. A truly satisfying meal awaits from just S$20.83 per person. Book now.</t>
  </si>
  <si>
    <t>EN_BKK_ctnoti_netcore_single_N_N_active_20251031_1700_kuang-seafood-oct25</t>
  </si>
  <si>
    <t>🔥 Up to 39% Off! at Kuang Seafood Ratchada</t>
  </si>
  <si>
    <t>🦀 Legendary Thai-Chinese seafood buffet! Starting from just 850 THB Net. Feast on fresh seafood 24 hours a day! Conveniently located at MRT Huai Khwang. Book now</t>
  </si>
  <si>
    <t>TH_BKK_ctnoti_netcore_single_N_N_active_20251031_1700_kuang-seafood-oct25</t>
  </si>
  <si>
    <t>🔥 ลดสูงสุด 39%! ที่ กวงซีฟู้ด รัชดา</t>
  </si>
  <si>
    <t>🦀 บุฟเฟต์ซีฟู้ดไทย-จีนในตำนาน! เริ่มต้นเพียง 850.- Net! จัดเต็มเมนูซีฟู้ดสดๆ เปิด 24 ชั่วโมง! เดินทางสะดวกติด MRT ห้วยขวาง หิวเมื่อไหร่ก็แวะมา!</t>
  </si>
  <si>
    <t>SG_BKK_ctnoti_netcore_single_N_N_active_20251031_1800_sg-tomahawk-contemporary-oct25__</t>
  </si>
  <si>
    <t>🥩 The Ultimate Steak Sharing Feast!</t>
  </si>
  <si>
    <t>Gather your friends for an epic meal at Tomahawk! Famous for their impressive sharing steaks and vibrant atmosphere. A truly satisfying dining experience starts from only S$68 per person. Find them at Raffles Place &amp; Novena. Reserve now.</t>
  </si>
  <si>
    <t>EN_BKK_ctnoti_netcore_group_N_N_active_20251101_1100_rooftop-festival-sep25</t>
  </si>
  <si>
    <t>🌇 Rooftop Festival 2025 Has Begun!</t>
  </si>
  <si>
    <t>As the cool season arrives, celebrate special moments with your loved one at stunning rooftops &amp; riverside restaurants — featuring exclusive promotions until Nov 30 only!</t>
  </si>
  <si>
    <t>TH_BKK_ctnoti_netcore_group_N_N_active_20251101_1100_rooftop-festival-sep25</t>
  </si>
  <si>
    <t>🌇 เริ่มแล้ว Rooftop Festival 2025</t>
  </si>
  <si>
    <t>ใกล้เริ่มต้นหน้าหนาว มาชวนคนรู้ใจมาสัมผัสมื้อพิเศษกับโปรโมชั่นจากรูฟท็อปและร้านอาหารริมน้ำชั้นนำมากมาย วันนี้ - 30 พ.ย. เท่านั้น</t>
  </si>
  <si>
    <t>SG_BKK_ctnoti_netcore_single_N_N_active_20251101_1200_sg-tha-siam-authentic-oct25</t>
  </si>
  <si>
    <t>🇹🇭 Craving REAL Authentic Thai Food?</t>
  </si>
  <si>
    <t>Look no further! Tha Siam serves up genuine, no-frills Thai cuisine packed with flavour. Taste the difference with amazing deals up to 28% OFF. A truly satisfying meal awaits from just S$19.5. Book now.</t>
  </si>
  <si>
    <t>EN_BKK_ctnoti_netcore_single_N_N_active_20251101_1500_redsquare-rooftop-bar-sep25</t>
  </si>
  <si>
    <t>🥂 Come 2 Pay 1! at RedSquare Rooftop Bar</t>
  </si>
  <si>
    <t>Chill out at this rooftop bar in the heart of Nana! Awesome deals to choose from! Enjoy a free-flow beer/cocktail package from just 595 THB/pack! Or go for the All-You-Can-Eat with free-flow alcohol, also with our "Come 2 Pay 1" offer! Book now</t>
  </si>
  <si>
    <t>TH_BKK_ctnoti_netcore_single_N_N_active_20251101_1500_redsquare-rooftop-bar-sep25</t>
  </si>
  <si>
    <t>มา 2 จ่าย 1! ที่ RedSquare Rooftop Bar</t>
  </si>
  <si>
    <t>🥂 ชิลล์บนรูฟท็อปบาร์ใจกลางนานา! โปรแรงมีให้เลือกเพียบ! แพ็กเกจ Free Flow เริ่มต้นเพียง 595.- หรือจัดหนัก All You Can Eat พร้อมเครื่องดื่มแอลกอฮอล์ไม่อั้น จองเลย!</t>
  </si>
  <si>
    <t>SG_BKK_ctnoti_netcore_single_N_N_active_20251101_1600_sg-wonderland-upside-down-oct25</t>
  </si>
  <si>
    <t>🙃 Step into an Upside Down Wonderland!</t>
  </si>
  <si>
    <t>Ready for a dining experience like no other? Wonderland Upside Down offers a whimsical, immersive meal where nothing is as it seems. Discover a creative Singaporean omakase with deals up to 41% OFF. Book your adventure.</t>
  </si>
  <si>
    <t>EN_BKK_ctnoti_netcore_single_N_N_active_20251101_1700_ads-china-palace-at-prince-palace-sep25</t>
  </si>
  <si>
    <t>🥢 Amazing weekday deal! Enjoy the Premium Dim Sum Buffet with our "Come 4 Pay 3" offer, only 741 THB/person on average! This special offer ends Nov 30th! Book now before it's gone</t>
  </si>
  <si>
    <t>TH_BKK_ctnoti_netcore_single_N_N_active_20251101_1700_ads-china-palace-at-prince-palace-sep25</t>
  </si>
  <si>
    <t>🥢 โปรวันธรรมดาสุดคุ้ม! ชวนแก๊งมา 4 จ่าย 3 อิ่มอร่อยกับบุฟเฟต์ติ่มซำพรีเมียม เหลือเฉลี่ยเพียงท่านละ 741.- เท่านั้น! โปรดีถึงแค่ 30 พ.ย. นี้! รีบจองเลย!</t>
  </si>
  <si>
    <t>SG_BKK_ctnoti_netcore_single_N_N_active_20251101_1800_sg-papi-s-tacos-oct25__</t>
  </si>
  <si>
    <t>🌮 Get a Real Taste of Mexico at Papi's Tacos!</t>
  </si>
  <si>
    <t>Craving authentic, no-frills tacos? Head to the highly-rated Papi's Tacos for a vibrant street-food experience. It's the perfect spot for a fun, casual meal, with sets from just S$25. Book your fiesta!</t>
  </si>
  <si>
    <t>EN_BKK_ctnoti_netcore_single_N_N_active_20251102_1100_jumbo-seafood-sep25</t>
  </si>
  <si>
    <t>🦀 Come 4 Pay 3! at JUMBO Seafood</t>
  </si>
  <si>
    <t>The legendary Singaporean seafood buffet! Enjoy the Elite Buffet (incl. Chili Crab) for only 1,499.25 THB/person. This offer ends Nov 30th! Available at ICONSIAM &amp; Siam Paragon. Book now</t>
  </si>
  <si>
    <t>TH_BKK_ctnoti_netcore_single_N_N_active_20251102_1100_jumbo-seafood-sep25</t>
  </si>
  <si>
    <t>🦀 มา 4 จ่าย 3! ที่ JUMBO Seafood</t>
  </si>
  <si>
    <t>บุฟเฟต์ซีฟู้ดสิงคโปร์ในตำนาน! จัดเต็ม Elite Buffet (รวมเมนูปูผัดซอสพริก) เหลือเฉลี่ยเพียงท่านละ 1,499.25.-! โปรดีถึงแค่ 30 พ.ย. นี้ ที่ ICONSIAM และ Siam Paragon รีบจอง!</t>
  </si>
  <si>
    <t>SG_BKK_ctnoti_netcore_single_N_N_active_20251102_1200_sg-korat-thai-cafe-oct25</t>
  </si>
  <si>
    <t>🌶️ Discover Orchard's Hidden Gem for Isaan Food!</t>
  </si>
  <si>
    <t>Craving authentic, fiery Isaan cuisine? Korat Thai Cafe is the go-to spot for those in the know. Taste the real deal with amazing deals up to 36% OFF. A flavour-packed meal awaits from just S$18.27. Book the secret!</t>
  </si>
  <si>
    <t>EN_BKK_ctnoti_netcore_single_N_N_active_20251102_1500_ads-tawan-cafe-bistro-sep25</t>
  </si>
  <si>
    <t>✨ Up to 34% Off! at Tawan Cafe • Bistro</t>
  </si>
  <si>
    <t>🍽️ Gather your friends! Enjoy a sharing set for 4, only 322.5 THB/person! Savor delicious fusion dishes in a chic cafe atmosphere in Ram Intra. Book now</t>
  </si>
  <si>
    <t>TH_BKK_ctnoti_netcore_single_N_N_active_20251102_1500_ads-tawan-cafe-bistro-sep25</t>
  </si>
  <si>
    <t>✨ ลดสูงสุด 34%! ที่ Tawan Cafe • Bistro</t>
  </si>
  <si>
    <t>🍽️ ชวนเพื่อนมาแชร์! เซ็ตสุดคุ้มสำหรับ 4 ท่าน เฉลี่ยเพียงคนละ 322.5.-! อิ่มอร่อยกับอาหารฟิวชั่นในคาเฟ่บรรยากาศดี ย่านรามอินทรา! จองเลย!</t>
  </si>
  <si>
    <t>SG_BKK_ctnoti_netcore_single_N_N_active_20251102_1600_sg-shrimp-prawn-seafood-oct25__</t>
  </si>
  <si>
    <t>🔥 Up to 49% OFF + a FREE Lobster!</t>
  </si>
  <si>
    <t>This might be the best deal in town. Enjoy up to 49% OFF authentic Thai seafood sets at Shrimp Prawn Seafood, AND get a FREE lobster on selected packages. What are you waiting for? Reserve your feast.</t>
  </si>
  <si>
    <t>EN_BKK_ctnoti_netcore_single_N_N_active_20251102_1700_red-sky-rooftop-bar-sep25</t>
  </si>
  <si>
    <t>🌃 Million-Dollar Views at Red Sky Rooftop Bar!</t>
  </si>
  <si>
    <t>🥂 Experience luxury on the 56th floor! Enjoy 360° panoramic city views with special food and drink packages, starting from just 799 THB/person. Book your spot now</t>
  </si>
  <si>
    <t>TH_BKK_ctnoti_netcore_single_N_N_active_20251102_1700_red-sky-rooftop-bar-sep25</t>
  </si>
  <si>
    <t>🌃 ชมวิวหลักล้าน! ที่ Red Sky Rooftop Bar</t>
  </si>
  <si>
    <t>🥂 สัมผัสประสบการณ์สุดหรูบนชั้น 56! ชมวิวกรุงเทพแบบ 360° พร้อมแพ็กเกจอาหารและเครื่องดื่มในราคาสุดพิเศษ เริ่มต้นเพียง 799.-/ท่าน! จองโต๊ะเลย!</t>
  </si>
  <si>
    <t>SG_BKK_ctnoti_netcore_single_N_N_active_20251102_1800_sg-merry-go-round-oct25</t>
  </si>
  <si>
    <t>🍻 Your New Favourite Hangout Spot in Siglap!</t>
  </si>
  <si>
    <t>Looking for a chill place for food and drinks? Merry-Go-Round offers a relaxed vibe and delicious fusion sharing plates. The perfect spot to unwind with friends, with deals up to 29% OFF. Book your get-together.</t>
  </si>
  <si>
    <t>TH_BKK_ctnoti_netcore_single_N_N_active_20251103_1100_anchor-premium-oct25</t>
  </si>
  <si>
    <t>✨ มา 4 จ่าย 3! ที่ Anchor Premium Buffet</t>
  </si>
  <si>
    <t>🥂 บุฟเฟต์พรีเมียมริมน้ำเจ้าพระยา! เฉลี่ยเพียงท่านละ 1,049.25.-! จัดเต็มกว่า 100 เมนู พร้อมรับฟรี! ฟัวกราส์เดอแองเคอร์ โปรดีถึงแค่ 30 พ.ย. นี้! รีบจองเลย!</t>
  </si>
  <si>
    <t>EN_BKK_ctnoti_netcore_single_N_N_active_20251103_1100_anchor-premium-oct25</t>
  </si>
  <si>
    <t>✨ Come 4 Pay 3! at Anchor Premium Buffet</t>
  </si>
  <si>
    <t>🥂 Premium riverside buffet! Only 1,049.25 THB/person on average. Enjoy over 100 dishes and a complimentary Foie Gras de Anchor! This offer ends Nov 30th! Book now</t>
  </si>
  <si>
    <t>TH_BKK_ctnoti_netcore_single_N_N_active_20251103_1500_yok-chinese-restaurant-oct25</t>
  </si>
  <si>
    <t>✨ มา 3 จ่าย 2! ที่ YOK Chinese Restaurant</t>
  </si>
  <si>
    <t>🥢 โปรใหม่เริ่ม 1 พ.ย. นี้! บุฟเฟต์ติ่มซำกวางตุ้งต้นตำรับ เหลือเฉลี่ยเพียงท่านละ 866.66.-! หรืออัปเกรดจัดเต็มเป็ดปักกิ่งได้ไม่อั้น! เดินทางสะดวกติด MRT ห้วยขวาง รีบจองล่วงหน้าเลย!</t>
  </si>
  <si>
    <t>EN_BKK_ctnoti_netcore_single_N_N_active_20251103_1500_yok-chinese-restaurant-oct25</t>
  </si>
  <si>
    <t>✨ Come 3 Pay 2! at YOK Chinese Restaurant</t>
  </si>
  <si>
    <t>🥢 New promo starts Nov 1st! Enjoy an authentic Cantonese Dim Sum buffet for only 866.66 THB/person on average. Or upgrade to include unlimited Peking Duck! Located at MRT Huai Khwang. Pre-book now</t>
  </si>
  <si>
    <t>SG_BKK_ctnoti_netcore_single_N_N_active_20251103_1600_sg-republic-bar-and-lounge-oct25</t>
  </si>
  <si>
    <t>Dine in Style at Republic Bar</t>
  </si>
  <si>
    <t>Savour a 3-course Republic Set Menu with truffle tagliatelle &amp; molten lava cake. Reserve your table on Hungry Hub.</t>
  </si>
  <si>
    <t>EN_BKK_ctnoti_netcore_single_N_N_active_20251103_1700_ads-blackyard-roast-brew-oct25</t>
  </si>
  <si>
    <t>Up to 30% Off! at Blackyard Roast &amp; Brew</t>
  </si>
  <si>
    <t>🍻 Backyard party vibes! Enjoy homemade-style fusion dishes in a super chill setting. Value sets start from an average of just 475 THB/person</t>
  </si>
  <si>
    <t>TH_BKK_ctnoti_netcore_single_N_N_active_20251103_1700_ads-blackyard-roast-brew-oct25</t>
  </si>
  <si>
    <t>ลดสูงสุด 30%! ที่ Blackyard Roast &amp; Brew</t>
  </si>
  <si>
    <t>🍻 ชวนเพื่อนมาปาร์ตี้ฟีลสวนหลังบ้าน! อิ่มอร่อยกับอาหารฟิวชั่นโฮมเมดในบรรยากาศสุดชิลล์ เซ็ตสุดคุ้มเฉลี่ยเริ่มแค่ 475.-/คน!</t>
  </si>
  <si>
    <t>Test-EN_BKK_ctnoti_netcore_single_N_N_active_20251024_1500_flavors-at-renaissance-oct25</t>
  </si>
  <si>
    <t>Test -🔥 Come 2 Pay 1! at Flavors</t>
  </si>
  <si>
    <t>Ad Hoc Segment</t>
  </si>
  <si>
    <t>SG_BKK_ctnoti_netcore_single_N_N_active_20251103_1800_sg-top-singapore-restaurants-nov25</t>
  </si>
  <si>
    <t>🍽️ Your Ultimate Singapore Food Guide is Here!</t>
  </si>
  <si>
    <t>Ready for your next great meal? Explore our curated collection of top-rated restaurants across the island. Whether it's a special occasion or a casual treat, find the perfect spot with amazing deals.</t>
  </si>
  <si>
    <t>SG_BKK_ctnoti_netcore_single_N_N_active_20251103_2000_sg-crab-wang-nov25__</t>
  </si>
  <si>
    <t>🦀 Up to 38% OFF an Imperial Crab Feast!</t>
  </si>
  <si>
    <t>Calling all crab lovers! Indulge in Crab Wang's signature crab dishes and a wide array of Chinese seafood delights. With deals up to 38% OFF, a truly satisfying meal starts from just S$24.5</t>
  </si>
  <si>
    <t>No.</t>
  </si>
  <si>
    <t>TH_BKK_ctnoti_netcore_single_N_N_active_20251104_1100_jw-cafe-at-jw-marriott-oct25</t>
  </si>
  <si>
    <t>⏰ โค้งสุดท้าย! โปรในตำนาน มา 2 จ่าย 1 ที่ JW Café</t>
  </si>
  <si>
    <t>🏃‍♀️ นับถอยหลัง! โปรสุดปัง มา 2 จ่าย 1 ทุกมื้อ กำลังจะหมด! เหลือเฉลี่ยเริ่มแค่ 495.5.- เท่านั้น! โอกาสสุดท้ายถึง 30 พ.ย. นี้! ช้าหมดอดนะ!</t>
  </si>
  <si>
    <t>EN_BKK_ctnoti_netcore_single_N_N_active_20251104_1100_jw-cafe-at-jw-marriott-oct25</t>
  </si>
  <si>
    <t>⏰ Last Chance! The legendary Come 2 Pay 1 at JW Café</t>
  </si>
  <si>
    <t>🏃‍♀️ Countdown is on! The epic "Come 2 Pay 1" for ALL buffets is ending soon. Prices from just 495.5 THB/person. Your final opportunity ends Nov 30th! Don't miss out!</t>
  </si>
  <si>
    <t>EN_BKK_ctnoti_netcore_single_N_N_active_20251104_1500_beer-collection-bangkok-oct25</t>
  </si>
  <si>
    <t>🔥 NEW! All-You-Can-Eat at Beer Collection</t>
  </si>
  <si>
    <t>🍽️ For the first time ever! Enjoy an unlimited fusion &amp; grill buffet starting from just 790 THB/person. Conveniently located near BTS Phrom Phong. Be the first to try!</t>
  </si>
  <si>
    <t>TH_BKK_ctnoti_netcore_single_N_N_active_20251104_1500_beer-collection-bangkok-oct25</t>
  </si>
  <si>
    <t>🔥 ครั้งแรก! บุฟเฟต์ที่ Beer Collection</t>
  </si>
  <si>
    <t>🍽️ ใหม่ล่าสุด! อิ่มไม่อั้นกับบุฟเฟต์อาหารฟิวชั่นและเมนูกริลล์เจ้าอร่อย เริ่มต้นเพียง 790.-/ท่าน! เดินทางสะดวกใกล้ BTS พร้อมพงษ์ รีบมาลองก่อนใคร!</t>
  </si>
  <si>
    <t>SG_BKK_ctnoti_netcore_single_N_N_active_20251104_1600_sg-kaarla-wood-fire-grill-bar-nov25</t>
  </si>
  <si>
    <t>🔥 An Unforgettable Wood-Fired Feast with a View!</t>
  </si>
  <si>
    <t>Dine high above the city at Kaarla, set on the 51st floor with stunning panoramic views. Experience the unique smoky flavours of Australian cuisine from their custom-built wood-fire grill. A spectacular meal awaits from S$69.54. Book now.</t>
  </si>
  <si>
    <t>EN_BKK_ctnoti_netcore_single_N_N_active_20251104_1700_ads-shabu-square-at-for-you-park-bangna-oct25</t>
  </si>
  <si>
    <t>🔥 Come 2 Pay 1! at Shabu Square Bangna</t>
  </si>
  <si>
    <t>🥩 Hottest Deal! Enjoy a premium shabu buffet with our "Come 2 Pay 1" weekday lunch offer, only 564.5 THB/person on average! Great deals for dinner and weekends are also available. Book now!</t>
  </si>
  <si>
    <t>TH_BKK_ctnoti_netcore_single_N_N_active_20251104_1700_ads-shabu-square-at-for-you-park-bangna-oct25</t>
  </si>
  <si>
    <t>🔥 มา 2 จ่าย 1! ที่ Shabu Square บางนา</t>
  </si>
  <si>
    <t>🥩 โปรแรงที่สุด! บุฟเฟต์ชาบูพรีเมียมมื้อกลางวันวันธรรมดา มา 2 จ่าย 1 เฉลี่ยเพียงท่านละ 564.5.-! ส่วนมื้อค่ำและวันหยุดก็มีโปรสุดคุ้ม! จองเลย!</t>
  </si>
  <si>
    <t>SG_BKK_ctnoti_netcore_single_N_N_active_20251104_1800_sg-akira-back-at-jw-marriott-nov25</t>
  </si>
  <si>
    <t>✨ Dine with a Michelin-starred Chef's Touch</t>
  </si>
  <si>
    <t>Experience the globally-acclaimed cuisine of Chef Akira Back. Indulge in innovative Japanese fusion dishes, including the legendary Tuna Pizza, in a stunning penthouse setting. A world-class meal awaits from S$94. Book your table.</t>
  </si>
  <si>
    <t>SG_BKK_ctnoti_netcore_single_N_N_active_20251104_2000_sg-morton-s-the-steakhouse-nov25</t>
  </si>
  <si>
    <t>🥩 Experience a Legendary American Steakhouse</t>
  </si>
  <si>
    <t>Indulge in the world-renowned Morton's The Steakhouse experience. Famous for its generous cuts of prime-aged USDA beef and classic ambiance, this is a meal to remember. Enjoy their prime lunch from just S$93.52. Book your table.</t>
  </si>
  <si>
    <t>TH_BKK_ctnoti_netcore_group_N_N_active_20251105_1100_loy-krathong-restaurants-nov25</t>
  </si>
  <si>
    <t>🎆 ด่วน!! มีร้านโปรพิเศษ ลอยกระทงนี้</t>
  </si>
  <si>
    <t>รีบจองด่วน กับร้านบุฟเฟต์โปรแรง เฉพาะวันลอยกระทง อาทิ Chon Som, Flow, Coppper Aquarium, และ The Station เข้าแอปเลย</t>
  </si>
  <si>
    <t>EN_BKK_ctnoti_netcore_group_N_N_active_20251105_1100_loy-krathong-restaurants-nov25</t>
  </si>
  <si>
    <t>🎆 Hurry! Loy Krathong Special Deals Are Here!</t>
  </si>
  <si>
    <t>Book now for exclusive Loy Krathong Day buffet promotions from top spots like Chon Som, Flow, Copper Aquarium &amp; The Station — open the app and grab your deal today!</t>
  </si>
  <si>
    <t>SG_BKK_ctnoti_netcore_single_N_N_active_20251105_1400_sg-firangi-superstar-nov25__</t>
  </si>
  <si>
    <t>🇮🇳 A Fantastical Twist on Modern Indian Food!</t>
  </si>
  <si>
    <t>Embark on a culinary journey at Firangi Superstar. Discover a creative menu that reinvents Indian classics, served in a stunning, theatrical setting. An amazing lunch experience starts from just S$66.5. Reserve your table.</t>
  </si>
  <si>
    <t>EN_BKK_ctnoti_netcore_group_N_N_active_20251105_1500_weekly-new-week1-nov25</t>
  </si>
  <si>
    <t>🟢 First Wednesday of November = New Restaurants!</t>
  </si>
  <si>
    <t>TH_BKK_ctnoti_netcore_group_N_N_active_20251105_1500_weekly-new-week1-nov25</t>
  </si>
  <si>
    <t>🟢 พุธแรกพฤศจิกายน มีร้านมาใหม่เพียบ</t>
  </si>
  <si>
    <t>ประเดิมพุธแรกของเดือนกับร้านมาใหม่ประจำสัปดาห์ เมื่อจองพร้อมรีวิวเป็น 5 คนแรก ของร้านใหม่แต่ละร้าน รับฟรี! ส่วนลดสูงสุด 200 บาท</t>
  </si>
  <si>
    <t>SG_BKK_ctnoti_netcore_single_N_N_active_20251105_1600_sg-south-side-keppel-all-day-cafe-nov25</t>
  </si>
  <si>
    <t>✨ Up to 37% OFF Your Next Cafe Hopping!</t>
  </si>
  <si>
    <t>Looking for a great deal at a beautiful cafe? South Side Keppel offers amazing value with hearty and delicious meals from only S$29.5 per person. The perfect spot to relax and recharge. Reserve now.</t>
  </si>
  <si>
    <t>EN_BKK_ctnoti_netcore_group_N_N_active_20251105_1700_ads-beef-express-nov25</t>
  </si>
  <si>
    <t>🔥 Come 2 Pay 1! at Beef Express</t>
  </si>
  <si>
    <t>🥩 A must-try for meat lovers! Enjoy an unlimited premium beef buffet and more with our "Come 2 Pay 1" offer, starting from just 795 THB/person on average. Find a branch near you and book now!</t>
  </si>
  <si>
    <t>TH_BKK_ctnoti_netcore_group_N_N_active_20251105_1700_ads-beef-express-nov25</t>
  </si>
  <si>
    <t>🔥 มา 2 จ่าย 1! Beef Express</t>
  </si>
  <si>
    <t>🥩 สายเนื้อตัวจริงห้ามพลาด! จัดเต็มบุฟเฟต์เนื้อไม่อั้นพร้อมเมนูอื่นๆ อีกเพียบ โปรแรง มา 2 จ่าย 1 เหลือเฉลี่ยเริ่มต้นเพียง 795.-/ท่าน! เช็คสาขาใกล้บ้านแล้วไปลุยกันเลย!</t>
  </si>
  <si>
    <t>SG_BKK_ctnoti_netcore_single_N_N_active_20251105_1800_sg-verandah-rooftop-rotisserie-nov25</t>
  </si>
  <si>
    <t>✨ A Rooftop Buffet Experience from S$32!</t>
  </si>
  <si>
    <t>Elevate your meal at Verandah! Dine with a view at this rooftop rotisserie, featuring succulent carved meats, fresh seafood, and stunning international dishes. A truly special buffet experience is now more affordable than ever. Book now.</t>
  </si>
  <si>
    <t>TH_BKK_ctnoti_netcore_single_N_N_active_20251106_1200_kongju-restaurant-nov25</t>
  </si>
  <si>
    <t>✨ ลดสูงสุด 26%! บุฟเฟต์เกาหลี Kongju</t>
  </si>
  <si>
    <t>🇰🇷 บุฟเฟต์เกาหลีในตำนาน! เริ่มต้นเพียง 850.-/ท่าน หรือจัดเต็ม Premium BBQ พร้อมโปรใหม่ มา 4 จ่าย 3! ใจกลางปทุมวัน จองเลย!</t>
  </si>
  <si>
    <t>EN_BKK_ctnoti_netcore_single_N_N_active_20251106_1200_kongju-restaurant-nov25</t>
  </si>
  <si>
    <t>✨ Up to 26% Off! Korean Buffet at Kongju</t>
  </si>
  <si>
    <t>🇰🇷 The legendary Korean buffet! Starting from just 850 THB/person, or enjoy the Premium BBQ Buffet with our new "Come 4 Pay 3" offer. In the heart of Pathumwan. Book now!</t>
  </si>
  <si>
    <t>Ravi notification</t>
  </si>
  <si>
    <t>Hungry Hub</t>
  </si>
  <si>
    <t>SG_BKK_ctnoti_netcore_single_N_N_active_20251106_1700_sg-vision-bistro-singapore-nov25</t>
  </si>
  <si>
    <t>🇻🇳 Up to 36% OFF Authentic Vietnamese Food!</t>
  </si>
  <si>
    <t>Craving a delicious and affordable Vietnamese meal? Vision Bistro is your spot! Enjoy authentic favourites like Pho and fresh spring rolls with amazing deals from just S$16.33. The perfect lunch is waiting. Book now.</t>
  </si>
  <si>
    <t>EN_BKK_ctnoti_netcore_group_N_N_active_20251106_1500_mojjo-rooftop-lounge-nov25</t>
  </si>
  <si>
    <t>💥 WOW! Rooftop Bar Deals You Can't Miss!</t>
  </si>
  <si>
    <t>🏃‍♀️ This is not a drill! Mojjo Rooftop Bar has insane deals! Grab a party pack for 4, averaging just 500 THB/person, with discounts up to 64% off! A view this good at this price is a must-go!</t>
  </si>
  <si>
    <t>TH_BKK_ctnoti_netcore_group_N_N_active_20251106_1500_mojjo-rooftop-lounge-nov25</t>
  </si>
  <si>
    <t>💥 ช็อก! รูฟท็อปบาร์หลักร้อย! ดีลแรงที่ Mojjo</t>
  </si>
  <si>
    <t>🏃‍♀️ ปาร์ตี้ด่วน! Mojjo Rooftop Bar จัดโปรแรงมาก! แพ็กเกจหาร 4 ตกคนละ 500.- เท่านั้น! ส่วนลดสูงสุด 64%! วิวปังขนาดนี้ราคานี้ต้องรีบไปแล้ว!</t>
  </si>
  <si>
    <t>EN_BKK_ctnoti_netcore_group_N_N_active_20251106_1700_ads-noah-cruise-bangkok-nov25</t>
  </si>
  <si>
    <t>✨ Up to 41% Off! on Noah Cruise</t>
  </si>
  <si>
    <t>🛳️ The best value buffet cruise! The Sunset program starts from just 890 THB, or choose the romantic Dinner program. Enjoy an international buffet with stunning river views, departing from ICONSIAM. Book now!</t>
  </si>
  <si>
    <t>TH_BKK_ctnoti_netcore_group_N_N_active_20251106_1700_ads-noah-cruise-bangkok-nov25</t>
  </si>
  <si>
    <t>✨ ลดสูงสุด 41%! ล่องเรือ Noah Cruise</t>
  </si>
  <si>
    <t>🛳️ บุฟเฟต์ล่องเรือสุดคุ้ม! รอบ Sunset เริ่มต้นเพียง 890.-! หรือเลือกรอบ Dinner สุดโรแมนติก! อิ่มอร่อยกับอาหารนานาชาติพร้อมชมวิวแม่น้ำเจ้าพระยา ขึ้นเรือที่ ICONSIAM จองเลย!</t>
  </si>
  <si>
    <t>SG_BKK_ctnoti_netcore_single_N_N_active_20251106_1900_sg--jaspe-at-wyndham-nov25</t>
  </si>
  <si>
    <t>🇫🇷 Up to 31% OFF an Affordable French Meal!</t>
  </si>
  <si>
    <t>Indulge in a delightful French dining experience without the hefty price tag. Jaspe offers high-quality, contemporary French cuisine in a relaxed setting. An amazing meal awaits from just S$29.5. Book now.</t>
  </si>
  <si>
    <t>SG_BKK_ctnoti_netcore_single_N_N_active_20251106_2100_sg-umami-10-singapore-nov25</t>
  </si>
  <si>
    <t>✨ Unlock the 5th Taste: An Umami Experience</t>
  </si>
  <si>
    <t>Embark on a unique culinary journey at Umami 10. Discover a menu of innovative European dishes, all crafted to highlight the rich, savoury taste of umami. A truly unforgettable meal awaits from just S$65. Book now.</t>
  </si>
  <si>
    <t>TH_BKK_ctnoti_netcore_single_N_N_active_20251107_1100_citi-bistro-pathumwan-nov25</t>
  </si>
  <si>
    <t>✨ มา 4 จ่าย 3! ที่ CiTi BiSTRO</t>
  </si>
  <si>
    <t>🦀 โปรใหม่! บุฟเฟต์มื้อค่ำ (ศ-ส) มา 4 จ่าย 3 เฉลี่ยเพียงท่านละ 937.5.-! จัดเต็มไลน์อาหารทำสดไม่อั้นทั้ง ซีฟู้ด, ซี่โครงแกะ พร้อมฟรีโฟลว์ค็อกเทล! ใจกลาง MBK จองเลย!</t>
  </si>
  <si>
    <t>EN_BKK_ctnoti_netcore_single_N_N_active_20251107_1100_citi-bistro-pathumwan-nov25</t>
  </si>
  <si>
    <t>✨ Come 4 Pay 3! at CiTi BiSTRO</t>
  </si>
  <si>
    <t>🦀 New Promo! The Fri-Sat dinner buffet is now "Come 4 Pay 3," only 937.5 THB/person on average. Enjoy unlimited made-to-order seafood, rack of lamb, and free-flow cocktails! In MBK Center.</t>
  </si>
  <si>
    <t>EN_BKK_ctnoti_netcore_mkt_N_N_active_20251107_1500_hungry-hub-diy-nov25</t>
  </si>
  <si>
    <t>🎉 Hungry Hub D.I.Y. Set Is Here!</t>
  </si>
  <si>
    <t>Create your own meal set just the way you like — with no minimum spend! Discover how it works and start customizing your perfect dining experience today! 👇</t>
  </si>
  <si>
    <t>No, the subject line does not explicitly state a "Buy X Pay Y" type of offer.</t>
  </si>
  <si>
    <t>TH_BKK_ctnoti_netcore_mkt_N_N_active_20251107_1500_hungry-hub-diy-nov25</t>
  </si>
  <si>
    <t>🎉 Hungry Hub D.I.Y. Set มาแล้ว!!</t>
  </si>
  <si>
    <t>เปิดตัวแพ็กเกจใหม่ล่าสุด สร้างเซ็ตอาหารของคุณเอง เลือกได้ตามสไตล์ที่คุณต้องการ ที่สำคัญไม่มีขั้นต่ำอีกด้วย! อยากรู้วิธีใช้ คลิกเลย 👇</t>
  </si>
  <si>
    <t>EN_BKK_ctnoti_netcore_group_N_N_active_20251107_1700_ads-sky-on-20-rooftop-bar-nov25</t>
  </si>
  <si>
    <t>💥 50% Off! Rooftop Dining at Sky on 20</t>
  </si>
  <si>
    <t>🎉 An unbeatable deal! All-You-Can-Eat with drinks on a rooftop with breathtaking views is now "Come 2 Pay 1"! Pay only half price! This amazing offer is valid until year-end. Book now before it's full!</t>
  </si>
  <si>
    <t>TH_BKK_ctnoti_netcore_group_N_N_active_20251107_1700_ads-sky-on-20-rooftop-bar-nov25</t>
  </si>
  <si>
    <t>💥 ช็อก! รูฟท็อปหารครึ่ง ที่ Sky on 20</t>
  </si>
  <si>
    <t>🎉 คุ้มกว่านี้ไม่มีอีกแล้ว! All You Can Eat พร้อมเครื่องดื่มบนรูฟท็อปวิวปัง! โปร มา 2 จ่าย 1 จ่ายแค่ครึ่งเดียว! โปรดีแบบนี้มีถึงสิ้นปีเท่านั้น! รีบจองก่อนโต๊ะเต็ม!</t>
  </si>
  <si>
    <t>The Thai phrase in the title, "หารครึ่ง" (Hahn Kreung), translates to "split in half" or "half price," suggesting a 50% off deal, not explicitly a "Come X Pay X" offer.</t>
  </si>
  <si>
    <t>SG_BKK_ctnoti_netcore_single_N_N_active_20261107_1900_sg-copper-chimney-nov25</t>
  </si>
  <si>
    <t>🇮🇳 Craving Authentic North Indian Flavours?</t>
  </si>
  <si>
    <t>SG_BKK_ctnoti_netcore_single_N_N_active_20261107_2100_sg-the-white-tiffin-amk-hub-nov25</t>
  </si>
  <si>
    <t>🍜 A Taste of Nostalgic Singaporean Flavours!</t>
  </si>
  <si>
    <t>EN_BKK_ctnoti_netcore_single_N_N_active_20251108_1100_chatuchak-cafe-nov25</t>
  </si>
  <si>
    <t>⏰ Last Chance! "Come 4 Pay 3" Chatuchak Cafe</t>
  </si>
  <si>
    <t>🏃‍♀️ Don't miss out! This month-end "Come 4 Pay 3" deal for the premium buffet includes a choice of Lobster Thermidor or Kobe Beef Steak! Only 892.5 THB/person. This insane offer ends Nov 30th! Book before it's gone!</t>
  </si>
  <si>
    <t>TH_BKK_ctnoti_netcore_single_N_N_active_20251108_1100_chatuchak-cafe-nov25</t>
  </si>
  <si>
    <t>⏰ โค้งสุดท้าย! โปร มา 4 จ่าย 3 Chatuchak Cafe</t>
  </si>
  <si>
    <t>🏃‍♀️ ห้ามพลาด! โปรสิ้นเดือน มา 4 จ่าย 3 บุฟเฟต์พรีเมียม แถมเลือกล็อบสเตอร์ หรือ สเต็กเนื้อโกเบได้อีก! เฉลี่ยคนละ 892.5.- เท่านั้น! โปรนี้ถึง 30 พ.ย. เท่านั้นนะ! รีบจองก่อนเต็ม!</t>
  </si>
  <si>
    <t>SG_BKK_ctnoti_netcore_single_N_N_active_20261108_1400_sg-little-lazy-lizard-singapore-nov25</t>
  </si>
  <si>
    <t>🦎 Your Favourite Neighbourhood Hangout!</t>
  </si>
  <si>
    <t>EN_BKK_ctnoti_netcore_group_N_N_active_20251108_1500_vertigo-rooftop-banyan-tree-nov25</t>
  </si>
  <si>
    <t>✨ Up to 56% Off! at Vertigo Rooftop Banyan Tree</t>
  </si>
  <si>
    <t xml:space="preserve">🌃 Dine at a world-class rooftop bar! Experience a 360° panoramic view of Bangkok with special food &amp; drink packages, starting from just 2,499 THB/person. Book your unforgettable experience now!
</t>
  </si>
  <si>
    <t>TH_BKK_ctnoti_netcore_group_N_N_active_20251108_1500_vertigo-rooftop-banyan-tree-nov25</t>
  </si>
  <si>
    <t>✨ ลดสูงสุด 56%! ที่ Vertigo Rooftop Banyan Tree</t>
  </si>
  <si>
    <t>🌃 ดินเนอร์บนรูฟท็อปบาร์ระดับโลก! สัมผัสวิวกรุงเทพฯ 360° พร้อมแพ็กเกจอาหารและเครื่องดื่มในราคาพิเศษ เริ่มต้นเพียง 2,499.-/ท่าน! จองประสบการณ์สุดประทับใจเลย!</t>
  </si>
  <si>
    <t>No, it mentions a maximum 56% discount.</t>
  </si>
  <si>
    <t>SG_BKK_ctnoti_netcore_single_N_N_active_20261108_1600_sg-marina-seafood-house-nov25</t>
  </si>
  <si>
    <t>🦀 The Ultimate Singaporean Seafood Feast!</t>
  </si>
  <si>
    <t>EN_BKK_ctnoti_netcore_group_N_N_active_20251108_1700_pengyou-cuisine-specialty-bar-nov25</t>
  </si>
  <si>
    <t>🥢 Dim Sum Party! Plus a FREE Peking Duck!</t>
  </si>
  <si>
    <t>🤩 Just book the Premium Buffet at PengYou Cuisine for 4, pay for 3, and get a whole Peking Duck for FREE! It's less than 1,000 THB each! Deal ends Nov 30th. Go before it's gone!</t>
  </si>
  <si>
    <t>TH_BKK_ctnoti_netcore_group_N_N_active_20251108_1700_pengyou-cuisine-specialty-bar-nov25</t>
  </si>
  <si>
    <t>🥢 ตี้ติ่มซำ! แถมเป็ดปักกิ่งฟรี!</t>
  </si>
  <si>
    <t>🤩 ชวนตี้ด่วน! PengYou Cuisine แค่จองบุฟเฟต์พรีเมียม มา 4 จ่าย 3 ก็รับเป็ดปักกิ่งไปเลยฟรีๆ 1 ตัว! หารแล้วตกคนละไม่ถึงพัน! โปรนี้ถึงสิ้นเดือน พ.ย. เท่านั้น! รีบไปก่อนเป็ดหมด!</t>
  </si>
  <si>
    <t>SG_BKK_ctnoti_netcore_single_N_N_active_20261108_1800_sg-riverfront-seafood-nov25</t>
  </si>
  <si>
    <t>🦀 The Perfect Zi Char Seafood Feast!</t>
  </si>
  <si>
    <t>EN_BKK_ctnoti_netcore_single_N_N_active_20251109_1100_seasonal-tastes-nov25</t>
  </si>
  <si>
    <t>🔥 Come 2 Pay 1! Sunday Brunch at Seasonal Tastes</t>
  </si>
  <si>
    <t>🦀 The ultimate Sunday Family Brunch! "Come 2 Pay 1" for only 1,118 THB/person on average. Feast on unlimited seafood and international dishes. Offer ends Nov 30th!</t>
  </si>
  <si>
    <t>TH_BKK_ctnoti_netcore_single_N_N_active_20251109_1100_seasonal-tastes-nov25</t>
  </si>
  <si>
    <t>🔥 มา 2 จ่าย 1! Sunday Brunch ที่ Seasonal Tastes</t>
  </si>
  <si>
    <t>🦀 Sunday Family Brunch สุดอลังการ! มา 2 จ่าย 1 เฉลี่ยเพียงท่านละ 1,118.-! จัดเต็มซีฟู้ดและอาหารนานาชาติไม่อั้น! โปรดีถึงแค่ 30 พ.ย. นี้!</t>
  </si>
  <si>
    <t>EN_BKK_ctnoti_netcore_group_N_N_active_20251109_1500_man-fu-yuan-nov25</t>
  </si>
  <si>
    <t>🥟 Up to 10% Off! Man Fu Yuan</t>
  </si>
  <si>
    <t>Indulge in a premium dim sum feast at Man Fu Yuan! 🥢 Enjoy an endless variety of steamed buns, fried delights, and other special dishes, complete with free-flow beverages! 🍵 All this from just ฿598 NET per person!</t>
  </si>
  <si>
    <t>TH_BKK_ctnoti_netcore_group_N_N_active_20251109_1500_man-fu-yuan-nov25</t>
  </si>
  <si>
    <t>🥟 ลดสูงสุด 10%! Man Fu Yuan</t>
  </si>
  <si>
    <t>จัดเต็มความอร่อยกับบุฟเฟ่ต์ติ่มซำระดับพรีเมียมที่ Man Fu Yuan! 🥢 อิ่มอร่อยกับเมนูหลากหลาย ทั้งของนึ่ง ของทอด และเมนูพิเศษอื่นๆ พร้อมเครื่องดื่มรีฟิลไม่อั้น! 🍵 сыิ่มคุ้มในราคาเริ่มต้นเพียง 598 บาทต่อท่านเท่านั้น!</t>
  </si>
  <si>
    <t>3905, 4350, 5845</t>
  </si>
  <si>
    <t>EN_BKK_ctnoti_netcore_group_N_N_active_20251109_1700_red-sky-rooftop-bar-56th-nov25</t>
  </si>
  <si>
    <t>🌃 360° City Views! Experience Red Sky Rooftop</t>
  </si>
  <si>
    <t>Your perfect date night awaits! ✨ Enjoy breathtaking Bangkok views from the 56th floor with a 3-course bar menu and 90 minutes of free-flow mocktails! 🍹 Unbeatable value starting from only ฿850 per person</t>
  </si>
  <si>
    <t>TH_BKK_ctnoti_netcore_group_N_N_active_20251109_1700_red-sky-rooftop-bar-56th-nov25</t>
  </si>
  <si>
    <t>🌃 ชมวิวหลักล้าน! Red Sky Rooftop</t>
  </si>
  <si>
    <t>ชวนคนพิเศษมาดินเนอร์สุดโรแมนติก! ✨ ดื่มด่ำกับวิวกรุงเทพฯ ยามค่ำคืนบนชั้น 56 พร้อมเซ็ตอาหาร 3 เมนูและม็อกเทลไม่อั้น 90 นาที! 🍹 ในราคาเริ่มต้นเบาๆ เพียง 850 บาทต่อท่าน (เมื่อมา 2 ท่าน) คุ้มกว่านี้ไม่มีอีกแล้ว!</t>
  </si>
  <si>
    <t>TH_BKK_ctnoti_netcore_group_N_N_active_20251110_1700_rooftop-indoor-nov25</t>
  </si>
  <si>
    <t>☔ ฝนตกบ่อย แต่อยากนั่งชิลล์รูฟท็อปต้องทำยังไง?</t>
  </si>
  <si>
    <t>นั่งชิลล์ไม่ง้อฝนตกกับ รูฟท็อปอินดอร์ นั่งในร่มสบายๆ พร้อมโปรสุดพิเศษจาก Rooftop Festival ตลอดพฤศจิกายน เข้าแอปแล้ว จองเลย</t>
  </si>
  <si>
    <t>EN_BKK_ctnoti_netcore_group_N_N_active_20251110_1700_rooftop-indoor-nov25</t>
  </si>
  <si>
    <t>☔ Rainy Days? Rooftop Vibes Still On!</t>
  </si>
  <si>
    <t>Stay cozy and enjoy indoor rooftops with stunning views &amp; special deals from the Rooftop Festival — all November long. Open the app and book your spot now!</t>
  </si>
  <si>
    <t>SG_BKK_ctnoti_netcore_single_N_N_active_20251110_1800_sg-the-astor-grill-nov25</t>
  </si>
  <si>
    <t>✨ An Exquisite Grill Experience at The St. Regis</t>
  </si>
  <si>
    <t>Indulge in a world of epicurean delights at The Astor Grill. Savour perfectly grilled premium meats and seafood in a setting of refined luxury. This exceptional lunch experience can be yours from just S$58</t>
  </si>
  <si>
    <t>EN_BKK_ctnoti_netcore_single_N_N_active_20251110_1700_mungkorn-seafood-x-you-hunt-we-cook-nov25</t>
  </si>
  <si>
    <t>🔥 Don’t Miss! Mungkorn Seafood X You Hunt We Cook!</t>
  </si>
  <si>
    <t>Dive into the ultimate seafood feast — lobster rice bowl, soy-marinated salmon, live crabs &amp; prawns, and so much more! Special price only THB 958 — book now!</t>
  </si>
  <si>
    <t>SG_BKK_ctnoti_netcore_single_N_N_active_20251110_2000_sg-tiffin-room-at-raffles-nov25__</t>
  </si>
  <si>
    <t>🇮🇳 An Exquisite Royal Indian Dining Experience</t>
  </si>
  <si>
    <t>Step back in time at the legendary Tiffin Room. Savour authentic royal Indian cuisine, elegantly served in custom-made tiffin boxes within the grand Raffles Hotel. This unique heritage experience awaits from S$101</t>
  </si>
  <si>
    <t>TH_BKK_ctnoti_netcore_single_N_N_active_20251110_1700_mungkorn-seafood-x-you-hunt-we-cook-nov25</t>
  </si>
  <si>
    <t>🔥 ห้ามพลาด! มังกรซีฟู้ด X You Hunt We Cook</t>
  </si>
  <si>
    <t>ลองกันหรือยังกับบุฟเฟต์ทะเลเดือด ยกมาทั้งข้าวหน้ากุ้งมังกรแกะ แซลมอนดองซีอิ๊ว ปูทะเลเป็น กุ้งเป็น และอีกมากมาย ราคาพิเศษเพียง 958 บาท เท่านั้น</t>
  </si>
  <si>
    <t>TH_BKK_ctnoti_netcore_single_N_N_active_20251111_1100_ads-savio-at-chatrium-grand-nov25</t>
  </si>
  <si>
    <t>🔥 ลด 42% ที่ Savio Chatrium Grand</t>
  </si>
  <si>
    <t>ยกระดับมื้อกลางวันให้ไม่จำเจ กับบุฟเฟต์นานาชาติธีมใหม่ทุกวัน ทั้ง Taco Tuesday, Burger &amp; Friends และอีกมากมาย ในราคาสุดพิเศษเพียง 750 บาท</t>
  </si>
  <si>
    <t>EN_BKK_ctnoti_netcore_single_N_N_active_20251111_1100_ads-savio-at-chatrium-grand-nov25</t>
  </si>
  <si>
    <t>🔥 42% Off at Savio Chatrium Grand</t>
  </si>
  <si>
    <t>Escape the ordinary lunch. Discover a new culinary theme every day, from Taco Tuesday to Burgers &amp; Friends, all for the special price of just 750 baht.</t>
  </si>
  <si>
    <t>TH_BKK_ctnoti_netcore_group_N_N_active_20251111_1500_sol-and-luna-bkk-rooftop-nov25_</t>
  </si>
  <si>
    <t>🔥 ลดสูงสุด 34% ที่ SOL and LUNA Rooftop 🌇</t>
  </si>
  <si>
    <t>SG_BKK_ctnoti_netcore_single_N_N_active_20251111_1700_sg-shosha-singapore-nov25</t>
  </si>
  <si>
    <t>🔥 Sizzling Hot Fusion Feasts!</t>
  </si>
  <si>
    <t>Experience the sizzle at ShoSha! Enjoy delicious and creative Asian fusion dishes, served piping hot on sizzling plates. A fun and flavourful meal awaits with deals up to 37% OFF. Book your table now.</t>
  </si>
  <si>
    <t>EN_BKK_ctnoti_netcore_group_N_N_active_20251111_1500_sol-and-luna-bkk-rooftop-nov25_</t>
  </si>
  <si>
    <t>🔥 Up to 34% Off at SOL and LUNA Rooftop 🌇</t>
  </si>
  <si>
    <t>SG_BKK_ctnoti_netcore_single_N_N_active_20251111_1900_sg-cheeky-signature-s-bee-hoon-nov25__</t>
  </si>
  <si>
    <t>🍜 The Ultimate Bee Hoon Experience!</t>
  </si>
  <si>
    <t>Craving a truly satisfying bowl of bee hoon? Cheeky Signature's is the master! Savour their rich, flavourful broths and premium ingredients with amazing deals up to 25% OFF. Book your comfort meal now.</t>
  </si>
  <si>
    <t>EN_BKK_ctnoti_netcore_single_N_N_active_20251111_1700_hagi-centara-grand-nov25</t>
  </si>
  <si>
    <t>🍱 Unlimited Japanese Feast at Hagi – Only THB 999!</t>
  </si>
  <si>
    <t>Enjoy over 100 Japanese dishes with free-flow green tea for 90 minutes — all at a special price of THB 999 (from THB 1,199). Don’t miss out!</t>
  </si>
  <si>
    <t>TH_BKK_ctnoti_netcore_single_N_N_active_20251111_1700_hagi-centara-grand-nov25</t>
  </si>
  <si>
    <t>🍱 อิ่มไม่อั้นกับ Hagi จ่ายเพียง 999.-</t>
  </si>
  <si>
    <t>อิ่มอร่อยกับบุฟเฟต์อาหารญี่ปุ่นกว่า 100 เมนู พร้อมชาเขียว ทานได้ไม่อั้นกว่า 90 นาที ในราคาพิเศษเพียง 999 บาท จากปกติ 1,199 บาท</t>
  </si>
  <si>
    <t>SG_BKK_ctnoti_netcore_single_N_N_active_20251111_2100_sg-taste-of-seafood-nov25</t>
  </si>
  <si>
    <t>🦞 Up to 29% OFF Your Next Seafood Feast!</t>
  </si>
  <si>
    <t>Taste Of Seafood has all your cravings covered! Indulge in a fusion of Singaporean, Chinese, and Japanese seafood delights. With deals up to 29% OFF, a spectacular feast awaits from just S$29.5. Book your table now.</t>
  </si>
  <si>
    <t>TH_BKK_ctnoti_netcore_single_N_N_active_20251112_1100_weekly-new-week2-nov25</t>
  </si>
  <si>
    <t>EN_BKK_ctnoti_netcore_single_N_N_active_20251112_1100_weekly-new-week2-nov25</t>
  </si>
  <si>
    <t>SG_BKK_ctnoti_netcore_single_N_N_active_20251112_1400_sg-yi-jia-south-nov25</t>
  </si>
  <si>
    <t>🦀 Hidden Chinese Seafood Gem!</t>
  </si>
  <si>
    <t>Craving award-winning Zi Char? Head to Yi Jia for their legendary Crab Bee Hoon and a huge variety of fresh seafood dishes. Enjoy a truly satisfying meal with deals up to 26% OFF. Book your table now.</t>
  </si>
  <si>
    <t>EN_BKK_ctnoti_netcore_group_N_N_active_20251112_1500_blue-sky-rooftop-bar-nov25</t>
  </si>
  <si>
    <t>🌃 Luxurious Rooftop Dinner at Blue Sky</t>
  </si>
  <si>
    <t>Experience elevated European dining with breathtaking 360° city views — starting from just THB 990 per person. A night to remember awaits!</t>
  </si>
  <si>
    <t>TH_BKK_ctnoti_netcore_group_N_N_active_20251112_1500_blue-sky-rooftop-bar-nov25</t>
  </si>
  <si>
    <t>🌃 ดินเนอร์รูฟท็อปสุดหรู กับ Blue Sky</t>
  </si>
  <si>
    <t>สัมผัมประสบการณ์ที่เหนือระดับ กับรสชาติอาหารสไตล์ยูโรเปี้ยน พร้อมวิวแบบ 360 องศา ในราคาสุดพิเศษเริ่มต้นเพียง 990 บาทต่อท่านเท่านั้น</t>
  </si>
  <si>
    <t>SG_BKK_ctnoti_netcore_single_N_N_active_20251112_1600_sg-the-blue-tiffin-nov25</t>
  </si>
  <si>
    <t>✨ Something for Everyone at The Blue Tiffin!</t>
  </si>
  <si>
    <t>From Western classics to Asian favourites, The Blue Tiffin offers a world of flavours perfect for the whole family. Enjoy a delicious and satisfying meal with deals up to 28% OFF. Book your table now.</t>
  </si>
  <si>
    <t>EN_BKK_ctnoti_netcore_group_N_N_active_20251112_1700_kisekhi-craft-and-fusion-buffet-nov25</t>
  </si>
  <si>
    <t>🔥 Weekday Deal! Come 2 Pay 1 at Kisekhi</t>
  </si>
  <si>
    <t>Feast on an all-you-can-eat buffet with shabu, river prawns, and Japanese favorites — all for just THB 519 per person. Available on weekdays only, until Dec 31!</t>
  </si>
  <si>
    <t>TH_BKK_ctnoti_netcore_group_N_N_active_20251112_1700_kisekhi-craft-and-fusion-buffet-nov25</t>
  </si>
  <si>
    <t>🔥 มา 2 จ่าย 1 กับ Kisekhi Craft and Fusion Buffet</t>
  </si>
  <si>
    <t>โปรแรงเฉพาะวันธรรมดาเท่านั้น จัดเต็มกับบุฟเฟต์ชาบู กุ้งแม่น้ำ และอาหารญี่ปุ่นอีกมากมาย เฉลี่ยเพียง 519 บาท/ท่าน วันนี้ - 31 ธ.ค. เท่านั้น</t>
  </si>
  <si>
    <t>SG_BKK_ctnoti_netcore_single_N_N_active_20251112_1800_sg-haldi-mexicana-nov25</t>
  </si>
  <si>
    <t>🇮🇳🌮 When India Meets Mexico!</t>
  </si>
  <si>
    <t>Get ready for a flavour explosion! Haldi &amp; Mexicana serves up a unique and delicious fusion of Indian spices and Mexican favourites. A truly exciting meal awaits with deals up to 26% OFF. Book your culinary adventure.</t>
  </si>
  <si>
    <t>EN_BKK_ctnoti_netcore_single_N_N_active_20251113_1100_s-cafe-at-s31-nov25</t>
  </si>
  <si>
    <t>🍽️ Fine Dining Buffet – All You Can Eat for Only THB 950!</t>
  </si>
  <si>
    <t>S Café launches its new Fine Dining Buffet — enjoy unlimited premium dishes from Western, Asian &amp; Japanese cuisines, all for just THB 950. Available only on Wednesdays &amp; Thursdays!</t>
  </si>
  <si>
    <t>TH_BKK_ctnoti_netcore_single_N_N_active_20251113_1100_s-cafe-at-s31-nov25</t>
  </si>
  <si>
    <t>🍽️ Fine Dining ทานได้ไม่อั้น งบเดียว 950.- !!</t>
  </si>
  <si>
    <t>S Cafe ยกโปรใหม่ Fine Dining Buffet อิ่มไม่อั้นกับเมนูสุดหรูหลากหลายสไตล์ ทั้งตะวันตก เอเชีย ญี่ปุ่น ในราคาเดียวเพียง 950.- เฉพาะวันพุธและพฤหัสบดีเท่านั้น</t>
  </si>
  <si>
    <t>EN_BKK_ctnoti_netcore_group_N_N_active_20251113_1500_yao-rooftop-bar-bangkok-nov25</t>
  </si>
  <si>
    <t>🏮 Modern Chinese Rooftop with 360° View!</t>
  </si>
  <si>
    <t>Experience Yao Rooftop Bar — a stylish Chinese rooftop with panoramic city views and exquisite Cantonese cuisine. Special price starts from THB 990. Book now!</t>
  </si>
  <si>
    <t>TH_BKK_ctnoti_netcore_group_N_N_active_20251113_1500_yao-rooftop-bar-bangkok-nov25</t>
  </si>
  <si>
    <t>🏮 รูฟท็อปจีนสุดโมเดิร์น วิวสวยแบบ 360 องศา</t>
  </si>
  <si>
    <t>ลองเลย Yao Rooftop Bar รูฟท็อปบาร์สไตล์จีนสุดโมเดิร์น พร้อมลิ้มรสอาหารจีนกวางตุ้ง ในราคาพิเศษเริ่มต้นเพียง 990 บาท จองเลย</t>
  </si>
  <si>
    <t>EN_BKK_ctnoti_netcore_single_N_N_active_20251113_1700_ads-the-square-at-novotel-bangkok-nov25</t>
  </si>
  <si>
    <t>🥢 The Square’s Legendary Chinese Buffet Is Back!</t>
  </si>
  <si>
    <t>It’s back and better than ever — indulge in premium dim sum, roasted pork, crispy pork belly, Peking duck, and giant river prawns. Book via Hungry Hub and get an exclusive special dish!</t>
  </si>
  <si>
    <t>TH_BKK_ctnoti_netcore_single_N_N_active_20251113_1700_ads-the-square-at-novotel-bangkok-nov25</t>
  </si>
  <si>
    <t>🥢 The Square บุฟเฟต์อาหารจีนในตํานาน กลับมาแล้ว!!</t>
  </si>
  <si>
    <t>กลับมาอีกครั้ง กับกองทัพติ่มซําชั้นเลิศ หมูแแดง หมูกรอบ เป็ดย่าง หรือ กุ้งแม่น้ำตัวโตๆ พิเศษจองผ่าน Hungry Hub รับเมนูพิเศษไปเลย</t>
  </si>
  <si>
    <t>SG_BKK_ctnoti_netcore_single_N_N_active_20251113_1700_sg-8-korean-bbq-at-shaw-centre-nov25_</t>
  </si>
  <si>
    <t>🎨 Taste the Famous 8 Colours K-BBQ!</t>
  </si>
  <si>
    <t>Why settle for one flavour when you can have eight? 8 Korean BBQ is famous for its unique 8 Colours pork set. An unforgettable tasting journey awaits with deals up to 23% OFF. Book your feast now!</t>
  </si>
  <si>
    <t>SG_BKK_ctnoti_netcore_single_N_N_active_20251113_1900_mavi-turkish-restaurant-nov25</t>
  </si>
  <si>
    <t>🇹🇷 Taste the True Flavours of Turkey!</t>
  </si>
  <si>
    <t>Indulge in authentic, charcoal-grilled kebabs and classic Turkish dishes at Mavi. A truly flavourful and aromatic experience awaits with deals up to 26% OFF. Book your Turkish feast now.</t>
  </si>
  <si>
    <t>SG_BKK_ctnoti_netcore_single_N_N_active_20251113_2100_crossroads-cafe-nov25</t>
  </si>
  <si>
    <t>✨ The Perfect Spot to See and Be Seen!</t>
  </si>
  <si>
    <t>Meet up at the iconic Crossroads Cafe, right in the heart of Orchard Road. Perfect for people-watching, this vibrant spot offers delicious international fare with deals up to 32% OFF. Book your prime seat now.</t>
  </si>
  <si>
    <t>EN_BKK_ctnoti_netcore_single_N_N_active_20251114_1100_seafresh-riverside-nov25</t>
  </si>
  <si>
    <t>🦐 Unlimited Giant River Prawns by the Chao Phraya!</t>
  </si>
  <si>
    <t>Feast on over 100 dishes at Seafresh Riverside Buffet — enjoy endless seafood and international selections starting from THB 945 only!</t>
  </si>
  <si>
    <t>TH_BKK_ctnoti_netcore_single_N_N_active_20251114_1100_seafresh-riverside-nov25</t>
  </si>
  <si>
    <t>🦐 กุ้งแม่น้ำเผาไซส์ใหญ่ไม่อั้น ริมเจ้าพระยา!!</t>
  </si>
  <si>
    <t>จัดหนักกว่า 100 เมนู ที่ Seafresh Riverside Buffet สั่งได้แบบไม่อั้นทั้งเมนูซีฟู้ด และนานาชาติ ในราคาสุดพิเศษเริ่มต้นเพียง 945 บาท</t>
  </si>
  <si>
    <t>SG_BKK_ctnoti_netcore_single_N_N_active_20251114_1400_sg-mami-s-tamales-nov25</t>
  </si>
  <si>
    <t>✨ Ever Tried Authentic, Homemade Tamales?</t>
  </si>
  <si>
    <t>Discover the comforting taste of real Mexican home-cooking at Mami's Tamales. Specialising in delicious, handcrafted tamales, this is an experience you won't forget. Enjoy a true taste of Mexico with deals up to 36% OFF! Book now.</t>
  </si>
  <si>
    <t>EN_BKK_ctnoti_netcore_single_N_N_active_20251114_1500_ventisi-restaurant-nov25</t>
  </si>
  <si>
    <t>🔥 Sip &amp; Sizzle: Salmon &amp; Wagyu Edition!</t>
  </si>
  <si>
    <t>Every Thursday &amp; Friday — enjoy an international buffet with unlimited premium salmon and wagyu picks at Ventisi, starting from just THB 990 per person!</t>
  </si>
  <si>
    <t>TH_BKK_ctnoti_netcore_single_N_N_active_20251114_1500_ventisi-restaurant-nov25</t>
  </si>
  <si>
    <t>🔥 Sip &amp; Sizzle : Salmon &amp; Wagyu Edition!!</t>
  </si>
  <si>
    <t>พิเศษทุกวันพฤหัสบดีและศุกร์ กับ โปรสุดพิเศษจาก Ventisi เต็มอิ่มกับเมนูนานาชาติ พร้อมเมนูแซลมอนและวากิวสุดพิเศษแบบไม่อั้น เริ่มต้นเพียง 990 บาท ต่อท่าน!!</t>
  </si>
  <si>
    <t>SG_BKK_ctnoti_netcore_single_N_N_active_20251114_1600_sg-central-siam-cuisine-nov25</t>
  </si>
  <si>
    <t>🇹🇭 Up to 35% OFF an Authentic Thai Feast!</t>
  </si>
  <si>
    <t>Craving your favourite Thai dishes? Central Siam Cuisine serves up all the classics, packed with authentic flavour. Enjoy a truly satisfying meal with amazing deals from just S$18.5 per person. Book your table now.</t>
  </si>
  <si>
    <t>EN_BKK_ctnoti_netcore_single_N_N_active_20251114_1700_fallabella-river-front-nov25</t>
  </si>
  <si>
    <t>🌅 Up to 40% Off at Fallabella River Front!</t>
  </si>
  <si>
    <t>Enjoy a magical riverside dinner with stunning Chao Phraya views at ICONSIAM — with special prices starting from just THB 475!</t>
  </si>
  <si>
    <t>TH_BKK_ctnoti_netcore_single_N_N_active_20251114_1700_fallabella-river-front-nov25</t>
  </si>
  <si>
    <t>🌅 ลดสูงสุดกว่า 40% กับ Fallabella River Front</t>
  </si>
  <si>
    <t>สัมผัสประสบการณ์ดินเนอร์สุดวิเศษ พร้อมชมวิวแม่น้ำเจ้าพระยา ใจกลางไอคอนสยาม ในราคาสุดพิเศษ เริ่มต้นเพียง 475 บาท เท่านั้น</t>
  </si>
  <si>
    <t>SG_BKK_ctnoti_netcore_single_N_N_active_20251114_1800_sg-waterfall-lounge-at-furama-nov25</t>
  </si>
  <si>
    <t>🍰 Afternoon Tea by a Waterfall!</t>
  </si>
  <si>
    <t>Unwind in the serene ambience of Waterfall Lounge. Enjoy a delightful afternoon tea set amidst the calming sounds of a 20-foot waterfall. This tranquil escape starts from just S$25 per person. Book your bliss.</t>
  </si>
  <si>
    <t>EN_BKK_ctnoti_netcore_single_N_N_active_20251115_1100_blue-elephant-nov25</t>
  </si>
  <si>
    <t>✨ Dine in a Legendary Thai Mansion!</t>
  </si>
  <si>
    <t>Experience the magic of Blue Elephant, one of the world's most celebrated Thai restaurants. Enjoy an unforgettable journey through Thailand's culinary heritage from just ฿2,590. This is more than a meal, it's a memory. Reserve now.</t>
  </si>
  <si>
    <t>TH_BKK_ctnoti_netcore_single_N_N_active_20251115_1100_blue-elephant-nov25</t>
  </si>
  <si>
    <t>✨ สัมผัสประสบการณ์มื้อค่ำในบ้านทรงไทยระดับตำนาน</t>
  </si>
  <si>
    <t>ร่วมค้นพบความมหัศจรรย์ที่ Blue Elephant หนึ่งในร้านอาหารไทยที่โด่งดังที่สุดในโลก! เดินทางผ่านมรดกทางอาหารไทยกับเซ็ตเมนูราคาเริ่มต้นเพียง 2,590 บาท นี่คือมื้ออาหารที่น่าจดจำ จองเลย.</t>
  </si>
  <si>
    <t>SG_BKK_ctnoti_netcore_single_N_N_active_20251115_1400_sg-1-altitude-coast-nov25</t>
  </si>
  <si>
    <t>☀️ Your Ultimate Rooftop Beach Escape!</t>
  </si>
  <si>
    <t>Soak up the sun at 1-Altitude Coast, Singapore's premier rooftop beach club. Lounge by the stunning infinity pool, enjoy amazing cocktails, and take in the breathtaking views. Your perfect day-cation starts from just S$65. Book your spot.</t>
  </si>
  <si>
    <t>EN_BKK_ctnoti_netcore_single_N_N_active_20251115_1500_seen-rooftop-avani-riverside-nov25</t>
  </si>
  <si>
    <t>🔥 Up to 45% OFF at SEEN Rooftop!</t>
  </si>
  <si>
    <t>Elevate your evening at one of Bangkok's hottest rooftop bars. SEEN offers stunning river views, a vibrant atmosphere, and amazing deals on their food &amp; drink packages, starting from just 1,995 THB per person. Reserve your spot.</t>
  </si>
  <si>
    <t>TH_BKK_ctnoti_netcore_single_N_N_active_20251115_1500_seen-rooftop-avani-riverside-nov25</t>
  </si>
  <si>
    <t>🔥 SEEN Rooftop ลดสูงสุด 45%!</t>
  </si>
  <si>
    <t>ยกระดับค่ำคืนของคุณที่ SEEN หนึ่งในรูฟท็อปบาร์ที่ฮิตที่สุดในกรุงเทพฯ! เพลิดเพลินกับวิวแม่น้ำสุดอลังการ บรรยากาศสุดคึกคัก พร้อมแพ็กเกจอาหารและเครื่องดื่มในราคาเริ่มต้นเพียง 1,995 บาทต่อคน จองโต๊ะเลย.</t>
  </si>
  <si>
    <t>SG_BKK_ctnoti_netcore_single_N_N_active_20251115_1600_sg-sol-luna-singapore-nov25</t>
  </si>
  <si>
    <t>✨ From Sunrise to Sunset, a Stunning Rooftop Escape</t>
  </si>
  <si>
    <t>Dine amongst the clouds at Sol &amp; Luna. Experience breathtaking city views from the 17th floor while savouring delicious Latin-European cuisine. A beautiful 4-course dinner experience awaits from S$90 (17% OFF). Book your table in the sky.</t>
  </si>
  <si>
    <t>EN_BKK_ctnoti_netcore_group_N_N_active_20251115_1700_zeta-cafe-nov25</t>
  </si>
  <si>
    <t>🎉 Come 4 Pay 3 Buffet at Zeta Café!</t>
  </si>
  <si>
    <t>Gather your squad for an amazing feast! Enjoy Zeta Café's renowned international buffet, packed with fresh seafood, sashimi, and global favourites. Don't miss the incredible "Come 4 Pay 3" deal. Book your big group now.</t>
  </si>
  <si>
    <t>TH_BKK_ctnoti_netcore_group_N_N_active_20251115_1700_zeta-cafe-nov25</t>
  </si>
  <si>
    <t>🎉 Zeta Café บุฟเฟ่ต์มา 4 จ่าย 3!</t>
  </si>
  <si>
    <t>ชวนเพื่อนมาจัดเต็ม! อิ่มอร่อยกับบุฟเฟ่ต์นานาชาติชื่อดังที่ Zeta Café ไลน์อาหารอัดแน่นทั้งซีฟู้ดสดๆ ซาชิมิ และเมนูยอดฮิตจากทั่วโลก ห้ามพลาดกับโปรสุดคุ้ม "มา 4 จ่าย 3" จองเลย</t>
  </si>
  <si>
    <t>SG_BKK_ctnoti_netcore_single_N_N_active_20251115_1800_sg-the-alkaff-mansion-nov25__</t>
  </si>
  <si>
    <t>✨ A Magical Dinner in a Heritage Mansion</t>
  </si>
  <si>
    <t>Escape to the romance of The Alkaff Mansion. Dine in a stunning 19th-century colonial house surrounded by lush greenery. The perfect setting for a special night, with a 3-course dinner from just S$59 (16% OFF). Book your fairytale evening.</t>
  </si>
  <si>
    <t>EN_BKK_ctnoti_netcore_single_N_N_active_20251116_1100_xin-tian-di-nov25</t>
  </si>
  <si>
    <t>Gather your friends for a legendary dim sum feast! Enjoy Xin Tian Di's famous all-you-can-eat buffet with an incredible "Come 3 Pay 2" offer. Indulge in premium, handcrafted delights from just ~592 THB/person. Valid until 30 Dec 2025. Book now!</t>
  </si>
  <si>
    <t>TH_BKK_ctnoti_netcore_single_N_N_active_20251116_1100_xin-tian-di-nov25</t>
  </si>
  <si>
    <t>🥢 มา 3 จ่าย 2 ที่ Xin Tian Di!</t>
  </si>
  <si>
    <t>ชวนแก๊งมาจัดหนัก! กับบุฟเฟ่ต์ติ่มซำในตำนานที่ทุกคนคิดถึง อิ่มอร่อยกับติ่มซำคำโตๆ แบบไม่อั้นในราคาสุดคุ้ม เริ่มต้นเพียง ~592 บาท/คน เท่านั้น! โปรดีๆ แบบนี้มีถึงแค่ 30 ธ.ค. 68 รีบจองเลย.</t>
  </si>
  <si>
    <t>SG_BKK_ctnoti_netcore_single_N_N_active_20251116_1400_sg-sol-ora-singapore-nov25</t>
  </si>
  <si>
    <t>☀️ Your Mediterranean Escape in Sentosa!</t>
  </si>
  <si>
    <t>Get that holiday vibe at Sol &amp; Ora. Savour the sun-kissed flavours of Latin-Mediterranean cuisine with stunning sea views. The perfect rooftop getaway starts from just S$90 per person. Book your escape.</t>
  </si>
  <si>
    <t>EN_BKK_ctnoti_netcore_group_N_N_active_20251116_1500_cielo-sky-bar-nov25</t>
  </si>
  <si>
    <t>✨ 360° Views &amp; Dining up to 38% OFF!</t>
  </si>
  <si>
    <t>Experience one of Bangkok's most stunning 360° panoramic views at Cielo Sky Bar. Walk on the glass skywalk and indulge in creative Thai-European fusion cuisine. A spectacular evening with amazing deals awaits. Book now.</t>
  </si>
  <si>
    <t>TH_BKK_ctnoti_netcore_group_N_N_active_20251116_1500_cielo-sky-bar-nov25</t>
  </si>
  <si>
    <t>✨ ดินเนอร์วิว 360 องศา พร้อมส่วนลดสูงสุด 38%!</t>
  </si>
  <si>
    <t>สัมผัสประสบการณ์สุดพิเศษบนชั้น 46 ที่ Cielo Sky Bar เดินเล่นบน Skywalk พื้นกระจก พร้อมชมวิวกรุงเทพฯ แบบ 360 องศา อิ่มอร่อยกับอาหารฟิวชั่นและบรรยากาศสุดโรแมนติกในราคาสุดคุ้ม จองเลย.</t>
  </si>
  <si>
    <t>SG_BKK_ctnoti_netcore_single_N_N_active_20251116_1600_sg-mimi-restaurant-nov25</t>
  </si>
  <si>
    <t>🔥 1-FOR-1 Modern Chinese 6-Course Set!</t>
  </si>
  <si>
    <t>This is the deal you've been waiting for! Enjoy a stunning 1-For-1 deal on Mimi's 6-course set menu. That's just S$83 per person for an exquisite meal in a beautiful, secret restaurant. Grab a friend and book now!</t>
  </si>
  <si>
    <t>EN_BKK_ctnoti_netcore_group_N_N_active_20251116_1700_streats-cafe-at-ibis-styles-nov25</t>
  </si>
  <si>
    <t>🦐 All-You-Can-Eat River Prawn Buffet!</t>
  </si>
  <si>
    <t>Calling all prawn lovers! Indulge in unlimited, freshly grilled river prawns, plus a huge spread of sashimi, sushi, and seafood on ice at Streats Cafe  A 4-hour feast for only 589 THB net! Book your weekend treat.</t>
  </si>
  <si>
    <t>TH_BKK_ctnoti_netcore_group_N_N_active_20251116_1700_streats-cafe-at-ibis-styles-nov25</t>
  </si>
  <si>
    <t>🦐 จัดหนัก! บุฟเฟ่ต์กุ้งแม่น้ำเผาไม่อั้น</t>
  </si>
  <si>
    <t>คนรักกุ้งห้ามพลาด! Streats Cafe จัดเต็มบุฟเฟ่ต์มื้อค่ำ ให้คุณอิ่มอร่อยกับกุ้งแม่น้ำเผามันเยิ้มๆ พร้อมไลน์อาหารญี่ปุ่นและซีฟู้ดอีกเพียบ! ทั้งหมดนี้ทานได้ 4 ชม.เต็ม ในราคาเพียง 589 บาทถ้วน! จองเลย.</t>
  </si>
  <si>
    <t>SG_BKK_ctnoti_netcore_single_N_N_active_20251116_1800_sg-zorba-the-greek-taverna-nov25</t>
  </si>
  <si>
    <t>🇬🇷 Escape to Santorini, right here in Singapore!</t>
  </si>
  <si>
    <t>Dine by the scenic Singapore River at Zorba the Greek Taverna. With its classic blue-and-white decor and authentic Greek food, it's the perfect mini-vacation. Enjoy a weekday lunch special from just S$36. Book your escape.</t>
  </si>
  <si>
    <t>TH_BKK_ctnoti_netcore_single_N_N_active_20251118_1100_stock-room-nov25</t>
  </si>
  <si>
    <t>🦃 Stock.Room Thankgiving Special</t>
  </si>
  <si>
    <t>เต็มอิ่มสุดกับเมนูสุดพิเศษต้อนรับวันขอบคุณพระเจ้า พร้อมเมนูเนื้อ ซีฟู้ด และอีกมากมาย ในราคาพิเศษ เฉพาะ 27 - 30 พ.ย.เท่านั้น รีบจองเลย</t>
  </si>
  <si>
    <t>Copy:18 Nov 2025 @12:02pm-TH_BKK_ctnoti_netcore_single_N_N_active_20251118_1100_stock-room-nov25</t>
  </si>
  <si>
    <t>EN_BKK_ctnoti_netcore_single_N_N_active_20251118_1100_stock-room-nov25</t>
  </si>
  <si>
    <t>Celebrate Thanksgiving with a feast of premium meats, seafood, and festive dishes — at a special price.
Available only from Nov 27–30. Book now!</t>
  </si>
  <si>
    <t>EN_BKK_ctnoti_netcore_single_N_N_active_20251118_1500_spectrum-rooftop-nov25</t>
  </si>
  <si>
    <t>🌇 30% Off at Spectrum Rooftop!</t>
  </si>
  <si>
    <t>Indulge in the Sunset All-You-Can-Eat experience — unlimited Kagoshima wagyu, mushroom arancini, Scottish salmon &amp; more. Only from 6 PM to 8 PM, until Dec 30!</t>
  </si>
  <si>
    <t>TH_BKK_ctnoti_netcore_single_N_N_active_20251118_1500_spectrum-rooftop-nov25</t>
  </si>
  <si>
    <t>🌇 โปรพิเศษลด 30% กับ Spectrum Rooftop</t>
  </si>
  <si>
    <t>Sunset All-You-Can-Eat สั่งได้ไม่อั้นทั้งเนื้อวากิวคาโกชิม่า อารันชินีเห็ด สก็อตติชแซลมอน และอีกมากมาย เฉพาะ 6 โมง - 2 ทุ่ม ถึง 30 ธ.ค. เท่านั้น</t>
  </si>
  <si>
    <t>SG_BKK_ctnoti_netcore_single_N_N_active_20251118_1400_sg-sabio-by-the-sea-nov25</t>
  </si>
  <si>
    <t>🇪🇸 Your Seaside Spanish Getaway!</t>
  </si>
  <si>
    <t>Escape to the beautiful Sentosa Cove and dine at Sabio by the Sea. Enjoy authentic Spanish tapas and grilled specialities with stunning marina views. A perfect waterfront meal awaits with deals up to 30% OFF. Book your table.</t>
  </si>
  <si>
    <t>SG_BKK_ctnoti_netcore_single_N_N_active_20251118_1600_sg-viet-spice-nov25__</t>
  </si>
  <si>
    <t>🇻🇳 Up to 39% OFF an Authentic Vietnamese Feast!</t>
  </si>
  <si>
    <t>Craving a delicious and affordable Vietnamese meal? Viet'Spice is your spot! Enjoy authentic favourites with amazing deals from just S$19.5. The perfect lunch is waiting. Book now.</t>
  </si>
  <si>
    <t>EN_BKK_ctnoti_netcore_single_N_N_active_20251118_1700_ads-orchid-cafe-at-sheraton-nov25</t>
  </si>
  <si>
    <t>📣 Orchid Café – Bigger Group, Bigger Savings!</t>
  </si>
  <si>
    <t>Bring the whole crew and enjoy an unlimited international buffet with daily themed menus.
Special price: only THB 887 per person for groups of 20+! Book now!</t>
  </si>
  <si>
    <t>TH_BKK_ctnoti_netcore_single_N_N_active_20251118_1700_ads-orchid-cafe-at-sheraton-nov25</t>
  </si>
  <si>
    <t>📣 Orchid Cafe ยิ่งมากลุ่มใหญ่ ยิ่งจ่ายถูกกว่า</t>
  </si>
  <si>
    <t>ยกกันมาให้หมด กับโปรใหม่ล่าสุด อิ่มไม่อั้นกับเมนูนานาชาติ พร้อมธีมพิเศษไม่ซ้ำวัน พิเศษมาครบ 20 ท่านขึ้นไป จ่ายเพียง 887 บาท เท่านั้น</t>
  </si>
  <si>
    <t>SG_BKK_ctnoti_netcore_group_N_N_active_20251118_1800_sg-cali-nov25__</t>
  </si>
  <si>
    <t>⭐ 4.8 Stars! Get a Taste of Californian Cuisine</t>
  </si>
  <si>
    <t>Explore a world of flavours at the highly-rated CALI! Inspired by California's diverse food scene, enjoy everything from pizzas to hearty grills. A satisfying international meal awaits from just S$34. Find a CALI near you! Book now.</t>
  </si>
  <si>
    <t>TH_BKK_ctnoti_netcore_group_N_N_active_20251119_1100_weekly-new-week3-nov25</t>
  </si>
  <si>
    <t>EN_BKK_ctnoti_netcore_group_N_N_active_20251119_1100_weekly-new-week3-nov25</t>
  </si>
  <si>
    <t>EN_BKK_ctnoti_netcore_single_N_N_active_20251119_1500_giorgio-s-riverside-nov25</t>
  </si>
  <si>
    <t>🥂 Chill Solo at Giorgio’s for Just THB 700!</t>
  </si>
  <si>
    <t>Try the D.I.Y. Set at Giorgio’s Riverside — customize your meal or drinks just the way you like, with a wide selection of Italian dishes and beverages.</t>
  </si>
  <si>
    <t>TH_BKK_ctnoti_netcore_single_N_N_active_20251119_1500_giorgio-s-riverside-nov25</t>
  </si>
  <si>
    <t>🥂 พกแค่ 700.- มา Giorgio คนเดียวก็ชิลได้!!</t>
  </si>
  <si>
    <t>ลองกันหรือยังกับ D.I.Y Set จาก Giorgio's Riverside เลือกได้ตามใจจะเน้นกิน หรือ ดื่ม กับเมนูและเครื่องดื่มอิตาเลียนหลากหลาย</t>
  </si>
  <si>
    <t>SG_BKK_ctnoti_netcore_single_N_N_active_20251119_1600_sg-epicurean-fusion-nov25</t>
  </si>
  <si>
    <t>🍽️ Up to 23% OFF a Delicious Fusion Meal!</t>
  </si>
  <si>
    <t>Enjoy a flavour-packed meal without breaking the bank! Epicurean Fusion offers a huge variety of tasty dishes at an amazing value, with sets from just S$23.5 per person. The perfect casual dining spot. Reserve your table.</t>
  </si>
  <si>
    <t>EN_BKK_ctnoti_netcore_single_N_N_active_20251119_1700_ads-pimkaew-bangkok-nov25</t>
  </si>
  <si>
    <t>🌟 Where’s the Rare ‘Pad Phra In’ Dish?</t>
  </si>
  <si>
    <t>The legendary ancient recipe is here! Discover Pimkaew, a hidden Thai gem in Phetkasem, known for its meticulously crafted dishes — starting from just THB 382.</t>
  </si>
  <si>
    <t>TH_BKK_ctnoti_netcore_single_N_N_active_20251119_1700_ads-pimkaew-bangkok-nov25</t>
  </si>
  <si>
    <t>🌟 ผัดพระอินทร์ เมนูสุดหายากอยู่ที่ไหน?</t>
  </si>
  <si>
    <t>เมนูสูตรโบราณในตำนานอยู่ที่นี้แล้ว! พิมแก้ว ร้านอาหารไทยลับในเพชรเกษม รังสรรค์ปราณีตทุกจาน ในราคาสุดพิเศษเริ่มต้นเพียง 382 บาท</t>
  </si>
  <si>
    <t>SG_BKK_ctnoti_netcore_single_N_N_active_20251119_1800_sg-madame-fan-nov25</t>
  </si>
  <si>
    <t>✨ A Dazzling Modern Chinese Dining Experience</t>
  </si>
  <si>
    <t xml:space="preserve">Step into the glamorous world of Madame Fan. Discover a masterful reinterpretation of classic Cantonese cuisine, served in a stunning, theatrical setting. An unforgettable fine dining experience awaits from just S$94. Book your table.
</t>
  </si>
  <si>
    <t>SG_BKK_ctnoti_netcore_single_N_N_active_20251119_2000_sg-yenney-singapore-nov25__</t>
  </si>
  <si>
    <t>🇻🇳 Up to 29% OFF an Authentic Vietnamese Meal!</t>
  </si>
  <si>
    <t>Craving a delicious and super affordable Vietnamese meal? Yenney is your spot! Enjoy authentic favourites like Pho and Banh Mi with amazing deals from just S$15. The perfect lunch is waiting. Book now.</t>
  </si>
  <si>
    <t>EN_BKK_ctnoti_netcore_single_N_N_active_20251120_1100_man-ho-chinese-restaurant-nov25</t>
  </si>
  <si>
    <t>🥢 Come 2 Pay 1 at Man Ho!</t>
  </si>
  <si>
    <t>Enjoy weekday lunch with unlimited dim sum — steamed classics, fried favorites, and desserts, all for just THB 800 per person. Available Monday–Friday until Dec 30!</t>
  </si>
  <si>
    <t>TH_BKK_ctnoti_netcore_single_N_N_active_20251120_1100_man-ho-chinese-restaurant-nov25</t>
  </si>
  <si>
    <t>🥢 มา 2 จ่าย 1 กับ Man Ho</t>
  </si>
  <si>
    <t>คุ้มทุกมื้อเที่ยงวันจันทร์-วันศุกร์ กับบุฟเฟต์ติ่มซำสุดคุ้ม พร้อมเมนูของนิ่ง ของทอด ขนมหวาน สั่งได้ไม่อั้น พิเศษเพียงคนละ 800 บาท วันนี้ - 30 ธ.ค.</t>
  </si>
  <si>
    <t>SG_BKK_ctnoti_netcore_single_N_N_active_20251120_1400_sg-kinara-boat-quay-nov25__</t>
  </si>
  <si>
    <t>🇮🇳 Up to 28% OFF a Flavourful Indian Feast!</t>
  </si>
  <si>
    <t>From sizzling tandoori grills to rich, aromatic curries, Kinara has it all. Enjoy a truly satisfying meal in the heart of Boat Quay from just S$29.5 per person. An unbeatable price for an amazing view. Reserve now.</t>
  </si>
  <si>
    <t>EN_BKK_ctnoti_netcore_single_N_N_active_20251120_1500_sala-lakorn-at-anantara-riverside-nov25</t>
  </si>
  <si>
    <t>🌊✨ Come 4 Pay 3 at Sala Lakorn!</t>
  </si>
  <si>
    <t>Discover the newly opened semi-theatre international buffet by the river at Anantara Riverside — now at a special price of THB 2,175 (from THB 2,900). Available until Dec 31 only!</t>
  </si>
  <si>
    <t>TH_BKK_ctnoti_netcore_single_N_N_active_20251120_1500_sala-lakorn-at-anantara-riverside-nov25</t>
  </si>
  <si>
    <t>🌊✨ มา 4 จ่าย 3 กับ Sala Lakorn</t>
  </si>
  <si>
    <t>เปิดใหมล่าสุด กับบุฟเฟต์นานาชาติกึ่งโรงละครริมแม่น้ำ จาก Anantara Riverside ในราคาสุดพิเศษเพียง 2,175 บาท จากปกติ 2,900 บาท วันนี้ - 31 ธ.ค. เท่านั้น</t>
  </si>
  <si>
    <t>SG_BKK_ctnoti_netcore_single_N_N_active_20251120_1600_sg-patro-s-sports-nov25</t>
  </si>
  <si>
    <t>✨ Up to 26% OFF a Sizzling Fusion Feast!</t>
  </si>
  <si>
    <t>Spice up your meal with a unique blend of Mexican and North Indian flavours at Patro's. A fun and flavour-packed experience awaits from just S$27.5 per person. The perfect spot for a casual get-together. Reserve your table.</t>
  </si>
  <si>
    <t>EN_BKK_ctnoti_netcore_group_N_N_active_20251120_1700_ads-salada-organic-kitchen-nov25</t>
  </si>
  <si>
    <t>🥗 Up to 27% Off at Salada Organic Kitchen!</t>
  </si>
  <si>
    <t>Thailand’s No.1 healthy-food spot is here — enjoy delicious value-for-money wellness sets at 6 locations near you, starting from just THB 250!</t>
  </si>
  <si>
    <t>TH_BKK_ctnoti_netcore_group_N_N_active_20251120_1700_ads-salada-organic-kitchen-nov25</t>
  </si>
  <si>
    <t>🥗 ลดสูงสุด 27% กับ Salada Organic Kitchen</t>
  </si>
  <si>
    <t>อันดับ 1 ร้านอาหารสุขภาพอยยู่ที่นี่แล้ว!! อิ่มอร่อยกับเซ็ตอาหารเพื่อสุขภาพสุดคุ้ม กับ 6 สาขาใกล้บ้าน เริ่มต้นเพียง 250 บาท เท่านั้น</t>
  </si>
  <si>
    <t>SG_BKK_ctnoti_netcore_single_N_N_active_20251120_1800_sg-arab-street-nov25</t>
  </si>
  <si>
    <t>🇹🇷 Up to 23% OFF a Turkish &amp; Western Feast!</t>
  </si>
  <si>
    <t>Enjoy the best of both worlds! Whether you're craving a juicy kebab or a classic pizza, this spot has you covered. Gather your friends for a delicious and wallet-friendly meal from just S$31.67 per person. Reserve your table.</t>
  </si>
  <si>
    <t>TH_BKK_ctnoti_netcore_group_N_N_active_20251121_1100_diy-recommend-nov25</t>
  </si>
  <si>
    <t>✨ มาคนเดียว ก็จัดเซ็ตเองได้ ไม่มีขั้นต่ำ!!</t>
  </si>
  <si>
    <t>ลองแล้วหรือยัง? กับ D.I.Y Set เลือกเซ็ตอาหารได้ตามใจ จะเน้นดื่ม หรือ เน้นกิน ที่สำคัญมาคนเดียวก็ทานได้ และไม่มีขั้นต่ำ เข้าแอปเลย</t>
  </si>
  <si>
    <t>EN_BKK_ctnoti_netcore_group_N_N_active_20251121_1100_diy-recommend-nov25</t>
  </si>
  <si>
    <t>✨ Dine Solo? Customize Your Own Set — No Minimum!</t>
  </si>
  <si>
    <t>Have you tried the D.I.Y. Set yet? Build your own food or drink combo exactly the way you like. Perfect even for solo diners — and there’s no minimum spend. Open the app now!</t>
  </si>
  <si>
    <t>TH_BKK_ctnoti_netcore_single_N_N_active_20251121_1500_blue-parrot-bangkok-nov25</t>
  </si>
  <si>
    <t>🦜 มา 2 จ่าย 1 กับ Blue Parrot</t>
  </si>
  <si>
    <t>อิ่มได้ไม่อั้นกับมื้อเที่ยงและดินเนอร์ พร้อมเลือกรับ 1 เมนูพรีเมียม ในราคาพิเศษ เริ่มต้นเพียง 645 บาท วันนี้ - 28 ก.พ. เท่านั้น จองเลย</t>
  </si>
  <si>
    <t>EN_BKK_ctnoti_netcore_single_N_N_active_20251121_1500_blue-parrot-bangkok-nov25</t>
  </si>
  <si>
    <t>🦜 Come 2 Pay 1 at Blue Parrot!</t>
  </si>
  <si>
    <t>Enjoy unlimited lunch or dinner and choose 1 premium dish — all at a special price starting from just THB 645. Available until Feb 28. Book now!</t>
  </si>
  <si>
    <t>EN_BKK_ctnoti_netcore_single_N_N_active_20251121_1700_anchor-premium-buffet-nov25</t>
  </si>
  <si>
    <t>⏳ Final Call! Come 4 Pay 3 at Anchor Premium Buffet</t>
  </si>
  <si>
    <t>Hurry and grab this riverside international &amp; seafood buffet deal — plus 1 complimentary foie gras dish. All for just THB 1,049, until Nov 30 only!</t>
  </si>
  <si>
    <t>TH_BKK_ctnoti_netcore_single_N_N_active_20251121_1700_anchor-premium-buffet-nov25</t>
  </si>
  <si>
    <t>⏳ โค้งสุดท้าย มา 4 จ่าย 3 Anchor Premium Buffet</t>
  </si>
  <si>
    <t>รีบจองด่วนๆ กับโปรบุฟเฟต์พรีเมียมนานาชาติและซีฟู้ด วิวแม่น้ำเจ้าพระยา พร้อมรับ 1 เมนูฟัวกราส์สุดพิเศษ เพียง 1,049 บาท วันนี้ - 30 พ.ย. เท่านั้น</t>
  </si>
  <si>
    <t>SG_BKK_ctnoti_netcore_single_N_N_active_20251121_1700_sg-that-1-place-nov25</t>
  </si>
  <si>
    <t>😋 Up to 38% OFF a Unique Fusion Feast!</t>
  </si>
  <si>
    <t>Tired of the usual? Spice up your meal with the creative fusion dishes at That 1 Place. Enjoy this exciting dining experience from just ฿443 per person. The perfect spot for a fun, flavourful meal. Reserve now.</t>
  </si>
  <si>
    <t>SG_BKK_ctnoti_netcore_single_N_N_active_20251121_1900_sg-madrinaa-italiano-nov25__</t>
  </si>
  <si>
    <t>🇮🇹 Up to 35% OFF an Authentic Italian Meal!</t>
  </si>
  <si>
    <t>Craving a delicious and super affordable Italian lunch? Madrinaa Italiano is your spot! Enjoy amazing deals on their popular sets, with meals starting from just S$19.5 per person. Book your Italian escape now.</t>
  </si>
  <si>
    <t>EN_BKK_ctnoti_netcore_single_N_N_active_20251122_1100_the-market-5-at-eastin-grand-nov25</t>
  </si>
  <si>
    <t>🦐 Up to 50% Off at The Market@5!</t>
  </si>
  <si>
    <t>Weekday or weekend, lunch or dinner — enjoy big savings on the seafood-on-ice buffet, international dishes, Japanese favorites &amp; more, starting from just THB 675!</t>
  </si>
  <si>
    <t>TH_BKK_ctnoti_netcore_single_N_N_active_20251122_1100_the-market-5-at-eastin-grand-nov25</t>
  </si>
  <si>
    <t>🦐 ลดสูงสุด 50% ที่ The Market@5</t>
  </si>
  <si>
    <t>วันธรรมดา หรือ สุดสัปดาห์มื้อเที่ยง - ดินเนอร์ ก็ลดหนักกับโปรบุฟเฟต์ซีฟู้ดออนไอซ์ นานาชาติ อาหารญี่ปุ่น และอีกมากมาย เริ่มต้น 675 บาท</t>
  </si>
  <si>
    <t>SG_BKK_ctnoti_netcore_single_N_N_active_20251122_1400_sg-fernando-s-pizza-nov25__</t>
  </si>
  <si>
    <t>🍕 All-You-Can-Eat Pizza &amp; Italian Feast!</t>
  </si>
  <si>
    <t>Ready for a pizza party? Fernando's Pizza offers an amazing all-you-can-eat buffet featuring unlimited Roman-style pizzas, pastas, and appetisers. Your ultimate Italian feast starts from S$45 Book now!</t>
  </si>
  <si>
    <t>EN_BKK_ctnoti_netcore_group_N_N_active_20251122_1500_flavors-at-renaissance-nov25</t>
  </si>
  <si>
    <t>🥩 Come 2 Pay 1 at Flavors!</t>
  </si>
  <si>
    <t>Make your weekend count with the ultimate Surf &amp; Turf buffet — unlimited Alaskan crab, wagyu brisket, lobster and more, only THB 890 per person. Book now!</t>
  </si>
  <si>
    <t>TH_BKK_ctnoti_netcore_group_N_N_active_20251122_1500_flavors-at-renaissance-nov25</t>
  </si>
  <si>
    <t>🥩 มา 2 จ่าย 1 กับ Flavors</t>
  </si>
  <si>
    <t>สุดสัปดาห์ทั้งที จัดให้สุดกับ Surf &amp; Turf! Buffet สั่งได้ไม่อั้นทั้ง ปูอลาสก้า, เนื้อวากิวบริสเก็ต, ล็อบสเตอร์ และอีกมากมาย เพียงคนละ 890 บาท จองเลย</t>
  </si>
  <si>
    <t>SG_BKK_ctnoti_netcore_single_N_N_active_20251122_1600_sg-amo-singapore-nov25</t>
  </si>
  <si>
    <t>✨ An Inspired Italian Feast by Beppe De Vito</t>
  </si>
  <si>
    <t>Experience the culinary artistry of Amò, a celebrated Italian restaurant by the ilLido Group. Famed for its wood-fired pizzas and homemade pastas, a truly exceptional meal awaits with deals up to 26% OFF. Book your table now.</t>
  </si>
  <si>
    <t>EN_BKK_ctnoti_netcore_group_N_N_active_20251122_1700_fatboy-izakaya-nov25</t>
  </si>
  <si>
    <t>🔥 Fatboy Izakaya Is Here!</t>
  </si>
  <si>
    <t>Step into one of the trendiest izakayas in town — enjoy premium Japanese dishes and unique signature drinks, starting from just THB 624. Book now!</t>
  </si>
  <si>
    <t>TH_BKK_ctnoti_netcore_group_N_N_active_20251122_1700_fatboy-izakaya-nov25</t>
  </si>
  <si>
    <t>🔥 Fatboy Izakaya มาแล้ว!!</t>
  </si>
  <si>
    <t>อิซากายะเจ้าดัง ที่ต้องไปลอง เต็มอิ่มกับเมนูญี่ปุ่นระดับพรีเมียม และเครื่องดื่มสุดแนวไม่ซำใคร เริ่มต้นเพียง 624 บาท เท่านั้น จองเลย</t>
  </si>
  <si>
    <t>EN_BKK_ctnoti_netcore_single_N_N_active_20251123_1100_jumbo-seafood-nov25</t>
  </si>
  <si>
    <t>⏳ Last Chance! Come 4 Pay 3 at Jumbo Seafood</t>
  </si>
  <si>
    <t>Don’t miss the legendary Singaporean seafood buffet at ICONSIAM &amp; Siam Paragon — now at a special price of THB 1,499. Book before it’s gone!</t>
  </si>
  <si>
    <t>TH_BKK_ctnoti_netcore_single_N_N_active_20251123_1100_jumbo-seafood-nov25</t>
  </si>
  <si>
    <t>⏳ โอกาสสุดท้ายกับ มา 4 จ่าย 3 กับ Jumbo Seafood</t>
  </si>
  <si>
    <t>ห้ามพลาดกับบุฟเฟต์ซีฟู้ดสิงคโปร์ระดับตำนาน! ที่สาขา ICONSIAM และ Siam Paragon ในราคาพิเศษเพียง 1,499 บาท รีบจองเลย!</t>
  </si>
  <si>
    <t>EN_BKK_ctnoti_netcore_group_N_N_active_20251123_1500_walk-rooftop-bar-at-centara-nov25</t>
  </si>
  <si>
    <t>🌆 Up to 50% Off at Walk Rooftop Bar!</t>
  </si>
  <si>
    <t>Stay on trend at this chic rooftop bar in the heart of Centara Watergate Pavilion — enjoy international dishes starting from just THB 382. Book now!</t>
  </si>
  <si>
    <t>TH_BKK_ctnoti_netcore_group_N_N_active_20251123_1500_walk-rooftop-bar-at-centara-nov25</t>
  </si>
  <si>
    <t>🌆 ลดสูงสุด 50% กับ Walk Rooftop Bar</t>
  </si>
  <si>
    <t>อินเทรนด์สุดๆ กับรูฟท็อปบาร์สุดหรูหราใจกลาง Centara Watergate Pavilion Hotel พร้อมอิ่มอร่อยกับเมนูนานาชาติ เริ่มต้นเพียง 382 บาท จองเลย</t>
  </si>
  <si>
    <t>EN_BKK_ctnoti_netcore_single_N_N_active_20251123_1700_chon-som-at-courtyard-nov25</t>
  </si>
  <si>
    <t>🥂 Come 4 Pay 3 at Chon Som!</t>
  </si>
  <si>
    <t>Wrap up your weekend with a luxurious dinner buffet and free-flow drinks — all at a special price starting from THB 592. Available until Dec 31 only!</t>
  </si>
  <si>
    <t>TH_BKK_ctnoti_netcore_single_N_N_active_20251123_1700_chon-som-at-courtyard-nov25</t>
  </si>
  <si>
    <t>🥂 มา 4 จ่าย 3 กับ Chon Som</t>
  </si>
  <si>
    <t>สุ่งท้ายสุดสัปดาห์กับดินเนอร์บุฟเฟต์สุดหรู พร้อมเครื่องดื่มไม่อั้น ในราคาพิเศษเริ่มต้นเพียง 592 บาท วันนี้ - 31 ธ.ค. เท่านั้น</t>
  </si>
  <si>
    <t>TH_BKK_ctnoti_netcore_single_N_N_active_20251124_1100_great-harbour-nov25</t>
  </si>
  <si>
    <t>✨ Great Harbour วันธรรมดา ราคาพิเศษ!</t>
  </si>
  <si>
    <t>ไม่ว่าจะวันจันทร์ถึงวันศุกร์ ก็อิ่มได้ไม่อั้น 2 ชั่วโมงเต็ม กับบุฟเฟต์นานาชาติใจกลางไอคอนสยาม ทั้งญญี่ปุ่น ยุโรป และอีกมากมาย เพียง 1,100 บาท เท่านั้น</t>
  </si>
  <si>
    <t>EN_BKK_ctnoti_netcore_single_N_N_active_20251124_1100_great-harbour-nov25</t>
  </si>
  <si>
    <t>✨ Weekday Specials at Great Harbour!</t>
  </si>
  <si>
    <t>Enjoy a full 2 hours of unlimited international buffet — Japanese, European, and more — right at ICONSIAM.
All for just THB 1,100 on Monday to Friday!</t>
  </si>
  <si>
    <t>SG_BKK_ctnoti_netcore_single_N_N_active_20251124_1400_sg-three-amigos-nov25</t>
  </si>
  <si>
    <t>🌮🇮🇳 A Flavour Fiesta of Mexico &amp; India!</t>
  </si>
  <si>
    <t>Can't decide between Tacos and Tikka? Have both! Three Amigos serves up a unique and delicious fusion of Mexican and Indian favourites. A truly exciting meal awaits with deals up to 31% OFF. Book your culinary adventure.</t>
  </si>
  <si>
    <t>EN_BKK_ctnoti_netcore_single_N_N_active_20251124_1500_saffron-contemporary-nov25</t>
  </si>
  <si>
    <t>🌾 Over 50% Off at Saffron!</t>
  </si>
  <si>
    <t>Experience the charm of authentic Thai cuisine in a classic setting with stunning views from the 52nd floor of Banyan Tree — starting from just THB 598!</t>
  </si>
  <si>
    <t>TH_BKK_ctnoti_netcore_single_N_N_active_20251124_1500_saffron-contemporary-nov25</t>
  </si>
  <si>
    <t>🌾 ลดกว่า 50% กับ Saffron</t>
  </si>
  <si>
    <t>สัมผัสเสน่ห์รสชาติอาหารไทย ในบรรยากาศสุดคลาสสิก พร้อมชมวิวบนชั้น 52 โรงแรมบันยันทรี ในราคาเริ่มต้นเพียง 598 บาท เท่านั้น</t>
  </si>
  <si>
    <t>SG_BKK_ctnoti_netcore_single_N_N_active_20251124_1600_sg-grand-konak-turkish-nov25__</t>
  </si>
  <si>
    <t>😋 Up to 33% OFF an Exotic Middle Eastern Feast!</t>
  </si>
  <si>
    <t xml:space="preserve">Spice up your meal with an authentic taste of Turkey and Lebanon. Grand Konak offers amazing value on their generous sharing sets. A truly flavourful experience awaits from only S$39.5 per person. Reserve your table.
</t>
  </si>
  <si>
    <t>EN_BKK_ctnoti_netcore_group_N_N_active_20251124_1700_hotaru-119-omakase-nov25</t>
  </si>
  <si>
    <t>🍣 Hotaru 119 Omakase Special Deal!</t>
  </si>
  <si>
    <t>Indulge in a premium omakase experience with a full 14-course set — now at a special price of THB 1,176 (from THB 1,276). Book now on Hungry Hub!</t>
  </si>
  <si>
    <t>TH_BKK_ctnoti_netcore_group_N_N_active_20251124_1700_hotaru-119-omakase-nov25</t>
  </si>
  <si>
    <t>🍣 โปรพิเศษ Hotaru 119 Omakase</t>
  </si>
  <si>
    <t>คุ้มสุดๆ กับโอมากาเสะสุดพรีเมียม จัดให้แบบเต็มพิกัดเริ่มต้นที่ 14 คอร์ส ในราคาพิเศษเพียง 1,176 จากปกติ 1,276 บาท จองเลยที่ Hungry Hub</t>
  </si>
  <si>
    <t>EN_BKK_ctnoti_netcore_group_N_N_active_20251126_1100_weekly-new-week4-nov25</t>
  </si>
  <si>
    <t>TH_BKK_ctnoti_netcore_group_N_N_active_20251126_1100_weekly-new-week4-nov25</t>
  </si>
  <si>
    <t>EN_BKK_ctnoti_netcore_mkt_N_N_active_20251126_1500_red-table-congratulations-nov25</t>
  </si>
  <si>
    <t>🏆 Which Restaurants Won the Red Table Awards 2025?</t>
  </si>
  <si>
    <t>The wait is over! Discover the top restaurants, hotels, and leading bloggers honored at this year’s Hungry Hub Red Table Awards 2025. See the full list now!</t>
  </si>
  <si>
    <t>TH_BKK_ctnoti_netcore_mkt_N_N_active_20251126_1500_red-table-congratulations-nov25</t>
  </si>
  <si>
    <t>🏆 ปีนี้ร้านไหนได้ Red Table Awards 2025!</t>
  </si>
  <si>
    <t>สิ้นสุดการรอคอย! กับรายชื่นร้านอาหาร โรงแรม และบล็อกเกอร์ชั้นนำ ที่ได้รับรางวัล Hungry Hub Red Table Awards 2025 จะมีใครบ้าง เช็คเลย</t>
  </si>
  <si>
    <t>EN_BKK_ctnoti_netcore_single_N_N_active_20251126_1700_brewski-rooftop-sports-bar-nov25</t>
  </si>
  <si>
    <t>🌆 Rooftop Vibes Near Asoke for Just THB 499!</t>
  </si>
  <si>
    <t>Brewski Rooftop Sports Bar offers indoor rooftop views, exciting sports action, your choice of 2 dishes, and unlimited mocktails. Book now!</t>
  </si>
  <si>
    <t>TH_BKK_ctnoti_netcore_single_N_N_active_20251126_1700_brewski-rooftop-sports-bar-nov25</t>
  </si>
  <si>
    <t>🌆 พกแค่ 499 ก็ฟินกับรูฟท็อปวิวสวย ใกล้อโศกได้!</t>
  </si>
  <si>
    <t>Brewski Rooftop Sports Bar รูฟท็อฟอินดอร์ พร้อมเชียร์กีฬาสุดมันส์และอิ่มอร่อย 2 เมนูที่เลือกได้ และม็อกเทลไม่อั้น จองเลย!</t>
  </si>
  <si>
    <t>SG_BKK_ctnoti_netcore_single_N_N_active_20251126_1600_sg-black-cherry-nov25</t>
  </si>
  <si>
    <t>✨ Up to 31% OFF a Modern European Feast!</t>
  </si>
  <si>
    <t>Indulge in a delicious European meal at Black Cherry. From juicy steaks to classic pastas, enjoy a satisfying feast with deals up to 31% OFF. A great meal awaits from just S$43.5 per person. Book now.</t>
  </si>
  <si>
    <t>SG_BKK_ctnoti_netcore_single_N_N_active_20251126_1800_sg-tachinomiya-japanese-izakaya-nov25</t>
  </si>
  <si>
    <t>🍻 An Authentic Izakaya Night Out!</t>
  </si>
  <si>
    <t>Unwind the Japanese way at Tachinomiya! Enjoy a huge selection of delicious yakitori, donburi, and bar bites, perfect for pairing with sake or beer. An amazing experience awaits with deals up to 32% OFF. Book your spot.</t>
  </si>
  <si>
    <t>TH_BKK_ctnoti_netcore_group_N_N_active_20251127_1100_deja-brew-nov25</t>
  </si>
  <si>
    <t>☕ มา 2 จ่าย 1 กับ Deja Brew Lifestyle Cafe</t>
  </si>
  <si>
    <t>อิ่มไม่อั้นกับเมนูนานาชาติและเครื่องดื่มไม่อั้น เริ่มต้นเพียงคนละ 395 บาท เท่านั้น จองเลยที่ Hungry Hub ตั้งแต่วันนี้ - 25 ก.พ. 69</t>
  </si>
  <si>
    <t>EN_BKK_ctnoti_netcore_group_N_N_active_20251127_1100_deja-brew-nov25</t>
  </si>
  <si>
    <t>☕ Come 2 Pay 1 at Deja Brew Lifestyle Café!</t>
  </si>
  <si>
    <t>Enjoy unlimited international dishes and free-flow drinks — starting from just THB 395 per person.
Book now on Hungry Hub, available until Feb 25, 2026!</t>
  </si>
  <si>
    <t>EN_BKK_ctnoti_netcore_single_N_N_active_20251128_1700_moxy-festive-nov25</t>
  </si>
  <si>
    <t>🎄 Pre-book the Moxy Christmas Eve Feast at a special price.</t>
  </si>
  <si>
    <t>Unwrap the magic of Christmas Eve with a festive buffet spread and beverage Angus beef prime ribs, salmon gravlax, and more!!</t>
  </si>
  <si>
    <t>TH_BKK_ctnoti_netcore_single_N_N_active_20251128_1700_moxy-festive-nov25</t>
  </si>
  <si>
    <t>🎄 จองล่วงหน้า Moxy Christmas Eve Feast ในราคาสุดพิเศษ</t>
  </si>
  <si>
    <t xml:space="preserve">
สัมผัสความมหัศจรรย์ต้อนรับวันคริสต์มาสอีฟ กับบุฟเฟต์อาหารและเครื่องดื่มแบบไม่อั้น เพียง 1,422 บาท จากปกติ 1,647 บาท จองล่วงหน้าเลย</t>
  </si>
  <si>
    <t>TH_BKK_ctnoti_netcore_single_N_N_active_20251201_1100_sui-sian-dec25</t>
  </si>
  <si>
    <t>💙 มา 4 ท่าน พาพ่อทานฟรี ที่ ซุยเซียน!!</t>
  </si>
  <si>
    <t>ฉลองวันพ่อ 5 ธ.ค. สุดพิเศษ กับบุฟเฟต์ติ่มซำสุดพรีเมียม พร้อมเป็ดปักกิ่ง หมูแดง หมูกรอบ และรับ เป๋าฮื้อน้ําแดง คนละ 1 ที่ ฟรี!!</t>
  </si>
  <si>
    <t>EN_BKK_ctnoti_netcore_single_N_N_active_20251201_1100_sui-sian-dec25</t>
  </si>
  <si>
    <t>💙 Father Eats Free for Groups of 4 at Sui Sian!</t>
  </si>
  <si>
    <t>Celebrate Father’s Day on Dec 5 with a premium dim sum buffet featuring Peking duck, BBQ pork, crispy pork — plus one complimentary braised abalone per person!</t>
  </si>
  <si>
    <t>TH_BKK_ctnoti_netcore_single_N_N_active_20251201_1500_stock-room-at-kimpton-maa-lai-dec25</t>
  </si>
  <si>
    <t>🎄 Holiday Buffet สุดคุ้มกับ Stock.Room</t>
  </si>
  <si>
    <t>ส่งต่อมื้อสุดพิเศษต้อนรับวันคริสต์มาสและปีใหม่ กับบรันช์บุฟเฟต์ + ดินเนอร์บุฟเฟต์ ในราคาสุดพิเศษ เฉพาะที่ Hungry Hub เท่านั้น จองเลย</t>
  </si>
  <si>
    <t>EN_BKK_ctnoti_netcore_single_N_N_active_20251201_1500_stock-room-at-kimpton-maa-lai-dec25</t>
  </si>
  <si>
    <t>🎄 Stock.Room Holiday Buffet Special!</t>
  </si>
  <si>
    <t>Celebrate Christmas and New Year with festive brunch and dinner buffets at exclusive prices — only on Hungry Hub. Book now and enjoy the holiday feast!</t>
  </si>
  <si>
    <t>SG_BKK_ctnoti_netcore_single_N_N_active_20251201_1600_sg-jules-epicurean-french-dec25</t>
  </si>
  <si>
    <t>🇫🇷 A Taste of Classic French Bistro Dining!</t>
  </si>
  <si>
    <t>Indulge in hearty, authentic French classics at Jules. From juicy steak frites to delicious brunch favourites, enjoy a truly comforting meal with deals up to 23% OFF. Book your table now.</t>
  </si>
  <si>
    <t>EN_BKK_ctnoti_netcore_single_N_N_active_20251201_1700_ads-ava-brasserie-father-day-dec25</t>
  </si>
  <si>
    <t>👨‍🍳 Up to 13% Off – Ava Brasserie Father’s Feast!</t>
  </si>
  <si>
    <t>Experience a special 5-course menu crafted by Top Chef Thailand winner, Chef Big Attasit Pattanasatienkul — available only on Dec 5. Book now!</t>
  </si>
  <si>
    <t>TH_BKK_ctnoti_netcore_single_N_N_active_20251201_1700_ads-ava-brasserie-father-day-dec25</t>
  </si>
  <si>
    <t>👨‍🍳 ลดสูงสุด 13% Ava Brasserie Father’s Feast</t>
  </si>
  <si>
    <t>พบกับ 5 คอร์สสุดพิเศษจากผู้ชนะ Top Chef Thailand ‘เชฟบิ๊ก-อรรถสิทธิ์ พัฒนเสถียรกุล’ เฉพาะวันที่ 5 ธ.ค. เท่านั้น จองเลย</t>
  </si>
  <si>
    <t>MY_MY_ctnoti_netcore_mkt_N_N_active_20251201_1100_my-welcome-to-maleysia-dec25</t>
  </si>
  <si>
    <t>Hello Malaysia! 🇲🇾 Hungry Hub has landed.</t>
  </si>
  <si>
    <t>Maleysia</t>
  </si>
  <si>
    <t>SG_BKK_ctnoti_netcore_single_N_N_active_20251201_1800_sg-taksim-restaurant-dec25</t>
  </si>
  <si>
    <t>😋 Up to 24% OFF an Exotic Middle Eastern Feast!</t>
  </si>
  <si>
    <t xml:space="preserve">Spice up your meal with an authentic taste of Turkey and Egypt. Taksim offers amazing value on their generous sharing sets. A truly flavourful experience awaits from only S$42.25 per person. Reserve your table.
</t>
  </si>
  <si>
    <t>SG_BKK_ctnoti_netcore_single_N_N_active_20251201_2000_sg-akasa-authentic-north-indian-dec25</t>
  </si>
  <si>
    <t>✨ An All-You-Can-Eat Modern Indian Feast!</t>
  </si>
  <si>
    <t>Indulge in an endless spread of authentic North Indian delights, served with a modern twist. Akasa offers a unique, upscale buffet experience in the heart of Marina Bay. Your feast starts from just S$58. Book now.</t>
  </si>
  <si>
    <t>TH_BKK_ctnoti_netcore_single_N_N_active_20251202_1100_atrium-restaurant-the-landmark-dec25</t>
  </si>
  <si>
    <t>💙 วันพ่อนี้ Atrium มา 1 ทานฟรี 1</t>
  </si>
  <si>
    <t>ครบเครื่องสุดๆ กับบุฟเฟต์บรันช์และดินเนอร์ต้อนรับวันพ่อ ทั้งบุฟเฟต์นานาชาติ ไทย และตะวันตก พิเศษ มา 2 ท่าน จ่ายเพียง 1 ท่าน!</t>
  </si>
  <si>
    <t>EN_BKK_ctnoti_netcore_single_N_N_active_20251202_1100_atrium-restaurant-the-landmark-dec25</t>
  </si>
  <si>
    <t>💙 Father’s Day at Atrium – Buy 1 Get 1 Free!</t>
  </si>
  <si>
    <t>Celebrate with an impressive international, Thai, and Western buffet — for both brunch and dinner.
Special deal: Come as 2, pay for only 1!</t>
  </si>
  <si>
    <t>EN_BKK_ctnoti_netcore_single_N_N_active_20251202_1500_ads-sliding-doors-dec25</t>
  </si>
  <si>
    <t>🔥 Sliding Doors by NANAKE Is Here!</t>
  </si>
  <si>
    <t>The wait is over! Check out this legendary new craft-beer spot on Liab Duan, opened by Nanake himself — with tons of spicy, exciting dishes at wallet-friendly prices. Book now!</t>
  </si>
  <si>
    <t>TH_BKK_ctnoti_netcore_single_N_N_active_20251202_1500_ads-sliding-doors-dec25</t>
  </si>
  <si>
    <t>🔥 Sliding Doors น้าเน็ก มาแล้ว!!</t>
  </si>
  <si>
    <t>สิ้นสุดการรอคอย กับร้านคราฟต์เบียร์เลียบด่วน น้องใหม่ในตำนานที่เปิดโดยน้าเน็ก พร้อมเมนูสุดแซ่บมากมาย ในราคาสบายกระเป๋า จองเลย!!</t>
  </si>
  <si>
    <t>SG_BKK_ctnoti_netcore_single_N_N_active_20251202_1400_sg-racines-at-sofitel-singapore-dec25__</t>
  </si>
  <si>
    <t>🔥 1-FOR-1 Lavish Hotel Buffet Brunch!</t>
  </si>
  <si>
    <t>This is the ultimate brunch deal! Enjoy a spectacular 1-for-1 offer on the Racines Buffet Brunch at Sofitel. Indulge in an exquisite spread of French and Chinese delicacies for just S$83 per person. Grab a friend and book now!</t>
  </si>
  <si>
    <t>SG_BKK_ctnoti_netcore_single_N_N_active_20251202_1600_sg-morita-unigoro-dec25</t>
  </si>
  <si>
    <t>🔥 1-FOR-1 Uni Omakase is HERE! (50% OFF)</t>
  </si>
  <si>
    <t>Calling all uni lovers! For a limited time, enjoy an exquisite 1-for-1 deal on Morita UNIGORO's 7-course omakase. Indulge in premium uni, A5 wagyu, and more for just S$192.1 per person. Book this ultimate uni experience!</t>
  </si>
  <si>
    <t>EN_BKK_ctnoti_netcore_single_N_N_active_20251202_1700_ads-ruenton-restaurant-dec25</t>
  </si>
  <si>
    <t>🥢 Come 2 Pay 1 at Ruenton Restaurant!</t>
  </si>
  <si>
    <t>Weekday special! Enjoy an emperor-style dim sum and Chinese buffet with desserts and drinks — all at a special price of just THB 875. Available Monday–Friday only!</t>
  </si>
  <si>
    <t>TH_BKK_ctnoti_netcore_single_N_N_active_20251202_1700_ads-ruenton-restaurant-dec25</t>
  </si>
  <si>
    <t>โปรแรง เฉพาะทุกวันจันทร์-ศุกร์ เท่านั้น กับบุฟเฟต์ติ่มซำจักรพรรดิและอาหารจีน พร้อมของหวานและเครื่องดื่ม ในราคาพิเศษเพียง 875 บาท เท่านั้น</t>
  </si>
  <si>
    <t>SG_BKK_ctnoti_netcore_single_N_N_active_20251202_1800_sg-2-beo-vietnamese-dec25</t>
  </si>
  <si>
    <t>🇻🇳 An Authentic &amp; Affordable Vietnamese Meal!</t>
  </si>
  <si>
    <t>Craving a delicious Vietnamese meal that won't break the bank? 2 Béo is your spot! Enjoy authentic favourites like Pho and Banh Mi with amazing deals from just S$22. The perfect lunch is waiting. Book now.</t>
  </si>
  <si>
    <t>EN_BKK_ctnoti_netcore_group_N_N_active_20251203_1100_weekly-new-week1-dec25</t>
  </si>
  <si>
    <t>🟢 First Wednesday of December = New Restaurants!</t>
  </si>
  <si>
    <t>TH_BKK_ctnoti_netcore_group_N_N_active_20251203_1100_weekly-new-week1-dec25</t>
  </si>
  <si>
    <t>🟢 พุธแรกธันวาคม มีร้านมาใหม่เสิร์ฟ</t>
  </si>
  <si>
    <t>SG_BKK_ctnoti_netcore_single_N_N_active_20251203_1400_sg-food-exchange-at-novotel-dec25</t>
  </si>
  <si>
    <t>🔥 1-FOR-1 Steamboat Buffet is Back!</t>
  </si>
  <si>
    <t>This is not a drill! Enjoy a spectacular 1-for-1 deal on the Steamboat Buffet at Food Exchange. Choose from 5 soup bases and indulge in a huge spread of meats, seafood, and live stations for just S$58.75 per person. Grab a friend and book now!</t>
  </si>
  <si>
    <t>EN_BKK_ctnoti_netcore_single_N_N_active_20251203_1500_open-at-doubletree-dec25</t>
  </si>
  <si>
    <t>💙 Father’s Day at DoubleTree – Buy 1 Get 1 Free!</t>
  </si>
  <si>
    <t>Celebrate with a special lunch buffet featuring 7 unlimited stations — Asian dishes, seafood, and dad’s favorite signature recipes. All for just THB 588!</t>
  </si>
  <si>
    <t>TH_BKK_ctnoti_netcore_single_N_N_active_20251203_1500_open-at-doubletree-dec25</t>
  </si>
  <si>
    <t>💙 Open Double Tree วันพ่อซื้อ 1 ฟรี 1</t>
  </si>
  <si>
    <t>ฉลองวันพ่อสุดพิเศษกับบุฟเฟต์กลางวันสุดพิเศษ ด้วย 7 สเตชั่นทานได้ไม่อั้น อาทิ เอเชีย ซีฟู้ด หรือ เมนูสูตรเด็ดฉบับคุณพ่อ เพียง 588 บาท เท่านั้น!!</t>
  </si>
  <si>
    <t>SG_BKK_ctnoti_netcore_single_N_N_active_20251203_1600_sg-the-grand-lobby-dec25</t>
  </si>
  <si>
    <t>✨ Experience the Legendary Raffles Afternoon Tea</t>
  </si>
  <si>
    <t>Indulge in a timeless tradition at The Grand Lobby of Raffles Hotel. Savour an exquisite selection of sandwiches, scones, and pastries in one of Singapore's most iconic and majestic settings. A truly unforgettable experience awaits. Book now.</t>
  </si>
  <si>
    <t>EN_BKK_ctnoti_netcore_single_N_N_active_20251203_1700_ads-ralph-house-bangkok-dec25</t>
  </si>
  <si>
    <t>🎸 Ralph House — The Indie Hidden Bar Is Here!</t>
  </si>
  <si>
    <t>Join the vibe at this secret bar in the heart of Ladprao Five-Way Intersection, featuring live music every day and budget-friendly food sets starting from just THB 162 per person. Book now!</t>
  </si>
  <si>
    <t>TH_BKK_ctnoti_netcore_single_N_N_active_20251203_1700_ads-ralph-house-bangkok-dec25</t>
  </si>
  <si>
    <t>🎸 Ralph House บาร์ลับสุดอินดี้ อยู่ที่นี่แล้ว!!</t>
  </si>
  <si>
    <t>มาแจมกันได้ กับบาร์ลับใจกลางห้าแยกลาดพร้าว พร้อมดนตรีสดทุกวัน และเซ็ตอาหารในราคาสบายกระเป๋า เริ่มต้น 162 บาทต่อท่าน จองเลย</t>
  </si>
  <si>
    <t>SG_BKK_ctnoti_netcore_single_N_N_active_20251203_1800_sg-raffles-courtyard-at-raffles-dec25__</t>
  </si>
  <si>
    <t>🍽️ An Exquisite Lunch at Raffles from S$30!</t>
  </si>
  <si>
    <t>Dine in the legendary Raffles Hotel for less than you think! Raffles Courtyard offers a delightful set lunch in a beautiful alfresco garden setting. Don't miss this chance to experience a piece of history. Reserve your table.</t>
  </si>
  <si>
    <t>TH_BKK_ctnoti_netcore_single_N_N_active_20251204_1100_atelier-restaurant-at-hilton-dec25</t>
  </si>
  <si>
    <t>💙 5 ธ.ค. พ่อทานฟรี กุ้งแม่น้ำฟรี</t>
  </si>
  <si>
    <t>โปรเดือดต้อนรับวันพ่อที่ Atelier Restaurant เต็มอิ่มกับบรันช์บุฟเฟต์อาหารไทย พิเศษ! จองครบ 3 ท่าน พาพ่อทานฟรี และรับกุ้งแม่น้ำไปเลยคนละ 1 ตัว</t>
  </si>
  <si>
    <t>EN_BKK_ctnoti_netcore_single_N_N_active_20251204_1100_atelier-restaurant-at-hilton-dec25</t>
  </si>
  <si>
    <t>💙 Father Eats Free + Free River Prawn!</t>
  </si>
  <si>
    <t>Celebrate Father’s Day at Atelier with a Thai brunch buffet. Special deal: Book for 3, Dad dines for free — plus everyone gets 1 river prawn!</t>
  </si>
  <si>
    <t>EN_BKK_ctnoti_netcore_group_N_N_active_20251204_1500_copper-beyond-buffet-new-12-menus-dec25</t>
  </si>
  <si>
    <t>❗ 12 New Year-End Signature Dishes at Copper!</t>
  </si>
  <si>
    <t>Celebrate the season with 12 brand-new premium dishes, available only from Jan 1–31, 2026 at Copper Beyond Buffet (both branches). Book now!</t>
  </si>
  <si>
    <t>TH_BKK_ctnoti_netcore_group_N_N_active_20251204_1500_copper-beyond-buffet-new-12-menus-dec25</t>
  </si>
  <si>
    <t>❗12 เมนูพิเศษใหม่ ส่งท้ายปี ที่ Copper!</t>
  </si>
  <si>
    <t>ฉลองปลายปีแบบจัดเต็ม กับ 12 เมนูใหม่สุดพรีเมียม เฉพาะวันที่ 1 - 31 ม.ค. 69 ที่ Copper Beyond Buffet ทั้ง 2 สาขา จองเลย</t>
  </si>
  <si>
    <t>EN_BKK_ctnoti_netcore_single_N_N_active_20251204_1700_rain-tree-cafe-dec25</t>
  </si>
  <si>
    <t>💙 Father’s Day at Rain Tree Café!</t>
  </si>
  <si>
    <t>Enjoy an international brunch with seafood, Japanese dishes, and many more favorites — plus a fun Photo Booth activity for the family. Book now!</t>
  </si>
  <si>
    <t>TH_BKK_ctnoti_netcore_single_N_N_active_20251204_1700_rain-tree-cafe-dec25</t>
  </si>
  <si>
    <t>💙 ฉลองวันพ่อ กับ Rain Tree Cafe</t>
  </si>
  <si>
    <t>เพลิดเพลินกับบุฟเฟต์บรันช์นานาชาติ ซีฟู้ด อาหารญี่ปุ่น และอีกมากมายหลายเมนู ในราคาสุดพิเศษพร้อม กิจกรรมถ่ายรูปใน Photo Booth จองเลย</t>
  </si>
  <si>
    <t>EN_BKK_ctnoti_netcore_single_N_N_active_20251205_1900_the-allium-bangkok-1-dec25_</t>
  </si>
  <si>
    <t>✨ Over 40% Off at The Allium Bangkok!</t>
  </si>
  <si>
    <t>TH_BKK_ctnoti_netcore_single_N_N_active_20251205_1900_the-allium-bangkok-1-dec25_</t>
  </si>
  <si>
    <t>✨ ลดกว่า 40% กับ The Allium Bangkok</t>
  </si>
  <si>
    <t>EN_BKK_ctnoti_netcore_single_N_N_active_20251205_1100_father-day-dec25</t>
  </si>
  <si>
    <t>💛 Happy Father’s Day! 💛</t>
  </si>
  <si>
    <t>Wishing all dads good health, joy, and endless happiness. Celebrate this special day with heartwarming family-friendly restaurants. Don’t wait — tap to explore! 👉</t>
  </si>
  <si>
    <t>TH_BKK_ctnoti_netcore_single_N_N_active_20251205_1100_father-day-dec25</t>
  </si>
  <si>
    <t>💛 สุขสันต์วันพ่อแห่งชาติ 💛</t>
  </si>
  <si>
    <t>ขอให้คุณพ่อทุกท่าน สุขภาพแข็งแรง มีความสุขไปนานๆ และอย่าลืมอิ่มท้อง อิ่มใจกับร้านอาหารครอบครัวต้อนรับวันพ่อมากมาย อย่ารอช้า คลิกเลย 👉</t>
  </si>
  <si>
    <t>EN_BKK_ctnoti_netcore_single_N_N_active_20251205_1500_purple-laurel-dec25</t>
  </si>
  <si>
    <t>💜 Purple Laurel – Over 30% Off!</t>
  </si>
  <si>
    <t>Spend the long weekend with your family and experience elevated Chinese cuisine crafted with modern techniques — right in the heart of Gaysorn Amarin. Special prices available now. Book today!</t>
  </si>
  <si>
    <t>TH_BKK_ctnoti_netcore_single_N_N_active_20251205_1500_purple-laurel-dec25</t>
  </si>
  <si>
    <t>💜 Purple Laurel ลดสูงสุดกว่า 30%</t>
  </si>
  <si>
    <t>หยุดยาวนี้ ชวนครอบครัวมาสัมผัสรสชาติของศิลปะแห่งอาหารจีนชั้นเลิศ ผสานเทคนิคสมัยใหม่ ใจกลาง Gaysorn Amarin ในราคาพิเศษ จองเลย!!</t>
  </si>
  <si>
    <t>EN_BKK_ctnoti_netcore_single_N_N_active_20251205_1700_ads-baan-nuea-yaang-dec25</t>
  </si>
  <si>
    <t>🥩 Choose Your Perfect Doneness!</t>
  </si>
  <si>
    <t>It’s here — Baan Nuea Yaang! Enjoy a feast of grilled meats plus over 90 Thai dishes, with prices starting from just THB 260. Book now!</t>
  </si>
  <si>
    <t>TH_BKK_ctnoti_netcore_single_N_N_active_20251205_1700_ads-baan-nuea-yaang-dec25</t>
  </si>
  <si>
    <t>🥩 เพราะความ "สุก" มื้อนี้เลือกได้!!</t>
  </si>
  <si>
    <t>มาแล้ว!! บ้านเนื้อย่าง เต็มอิ่มกับเมนูเนื้อย่างหลากหลาย พร้อมเมนูอาหารไทยกว่า 90 เมนู ในราคาเริ่มต้นเพียง 260 บาท จองเลย</t>
  </si>
  <si>
    <t>TH_BKK_ctnoti_netcore_single_N_N_active_20251206_1100_pengyou-cuisine-dec25</t>
  </si>
  <si>
    <t>🦆 ยิ่งจองยิ่งคุ้ม แถมได้เป็ดปักกิ่งฟรี!!</t>
  </si>
  <si>
    <t>โปรแรงแบบนี้ห้ามพลาดที่ PengYou Cuisine &amp; Specialty Bar อิ่มไม่อั้นกับพรีเมียมบุฟเฟต์อาหารจีนและติ่มซำ จองมา 4 จ่าย 3 รับเป็ดปักกิ่งทั้งตัว ฟรี!!</t>
  </si>
  <si>
    <t>EN_BKK_ctnoti_netcore_single_N_N_active_20251206_1100_pengyou-cuisine-dec25</t>
  </si>
  <si>
    <t>🦆 The More You Book, the More You Get — Free Peking Duck!</t>
  </si>
  <si>
    <t>TH_BKK_ctnoti_netcore_single_N_N_active_20251206_1500_chon-som-christmas-dec25</t>
  </si>
  <si>
    <t>🎄 ฉลองคริสต์มาส กับ Chon Som</t>
  </si>
  <si>
    <t>จัดเต็มความคลาสสิกมาให้ลิ้มลอง กับไลน์บุฟเฟต์นานาชาติที่ยกขบวนมาเสิร์ฟความอร่อยกันแบบไม่อั้น ในราคาพิเศษ จองเล่วงหน้าเลย!!</t>
  </si>
  <si>
    <t>EN_BKK_ctnoti_netcore_single_N_N_active_20251206_1500_chon-som-christmas-dec25</t>
  </si>
  <si>
    <t>🎄 Celebrate Christmas with Chon Som!</t>
  </si>
  <si>
    <t>TH_BKK_ctnoti_netcore_single_N_N_active_20251206_1700_flavors-at-renaissance-dec25</t>
  </si>
  <si>
    <t>🦞 Flavors ราคาเดียว 999 บาท!!</t>
  </si>
  <si>
    <t>ดื่มด่ำกับซีฟู้ดดินเนอร์สุดหรู จัดหนักทั้งปูอลาสก้าคิง กุ้งแม่น้ำ ซูชิและซาชิมิระดับพรีเมียม และอีกมากมาย โปรพิเศษเฉพาะ 3-31 ธันวาคมเท่านั้น</t>
  </si>
  <si>
    <t>EN_BKK_ctnoti_netcore_single_N_N_active_20251206_1700_flavors-at-renaissance-dec25</t>
  </si>
  <si>
    <t>🦞 Flavors – All for THB 999!</t>
  </si>
  <si>
    <t>EN_BKK_ctnoti_netcore_single_N_N_active_20251207_1100_red-oven-so-bangkok-dec25</t>
  </si>
  <si>
    <t>🍷 Come 3 Pay 2 at Red Oven!</t>
  </si>
  <si>
    <t>TH_BKK_ctnoti_netcore_single_N_N_active_20251207_1100_red-oven-so-bangkok-dec25</t>
  </si>
  <si>
    <t>🍷 มา 3 จ่าย 2 กับ Red Oven</t>
  </si>
  <si>
    <t>EN_BKK_ctnoti_netcore_single_N_N_active_20251207_1500_crave-aloft-bangkok-dec25</t>
  </si>
  <si>
    <t>⏳ Last Chance! Come 2 Pay 1 at Crave</t>
  </si>
  <si>
    <t>TH_BKK_ctnoti_netcore_single_N_N_active_20251207_1500_crave-aloft-bangkok-dec25</t>
  </si>
  <si>
    <t>⏳ โอกาสสุดท้าย มา 2 จ่าย 1 กับ Crave</t>
  </si>
  <si>
    <t>EN_BKK_ctnoti_netcore_single_N_N_active_20251207_1700_orchid-cafe-at-sheraton-christmas-dec25</t>
  </si>
  <si>
    <t>🎄 Christmas Special at Orchid Café!</t>
  </si>
  <si>
    <t>TH_BKK_ctnoti_netcore_single_N_N_active_20251207_1700_orchid-cafe-at-sheraton-christmas-dec25</t>
  </si>
  <si>
    <t>🎄 คริสต์มาสนี้ Orchid Cafe โปรพิเศษกว่าเดิม</t>
  </si>
  <si>
    <t>TH_BKK_ctnoti_netcore_single_N_N_active_20251208_1100_christmas-savio-at-chatrium-dec25</t>
  </si>
  <si>
    <t>✨ ฉลอง Early Bird ก่อนใครที่ Savio</t>
  </si>
  <si>
    <t>EN_BKK_ctnoti_netcore_single_N_N_active_20251208_1100_christmas-savio-at-chatrium-dec25</t>
  </si>
  <si>
    <t>✨ Early Bird Festive Deals at Savio!</t>
  </si>
  <si>
    <t>TH_BKK_ctnoti_netcore_single_N_N_active_20251208_1700_ny-spectrum-rooftop-dec25</t>
  </si>
  <si>
    <t>🌌 ก้าวสู่จักรวาลแห่งการเฉลิมฉลอง</t>
  </si>
  <si>
    <t>EN_BKK_ctnoti_netcore_single_N_N_active_20251208_1700_ny-spectrum-rooftop-dec25</t>
  </si>
  <si>
    <t>🌌 Step Into a Galaxy of Celebration!</t>
  </si>
  <si>
    <t>EN_BKK_ctnoti_netcore_single_N_N_active_20251208_1900_sala-lakorn-at-anantara-dec25</t>
  </si>
  <si>
    <t>🌊 Come 4 Pay 3 at Sala Lakorn!</t>
  </si>
  <si>
    <t>TH_BKK_ctnoti_netcore_single_N_N_active_20251208_1900_sala-lakorn-at-anantara-dec25</t>
  </si>
  <si>
    <t>🌊 มา 4 จ่าย 3 กับ ศาลาละคร</t>
  </si>
  <si>
    <t>TH_BKK_ctnoti_netcore_single_N_N_active_20251209_1100_the-berkeley-dining-room-dec25</t>
  </si>
  <si>
    <t>🍽️ มื้อเที่ยงนี้ The Berkeley มา 2 จ่ายแค่ 1!!</t>
  </si>
  <si>
    <t>EN_BKK_ctnoti_netcore_single_N_N_active_20251209_1100_the-berkeley-dining-room-dec25</t>
  </si>
  <si>
    <t>🍽️ Lunch Deal at The Berkeley – Come 2 Pay 1!</t>
  </si>
  <si>
    <t>EN_BKK_ctnoti_netcore_single_N_N_active_20251209_1500_ny-moxy-bar-restaurant-countdown-dec25</t>
  </si>
  <si>
    <t>🎉 Two Year-End Party Styles at Moxy!</t>
  </si>
  <si>
    <t>TH_BKK_ctnoti_netcore_single_N_N_active_20251209_1500_ny-moxy-bar-restaurant-countdown-dec25</t>
  </si>
  <si>
    <t>🎉 2 สไตล์ความสนุกส่งท้ายปี กับ Moxy</t>
  </si>
  <si>
    <t>EN_BKK_ctnoti_netcore_single_N_N_active_20251209_1700_ads-hongfu-bangkok-dec25</t>
  </si>
  <si>
    <t>✨ Over 28% Off at Hongfu!</t>
  </si>
  <si>
    <t>TH_BKK_ctnoti_netcore_single_N_N_active_20251209_1700_ads-hongfu-bangkok-dec25</t>
  </si>
  <si>
    <t>✨ ลดกว่า 28% กับ หงฝู</t>
  </si>
  <si>
    <t>SG_BKK_ctnoti_netcore_single_N_N_active_20251209_1900_sg-butcher-s-block-dec25</t>
  </si>
  <si>
    <t>🔥 An Avant-Garde Wood-Fired Dining Experience</t>
  </si>
  <si>
    <t>SG_BKK_ctnoti_netcore_single_N_N_active_20251209_2100_sg-yi-by-jereme-dec25</t>
  </si>
  <si>
    <t>🥢 Experience Edible Art by Masterchef Jereme Leung</t>
  </si>
  <si>
    <t>TH_BKK_ctnoti_netcore_group_N_N_active_20251210_1100_weekly-new-week2-dec25</t>
  </si>
  <si>
    <t>EN_BKK_ctnoti_netcore_group_N_N_active_20251210_1100_weekly-new-week2-dec25</t>
  </si>
  <si>
    <t>SG_BKK_ctnoti_netcore_single_N_N_active_20251210_1400_sg-kan-sushi-dec25</t>
  </si>
  <si>
    <t>🍣 Taste the Freshness of Japan from S$44.33!</t>
  </si>
  <si>
    <t>TH_BKK_ctnoti_netcore_single_N_N_active_20251210_1500_christmas-the-brasserie-dec25</t>
  </si>
  <si>
    <t>🎄 คริสต์มาสนี้ The Brasserie อิ่มไม่อั้นเริ่ม 966.-</t>
  </si>
  <si>
    <t>EN_BKK_ctnoti_netcore_single_N_N_active_20251210_1500_christmas-the-brasserie-dec25</t>
  </si>
  <si>
    <t>🎄 Christmas Feast at The Brasserie from THB 966!</t>
  </si>
  <si>
    <t>SG_BKK_ctnoti_netcore_single_N_N_active_20251210_1600_sg-apollo-at-furama-riverfront-dec25</t>
  </si>
  <si>
    <t>🔥 INSANE DEAL: 65% OFF a Hotel Buffet!</t>
  </si>
  <si>
    <t>EN_BKK_ctnoti_netcore_single_N_N_active_20251210_1700_kisekhi-craft-and-fusion-buffet-dec25</t>
  </si>
  <si>
    <t>🍣 Come 2 Pay 1 at Kisekhi!</t>
  </si>
  <si>
    <t>TH_BKK_ctnoti_netcore_single_N_N_active_20251210_1700_kisekhi-craft-and-fusion-buffet-dec25</t>
  </si>
  <si>
    <t>🍣 มา 2 จ่าย 1 กับ Kisekhi</t>
  </si>
  <si>
    <t>SG_BKK_ctnoti_netcore_single_N_N_active_20251210_1800_sg-skosh-cafe-coffee-dec25__</t>
  </si>
  <si>
    <t>✨ Up to 37% OFF a Creative Brunch!</t>
  </si>
  <si>
    <t>TH_BKK_ctnoti_netcore_single_N_N_active_20251211_1100_food-exchange-restaurant-dec25</t>
  </si>
  <si>
    <t>🎄 มา 4 จ่าย 3 คริสต์มาสบรันช์ กับ Food Exchange</t>
  </si>
  <si>
    <t>EN_BKK_ctnoti_netcore_single_N_N_active_20251211_1100_food-exchange-restaurant-dec25</t>
  </si>
  <si>
    <t>🎄 Come 4 Pay 3 – Christmas Brunch at Food Exchange!</t>
  </si>
  <si>
    <t>TH_BKK_ctnoti_netcore_single_N_N_active_20251211_1500_ny-vantage-point-dec25</t>
  </si>
  <si>
    <t>🎆 โปรพิเศษฉลองสิ้นปี ที่ Vantage Point</t>
  </si>
  <si>
    <t>EN_BKK_ctnoti_netcore_single_N_N_active_20251211_1500_ny-vantage-point-dec25</t>
  </si>
  <si>
    <t>🎆 Year-End Celebration Special at Vantage Point!</t>
  </si>
  <si>
    <t>EN_BKK_ctnoti_netcore_single_N_N_active_20251211_1700_dark-waters-rooftop-bar-dec25</t>
  </si>
  <si>
    <t>🌌 Dark Water New Year Dinner Buffet Is Here!</t>
  </si>
  <si>
    <t>TH_BKK_ctnoti_netcore_single_N_N_active_20251211_1700_dark-waters-rooftop-bar-dec25</t>
  </si>
  <si>
    <t>🌌 Dark Water New Year Dinner Buffet อยู่นี้แล้ว!</t>
  </si>
  <si>
    <t>TH_BKK_ctnoti_netcore_single_N_N_active_20251212_1100_man-fu-yuan-dec25</t>
  </si>
  <si>
    <t>🔥 มา 4 จ่าย 3 กับ Man Fu Yuan</t>
  </si>
  <si>
    <t>EN_BKK_ctnoti_netcore_single_N_N_active_20251212_1100_man-fu-yuan-dec25</t>
  </si>
  <si>
    <t>🔥 Come 4 Pay 3 at Man Fu Yuan!</t>
  </si>
  <si>
    <t>SG_BKK_ctnoti_netcore_single_N_N_active_20251212_1400_sg-fat-prince-dec25</t>
  </si>
  <si>
    <t>🔥 Up to 45% OFF at Fat Prince</t>
  </si>
  <si>
    <t>EN_BKK_ctnoti_netcore_single_N_N_active_20251212_1500_ny-christmas-vertigo-rooftop-dec25</t>
  </si>
  <si>
    <t>🎄 Extra 10% Off – Christmas at Vertigo Rooftop!</t>
  </si>
  <si>
    <t>TH_BKK_ctnoti_netcore_single_N_N_active_20251212_1500_ny-christmas-vertigo-rooftop-dec25</t>
  </si>
  <si>
    <t>🎄 ลดเพิ่ม 10% โปรคริสต์มาส ที่ Vertigo Rooftop</t>
  </si>
  <si>
    <t>SG_BKK_ctnoti_netcore_single_N_N_active_20251212_1600_sg-yenney-dec25</t>
  </si>
  <si>
    <t>🍽️ Friday-Saturday Buffet Feast at Yenney is Here!</t>
  </si>
  <si>
    <t>EN_BKK_ctnoti_netcore_single_N_N_active_20251212_1700_ads-kohaku-omakase-dec25</t>
  </si>
  <si>
    <t>🍣 Kohaku Omakase – Extra Seasonal Savings!</t>
  </si>
  <si>
    <t>TH_BKK_ctnoti_netcore_single_N_N_active_20251212_1700_ads-kohaku-omakase-dec25</t>
  </si>
  <si>
    <t>🍣 ซีซั่นนี้ Kohaku Omakase มีลดเพิ่ม!!</t>
  </si>
  <si>
    <t>SG_BKK_ctnoti_netcore_single_N_N_active_20251212_1800_sg-bancheria-singapore-dec25</t>
  </si>
  <si>
    <t>Up to 36% OFF at Bancheria Singapore!</t>
  </si>
  <si>
    <t>EN_BKK_ctnoti_netcore_single_N_N_active_20251213_1100_christmas-deals-dec25_</t>
  </si>
  <si>
    <t>🎄 Still Looking for a Christmas Dinner Spot?</t>
  </si>
  <si>
    <t>TH_BKK_ctnoti_netcore_single_N_N_active_20251213_1100_christmas-deals-dec25_</t>
  </si>
  <si>
    <t>🎄 คริสต์มาสนี้ มีร้านไปฉลองกันหรือยัง?</t>
  </si>
  <si>
    <t>SG_BKK_ctnoti_netcore_single_N_N_active_20251213_1400_sg-mama-diam-dec25__</t>
  </si>
  <si>
    <t>Up to 36% OFF at Mama Diam! 🤫</t>
  </si>
  <si>
    <t>TH_BKK_ctnoti_netcore_single_N_N_active_20251213_1500_chatuchak-cafe-dec25</t>
  </si>
  <si>
    <t>⏳ โอกาสสุดท้าย มา 4 จ่าย 3 กับ Chatuchak Cafe</t>
  </si>
  <si>
    <t>EN_BKK_ctnoti_netcore_single_N_N_active_20251213_1500_chatuchak-cafe-dec25</t>
  </si>
  <si>
    <t>⏳ Last Chance! Come 4 Pay 3 at Chatuchak Café</t>
  </si>
  <si>
    <t>SG_BKK_ctnoti_netcore_single_N_N_active_20251213_1600_sg-jade-at-the-fullerton-dec25</t>
  </si>
  <si>
    <t>Up to 35% OFF at Jade Restaurant! 💎</t>
  </si>
  <si>
    <t>EN_BKK_ctnoti_netcore_single_N_N_active_20251213_1700_christmas-the-rooftop-by-mode-dec25</t>
  </si>
  <si>
    <t>🎄 Luxurious Christmas Eve Dinner at The Rooftop</t>
  </si>
  <si>
    <t>TH_BKK_ctnoti_netcore_single_N_N_active_20251213_1700_christmas-the-rooftop-by-mode-dec25</t>
  </si>
  <si>
    <t>🎄 ดินเนอร์คริสต์มาสอีฟสุดหรู กับ The Rooftop</t>
  </si>
  <si>
    <t>SG_BKK_ctnoti_netcore_single_N_N_active_20251213_1800_sg-thirteen-bbq-bar-dec25</t>
  </si>
  <si>
    <t>Up to 37% OFF at Thirteen BBQ Bar! 🔥</t>
  </si>
  <si>
    <t>TH_BKK_ctnoti_netcore_single_N_N_active_20251214_1100_man-fu-lou-dec25</t>
  </si>
  <si>
    <t>🥢 มา 4 จ่าย 3 กับ Man Fu Lou</t>
  </si>
  <si>
    <t>EN_BKK_ctnoti_netcore_single_N_N_active_20251214_1100_man-fu-lou-dec25</t>
  </si>
  <si>
    <t>🥢 Come 4 Pay 3 at Man Fu Lou!</t>
  </si>
  <si>
    <t>SG_BKK_ctnoti_netcore_single_N_N_active_20251214_1400_sg-flnt-singapore-dec25</t>
  </si>
  <si>
    <t>Up to 34% OFF at FLNT Rooftop Gastrobar! 🌃</t>
  </si>
  <si>
    <t>TH_BKK_ctnoti_netcore_single_N_N_active_20251214_1500_christmas-zeta-cafe-holiday-dec25</t>
  </si>
  <si>
    <t>🎉 Zeta Cafe มีโปรพิเศษมาเสิร์ฟ</t>
  </si>
  <si>
    <t>EN_BKK_ctnoti_netcore_single_N_N_active_20251214_1500_christmas-zeta-cafe-holiday-dec25</t>
  </si>
  <si>
    <t>🎉 Special Festive Deals at Zeta Café!</t>
  </si>
  <si>
    <t>SG_BKK_ctnoti_netcore_single_N_N_active_20251214_1600_sg-una-at-the-alkaff-mansion-dec25</t>
  </si>
  <si>
    <t>Up to 28% OFF at UNA at The Alkaff Mansion! ✨</t>
  </si>
  <si>
    <t>EN_BKK_ctnoti_netcore_single_N_N_active_20251214_1700_ny-babble-and-grill-dec25</t>
  </si>
  <si>
    <t>🎆 Babble &amp; Grill – Extra 10% Off!</t>
  </si>
  <si>
    <t>TH_BKK_ctnoti_netcore_single_N_N_active_20251214_1700_ny-babble-and-grill-dec25</t>
  </si>
  <si>
    <t>🎆 Babble and Grill ลดเพิ่ม 10%</t>
  </si>
  <si>
    <t>SG_BKK_ctnoti_netcore_single_N_N_active_20251214_1800_sg-nami-korean-grill-dec25</t>
  </si>
  <si>
    <t>🔥 Experience a Premium Korean Grill!</t>
  </si>
  <si>
    <t>TH_BKK_ctnoti_netcore_single_N_N_active_20251215_1100_copper-aquarium-dec25</t>
  </si>
  <si>
    <t>🐠 โค้งสุดท้าย มา 4 จ่าย 3 กับ Copper Aquarium</t>
  </si>
  <si>
    <t>EN_BKK_ctnoti_netcore_single_N_N_active_20251215_1100_copper-aquarium-dec25</t>
  </si>
  <si>
    <t>🐠 Last Chance! Come 4 Pay 3 at Copper Aquarium</t>
  </si>
  <si>
    <t>TH_BKK_ctnoti_netcore_single_N_N_active_20251215_1500_new-year-the-vue-bar-dec25</t>
  </si>
  <si>
    <t>🎉 ปาร์ตี้ปีใหม่ใจกลางเมือง เริ่มแค่ 750 บาท!!</t>
  </si>
  <si>
    <t>EN_BKK_ctnoti_netcore_single_N_N_active_20251215_1500_new-year-the-vue-bar-dec25</t>
  </si>
  <si>
    <t>🎉 New Year Party in the City from THB 750!</t>
  </si>
  <si>
    <t>SG_BKK_ctnoti_netcore_group_N_N_active_20251215_1800_sg-feast-cheers-dec25</t>
  </si>
  <si>
    <t>🥂 Feast &amp; Cheers Starts NOW!</t>
  </si>
  <si>
    <t>EN_BKK_ctnoti_netcore_single_N_N_active_20251215_1700_the-kites-eatery-dec25</t>
  </si>
  <si>
    <t>🎄 Festive Season at The Kites Eatery — 4 Hours Unlimited!</t>
  </si>
  <si>
    <t>TH_BKK_ctnoti_netcore_single_N_N_active_20251215_1700_the-kites-eatery-dec25</t>
  </si>
  <si>
    <t>🎄 เทศกาลนี้ The Kites Eatery อิ่มไม่อั้น 4 ชั่วโมง!</t>
  </si>
  <si>
    <t>TH_BKK_ctnoti_netcore_single_N_N_active_20251216_1100_christmas-cafe22-by-courtyard-dec25</t>
  </si>
  <si>
    <t>🎄 ลด 15% กับ Cafe22 by Courtyard</t>
  </si>
  <si>
    <t>EN_BKK_ctnoti_netcore_single_N_N_active_20251216_1100_christmas-cafe22-by-courtyard-dec25</t>
  </si>
  <si>
    <t>🎄 15% Off at Cafe22 by Courtyard!</t>
  </si>
  <si>
    <t>EN_BKK_ctnoti_netcore_single_N_N_active_20251216_1500_bangkok-sky-buffet-76-78th-dec25</t>
  </si>
  <si>
    <t>🎆 Dec 31 Special at Baiyoke Buffet!</t>
  </si>
  <si>
    <t>TH_BKK_ctnoti_netcore_single_N_N_active_20251216_1500_bangkok-sky-buffet-76-78th-dec25</t>
  </si>
  <si>
    <t>🎆 31 ธ.ค. นี้ ใบหยกบุฟเฟต์ มีโปรพิเศษ</t>
  </si>
  <si>
    <t>TH_BKK_ctnoti_netcore_single_N_N_active_20251216_1700_rossini-s-at-sheraton-grande-dec25</t>
  </si>
  <si>
    <t>🎷 โอกาสสุดท้าย มา 4 จ่าย 3 กับ Rossini's</t>
  </si>
  <si>
    <t>EN_BKK_ctnoti_netcore_single_N_N_active_20251216_1700_rossini-s-at-sheraton-grande-dec25</t>
  </si>
  <si>
    <t>🎷 Last Chance! Come 4 Pay 3 at Rossini’s</t>
  </si>
  <si>
    <t>SG_BKK_ctnoti_netcore_single_N_N_active_20251216_1800_sg-black-cherry-singapore-dec25__</t>
  </si>
  <si>
    <t>🔥 1-FOR-1 at Black Cherry! (50% OFF)</t>
  </si>
  <si>
    <t>SG_BKK_ctnoti_netcore_single_N_N_active_20251216_2000_sg-la-brasserie-dec25__</t>
  </si>
  <si>
    <t>🎄 20% OFF Festive Brunch at La Brasserie!</t>
  </si>
  <si>
    <t>EN_BKK_ctnoti_netcore_group_N_N_active_20251217_1100_weekly-new-week3-dec25</t>
  </si>
  <si>
    <t>TH_BKK_ctnoti_netcore_group_N_N_active_20251217_1100_weekly-new-week3-dec25</t>
  </si>
  <si>
    <t>SG_BKK_ctnoti_netcore_single_N_N_active_20251217_1400_sg-tanoke-dec25</t>
  </si>
  <si>
    <t>Up to 39% OFF at TANOKE! 🍶</t>
  </si>
  <si>
    <t>EN_BKK_ctnoti_netcore_single_N_N_active_20251217_1500_ny-atrium-restaurant-the-landmark-dec25</t>
  </si>
  <si>
    <t>🎄 Festive Season at Atrium – Buy 1 Get 1 Free!</t>
  </si>
  <si>
    <t>TH_BKK_ctnoti_netcore_single_N_N_active_20251217_1500_ny-atrium-restaurant-the-landmark-dec25</t>
  </si>
  <si>
    <t>🎄 เทศกาลความสุข Atrium มา 2 จ่ายแค่ 1!!</t>
  </si>
  <si>
    <t>SG_BKK_ctnoti_netcore_single_N_N_active_20251217_1600_sg-kaarla-wood-fire-grill-bar-dec25</t>
  </si>
  <si>
    <t>Up to 31% OFF at Kaarla Wood-Fire Grill &amp; Bar! 🔥</t>
  </si>
  <si>
    <t>EN_BKK_ctnoti_netcore_single_N_N_active_20251217_1700_ny-cielo-sky-bar-restaurant-dec25</t>
  </si>
  <si>
    <t>✨ Stella Countdown 2026 at Cielo Is Here!</t>
  </si>
  <si>
    <t>TH_BKK_ctnoti_netcore_single_N_N_active_20251217_1700_ny-cielo-sky-bar-restaurant-dec25</t>
  </si>
  <si>
    <t>✨ Stella Countdown 2026 กับ Cielo มาแล้ว!!</t>
  </si>
  <si>
    <t>SG_BKK_ctnoti_netcore_single_N_N_active_20251217_1800_sg-the-kitchen-table-at-w-singapore-dec25__</t>
  </si>
  <si>
    <t>✨ Your Ultimate Festive Getaway at Sentosa Cove!</t>
  </si>
  <si>
    <t>TH_BKK_ctnoti_netcore_single_N_N_active_20251218_1100_xin-tian-di-dec25</t>
  </si>
  <si>
    <t>⏳ โค้งสุดท้าย มา 3 จ่าย 2 ที่ Xin Tian Di</t>
  </si>
  <si>
    <t>EN_BKK_ctnoti_netcore_single_N_N_active_20251218_1100_xin-tian-di-dec25</t>
  </si>
  <si>
    <t>⏳ Final Call! Come 3 Pay 2 at Xin Tian Di</t>
  </si>
  <si>
    <t>SG_BKK_ctnoti_netcore_single_N_N_active_20251218_1400_sg-woobar-at-w-singapore-sentosa-cove-dec25</t>
  </si>
  <si>
    <t>🎄 Up to 30% OFF a Festive Afternoon Tea!</t>
  </si>
  <si>
    <t>TH_BKK_ctnoti_netcore_single_N_N_active_20251218_1500_ny-clover-sky-bar-restaurant-dec25</t>
  </si>
  <si>
    <t>🎆 โปรส่งท้ายปี กับ Clover Sky Bar</t>
  </si>
  <si>
    <t>EN_BKK_ctnoti_netcore_single_N_N_active_20251218_1500_ny-clover-sky-bar-restaurant-dec25</t>
  </si>
  <si>
    <t>🎆 Year-End Special at Clover Sky Bar!</t>
  </si>
  <si>
    <t>SG_BKK_ctnoti_netcore_single_N_N_active_20251218_1600_sg-waa-cow-vivocity-dec25</t>
  </si>
  <si>
    <t>✨ Premium Wagyu Bowls from S$27.5!</t>
  </si>
  <si>
    <t>TH_BKK_ctnoti_netcore_single_N_N_active_20251218_1700_ads-ricci-italian-restaurant-dec25</t>
  </si>
  <si>
    <t>🦞 King of Seafood มาถึง Gaysorn Village แล้ว!!</t>
  </si>
  <si>
    <t>EN_BKK_ctnoti_netcore_single_N_N_active_20251218_1700_ads-ricci-italian-restaurant-dec25</t>
  </si>
  <si>
    <t>🦞 King of Seafood Has Arrived at Gaysorn Village!</t>
  </si>
  <si>
    <t>SG_BKK_ctnoti_netcore_single_N_N_active_20251218_1800_sg-oscar-s-at-conrad-dec25</t>
  </si>
  <si>
    <t>✨ A Dazzling Festive Feast with 25% OFF!</t>
  </si>
  <si>
    <t>EN_BKK_ctnoti_netcore_single_N_N_active_20251219_1100_neta-grill-dec25</t>
  </si>
  <si>
    <t>🔥 Hot Deal! Come 3 Pay 2 at Neta Grill</t>
  </si>
  <si>
    <t>TH_BKK_ctnoti_netcore_single_N_N_active_20251219_1100_neta-grill-dec25</t>
  </si>
  <si>
    <t>🔥 โปรแรง Neta Grill มา 3 จ่ายแค่ 2</t>
  </si>
  <si>
    <t>SG_BKK_ctnoti_netcore_single_N_N_active_20251219_1400_sg-festive-element-restaurant-dec25</t>
  </si>
  <si>
    <t>🎄 25% OFF Your Festive Feast at Element!</t>
  </si>
  <si>
    <t>EN_BKK_ctnoti_netcore_single_N_N_active_20251219_1500_christmas-market-cafe-dec25</t>
  </si>
  <si>
    <t>🎄 Over THB 500 Off – Christmas at Market Café!</t>
  </si>
  <si>
    <t>TH_BKK_ctnoti_netcore_single_N_N_active_20251219_1500_christmas-market-cafe-dec25</t>
  </si>
  <si>
    <t>🎄 ลดกว่า 500.- โปรคริสต์มาส Market Cafe</t>
  </si>
  <si>
    <t>SG_BKK_ctnoti_netcore_single_N_N_active_20251219_1600_sg-skirt-at-w-singapore-sentosa-cove-dec25</t>
  </si>
  <si>
    <t>✨ The Ultimate Weekend Brunch Escape</t>
  </si>
  <si>
    <t>EN_BKK_ctnoti_netcore_single_N_N_active_20251219_1700_deja-brew-festive-dec25_</t>
  </si>
  <si>
    <t>🎄 Deja Brew Festive Special (Dec 24–31)!</t>
  </si>
  <si>
    <t>TH_BKK_ctnoti_netcore_single_N_N_active_20251219_1700_deja-brew-festive-dec25</t>
  </si>
  <si>
    <t>24-31 ธ.ค. นี้ Deja Brew มีโปรพิเศษ!!</t>
  </si>
  <si>
    <t>SG_BKK_ctnoti_netcore_single_N_N_active_20251219_1800_sg-festive-basilico-at-conrad-singapore-dec25</t>
  </si>
  <si>
    <t>🎁 Up to 20% OFF a Festive Italian Feast!</t>
  </si>
  <si>
    <t>EN_BKK_ctnoti_netcore_single_N_N_active_20251220_1100_bai-yun-banyan-tree-dec25</t>
  </si>
  <si>
    <t>🥂 Ring in the New Year with an 8-Course Luxury Dinner at Bai Yun</t>
  </si>
  <si>
    <t>TH_BKK_ctnoti_netcore_single_N_N_active_20251220_1100_bai-yun-banyan-tree-dec25</t>
  </si>
  <si>
    <t>🥂 ฉลองปีใหม่สุดหรู กับ 8 คอร์สจาก Bai Yun</t>
  </si>
  <si>
    <t>SG_BKK_ctnoti_netcore_single_N_N_active_20251220_1400_sg-akasa-authentic-north-indian-dec25</t>
  </si>
  <si>
    <t>🇮🇳 Up to 58% Off An Endless North Indian dining</t>
  </si>
  <si>
    <t>EN_BKK_ctnoti_netcore_single_N_N_active_20251220_1500_jw-cafe-at-jw-marriott-dec25</t>
  </si>
  <si>
    <t>⏰ Final Call! Come 2 Pay 1 at JW Café</t>
  </si>
  <si>
    <t>TH_BKK_ctnoti_netcore_single_N_N_active_20251220_1500_jw-cafe-at-jw-marriott-dec25</t>
  </si>
  <si>
    <t>⏰ โค้งสุดท้าย มา 2 จ่าย 1 กับ JW Café</t>
  </si>
  <si>
    <t>SG_BKK_ctnoti_netcore_single_N_N_active_20251220_1600_sg-steak-stop-singapore-dec25</t>
  </si>
  <si>
    <t>🔥 All-You-Can-Eat Steak is Here!</t>
  </si>
  <si>
    <t>EN_BKK_ctnoti_netcore_single_N_N_active_20251220_1700_christmas-the-kitchen-table-dec25</t>
  </si>
  <si>
    <t>🎄 Christmas Special – Come 4 Pay 3 at The Kitchen Table!</t>
  </si>
  <si>
    <t>TH_BKK_ctnoti_netcore_single_N_N_active_20251220_1700_christmas-the-kitchen-table-dec25</t>
  </si>
  <si>
    <t>🎄 คริสต์มาสนี้ มา 4 จ่าย 3 ที่ The Kitchen Table</t>
  </si>
  <si>
    <t>SG_BKK_ctnoti_netcore_single_N_N_active_20251220_1800_sg-hanjip-korean-grill-house-dec25</t>
  </si>
  <si>
    <t>Up to 28% OFF at Hanjip Korean Grill House! 🔥</t>
  </si>
  <si>
    <t>TH_BKK_ctnoti_netcore_group_N_N_active_20251221_1100_pengyou-cuisine-specialty-bar-dec25</t>
  </si>
  <si>
    <t>🦆🔥 โค้งสุดท้าย ปาร์ตี้บุฟเฟต์ติ่มซำ! แถมเป็ดปักกิ่งฟรี!</t>
  </si>
  <si>
    <t>EN_BKK_ctnoti_netcore_group_N_N_active_20251221_1100_pengyou-cuisine-specialty-bar-dec25</t>
  </si>
  <si>
    <t>🦆🔥 Final Call! Dim Sum Buffet Party + FREE Peking Duck!</t>
  </si>
  <si>
    <t>SG_BKK_ctnoti_netcore_single_N_N_active_20251221_1400_sg-copper-chimney-syed-alwi-road-dec25__</t>
  </si>
  <si>
    <t>Up to 30% OFF at Copper Chimney! 🇮🇳</t>
  </si>
  <si>
    <t>EN_BKK_ctnoti_netcore_single_N_N_active_20251221_1500_the-district-grill-room-dec25</t>
  </si>
  <si>
    <t>🥩 Come 2 Pay 1 at The District Grill Room!</t>
  </si>
  <si>
    <t>TH_BKK_ctnoti_netcore_single_N_N_active_20251221_1500_the-district-grill-room-dec25</t>
  </si>
  <si>
    <t>🥩 มา 2 จ่าย 1 กับ The District Grill Room</t>
  </si>
  <si>
    <t>SG_BKK_ctnoti_netcore_single_N_N_active_20251221_1600_sg-cafe-osg-zichar-tea-room-dec25</t>
  </si>
  <si>
    <t>Up to 37% OFF at Cafe OSG! 😋</t>
  </si>
  <si>
    <t>EN_BKK_ctnoti_netcore_single_N_N_active_20251221_1700_ny-xmas-saffron-cruise-by-banyan-tree-dec25</t>
  </si>
  <si>
    <t>🛥️ 10% Off – Celebrate on Saffron Cruise by Banyan Tree!</t>
  </si>
  <si>
    <t>TH_BKK_ctnoti_netcore_single_N_N_active_20251221_1700_ny-xmas-saffron-cruise-by-banyan-tree-dec25</t>
  </si>
  <si>
    <t>🛥️ ลด 10% ล่องเรือฉลองกับ Saffron Cruise Banyan Tree</t>
  </si>
  <si>
    <t>SG_BKK_ctnoti_netcore_single_N_N_active_20251221_1800_sg-nami-korean-grill-house-dec25__</t>
  </si>
  <si>
    <t>Up to 28% OFF at Nami Korean Grill House! 🔥</t>
  </si>
  <si>
    <t>TH_BKK_ctnoti_netcore_group_N_N_active_20251222_1100_staycation-longweekend-dec25</t>
  </si>
  <si>
    <t>🏖️ หยุดยาวใกล้มาแล้ว มีที่เที่ยวหรือยัง?</t>
  </si>
  <si>
    <t>EN_BKK_ctnoti_netcore_group_N_N_active_20251222_1100_staycation-longweekend-dec25</t>
  </si>
  <si>
    <t>🏖️ Have Any Plans For Long Weekend Yet?</t>
  </si>
  <si>
    <t>EN_BKK_ctnoti_netcore_single_N_N_active_20251222_1500_christmas-ava-brasserie-dec25</t>
  </si>
  <si>
    <t>✨ Festive Season at Ava Brasserie!</t>
  </si>
  <si>
    <t>TH_BKK_ctnoti_netcore_single_N_N_active_20251222_1500_christmas-ava-brasserie-dec25</t>
  </si>
  <si>
    <t>✨ ฤดูกาลเฉลิมฉลองสุดพิเศษ กับ Ava Brasserie</t>
  </si>
  <si>
    <t>SG_BKK_ctnoti_netcore_single_N_N_active_20251022_1600_sg-hai-tien-lo-at-pan-pacific-dec25</t>
  </si>
  <si>
    <t>🥟 All-You-Can-Eat Award-Winning Dim Sum!</t>
  </si>
  <si>
    <t>SG_BKK_ctnoti_netcore_single_N_N_active_20251022_1800_sg-kintamani-at-furam-dec25</t>
  </si>
  <si>
    <t>Up to 37% OFF at Kintamani! 🇮🇩</t>
  </si>
  <si>
    <t>EN_BKK_ctnoti_netcore_single_N_N_active_20251222_1700_panorama-crowne-plaza-dec25</t>
  </si>
  <si>
    <t>🌆 Come 4 Pay 3 at Panorama, Crowne Plaza!</t>
  </si>
  <si>
    <t>TH_BKK_ctnoti_netcore_single_N_N_active_20251222_1700_panorama-crowne-plaza-dec25</t>
  </si>
  <si>
    <t>🌆 มา 4 จ่าย 3 กับ Panorama Crowne Plaza</t>
  </si>
  <si>
    <t>SG_BKK_ctnoti_netcore_single_N_N_active_20251022_2000_sg-nozomi-at-millenia-walk-dec25</t>
  </si>
  <si>
    <t>Up to 35% OFF at Nozomi! 🇯🇵</t>
  </si>
  <si>
    <t>TH_BKK_ctnoti_netcore_single_N_N_active_20251223_1100_newyear-praya-dining-dec25</t>
  </si>
  <si>
    <t>🎆 ฉลองสิ้นปีกับ 2 โปรพิเศษจาก Praya Palazzo</t>
  </si>
  <si>
    <t>EN_BKK_ctnoti_netcore_single_N_N_active_20251223_1100_newyear-praya-dining-dec25</t>
  </si>
  <si>
    <t>🎆 Celebrate Year-End with Praya Palazzo!</t>
  </si>
  <si>
    <t>EN_BKK_ctnoti_netcore_group_N_N_active_20251223_1500_cruise-dinner-dec25</t>
  </si>
  <si>
    <t>⛴️ Chao Phraya Dinner Cruise Deals You Can’t Miss! 🌟</t>
  </si>
  <si>
    <t>TH_BKK_ctnoti_netcore_group_N_N_active_20251223_1500_cruise-dinner-dec25</t>
  </si>
  <si>
    <t>⛴️ แจกพิกัด โปรล่องเรือ เจ้าพระยาสุดคุ้ม 🌟</t>
  </si>
  <si>
    <t>SG_BKK_ctnoti_netcore_single_N_N_active_20251023_1600_sg-my-introduce-dec25</t>
  </si>
  <si>
    <t>🇲🇾 Hungry Hub is now in MALAYSIA!</t>
  </si>
  <si>
    <t>Maleysia,Singapore</t>
  </si>
  <si>
    <t>SG_BKK_ctnoti_netcore_single_N_N_active_20251223_1800_sg-the-horse-s-mouth-dec25</t>
  </si>
  <si>
    <t>Up to 28% OFF at The Horse's Mouth! 🤫</t>
  </si>
  <si>
    <t>EN_BKK_ctnoti_netcore_single_N_N_active_20251223_1700_re-moxy-bar-restaurant-dec25</t>
  </si>
  <si>
    <t>🎆 Buffet + Fireworks Near Central World!</t>
  </si>
  <si>
    <t>TH_BKK_ctnoti_netcore_single_N_N_active_20251223_1700_re-moxy-bar-restaurant-dec25</t>
  </si>
  <si>
    <t>🎆 บุฟเฟต์ + ดูพลุ ใกล้ Central World!!</t>
  </si>
  <si>
    <t>SG_BKK_ctnoti_netcore_single_N_N_active_20251223_2000_sg-town-restaurant-dec25</t>
  </si>
  <si>
    <t>🎄 25% OFF Your Festive Feast at The Fullerton!</t>
  </si>
  <si>
    <t>TH_BKK_ctnoti_netcore_group_N_N_active_20251224_1100_christmas-eve-deals-dec25</t>
  </si>
  <si>
    <t>🎄 [FIRST_NAME] คืนนี้คริสต์มาสอีฟแล้ว มีร้านหรือยัง?</t>
  </si>
  <si>
    <t>EN_BKK_ctnoti_netcore_group_N_N_active_20251224_1100_christmas-eve-deals-dec25</t>
  </si>
  <si>
    <t>🎄 [FIRST_NAME] Christmas Eve Is Tonight — Got a Table Yet?</t>
  </si>
  <si>
    <t>EN_BKK_ctnoti_netcore_single_N_N_active_20251224_1500_weekly-new-week4-dec25</t>
  </si>
  <si>
    <t>TH_BKK_ctnoti_netcore_single_N_N_active_20251224_1500_weekly-new-week4-dec25</t>
  </si>
  <si>
    <t>EN_BKK_ctnoti_netcore_single_N_N_active_20251224_1700_ads-ricci-italian-restaurant-2-dec25</t>
  </si>
  <si>
    <t>🇮🇹 Luxury Italian Dinner from Just THB 500!</t>
  </si>
  <si>
    <t>TH_BKK_ctnoti_netcore_single_N_N_active_20251224_1700_ads-ricci-italian-restaurant-2-dec25</t>
  </si>
  <si>
    <t>🇮🇹 พก 500 ก็ทานดินเนอร์อิตาเลียนสุดหรูได้!</t>
  </si>
  <si>
    <t>TH_BKK_ctnoti_netcore_group_N_N_active_20251225_1100_christmas-deals-dec25</t>
  </si>
  <si>
    <t>🎅 โฮ่ โฮ่ โฮ่ สุขสันต์วันคริสต์มาส 🎄</t>
  </si>
  <si>
    <t>EN_BKK_ctnoti_netcore_group_N_N_active_20251225_1100_christmas-deals-dec25</t>
  </si>
  <si>
    <t>🎅 Ho Ho Ho! Merry Christmas! 🎄</t>
  </si>
  <si>
    <t>SG_BKK_ctnoti_netcore_mkt_N_N_active_20251225_1400_sg-merry-christmas-dec25</t>
  </si>
  <si>
    <t>TH_BKK_ctnoti_netcore_single_N_N_active_20251225_1500_greenhouse-restaurant-dec25</t>
  </si>
  <si>
    <t>🎆 ฉลองปีใหม่กับโปรพิเศษ จาก Greenhouse</t>
  </si>
  <si>
    <t>EN_BKK_ctnoti_netcore_single_N_N_active_20251225_1500_greenhouse-restaurant-dec25</t>
  </si>
  <si>
    <t>🎆 Celebrate the New Year with Greenhouse Specials!</t>
  </si>
  <si>
    <t>MY_BKK_ctnoti_netcore_mkt_N_N_active_20251225_1400_my-merry-christmas-dec25</t>
  </si>
  <si>
    <t>SG_BKK_ctnoti_netcore_single_N_N_active_20251225_1600_sg-shrimp-prawn-seafood-dec25</t>
  </si>
  <si>
    <t>🔥 1-FOR-1 Thai Lunch Sets at Shrimp Prawn Seafood!</t>
  </si>
  <si>
    <t>TH_BKK_ctnoti_netcore_single_N_N_active_20251225_1700_redsquare-rooftop-bar-dec25</t>
  </si>
  <si>
    <t>🍸 มา 2 จ่าย 1 กับ RedSquare Rooftop Bar</t>
  </si>
  <si>
    <t>EN_BKK_ctnoti_netcore_single_N_N_active_20251225_1700_redsquare-rooftop-bar-dec25</t>
  </si>
  <si>
    <t>🍸 Come 2 Pay 1 at RedSquare Rooftop Bar!</t>
  </si>
  <si>
    <t>SG_BKK_ctnoti_netcore_single_N_N_active_20251225_1800_sg-fu-yuan-teochew-dec25</t>
  </si>
  <si>
    <t>🥢 -23% Off A Taste of Authentic Teochew Cuisine!</t>
  </si>
  <si>
    <t>EN_BKK_ctnoti_netcore_single_N_N_active_20251226_1100_guilty-anantara-siam-dec25</t>
  </si>
  <si>
    <t>⏳ Final Call! Come 2 Pay 1 at Guilty, Anantara Siam</t>
  </si>
  <si>
    <t>TH_BKK_ctnoti_netcore_single_N_N_active_20251226_1100_guilty-anantara-siam-dec25</t>
  </si>
  <si>
    <t>⏳ โค้งสุดท้าย มา 2 จ่าย 1 กับ Guilty Anantara Siam</t>
  </si>
  <si>
    <t>EN_BKK_ctnoti_netcore_single_N_N_active_20251226_1500_goji-kitchen-grill-bar-at-pattaya-dec25</t>
  </si>
  <si>
    <t>🔥 Come 4 Pay 3 at Goji Kitchen Grill &amp; Bar!</t>
  </si>
  <si>
    <t>TH_BKK_ctnoti_netcore_single_N_N_active_20251226_1500_goji-kitchen-grill-bar-at-pattaya-dec25</t>
  </si>
  <si>
    <t>🔥 มา 4 จ่าย 3 กับ Goji Kitchen Grill &amp; Bar</t>
  </si>
  <si>
    <t>EN_BKK_ctnoti_netcore_single_N_N_active_20251226_1700_ads-albricias-at-chatrium-residence-dec25</t>
  </si>
  <si>
    <t>🇪🇸 Come 4 Pay 3 at Albricias!</t>
  </si>
  <si>
    <t>TH_BKK_ctnoti_netcore_single_N_N_active_20251226_1700_ads-albricias-at-chatrium-residence-dec25</t>
  </si>
  <si>
    <t>🇪🇸 มา 4 จ่าย 3 กับ Albricias</t>
  </si>
  <si>
    <t>EN_BKK_ctnoti_netcore_group_N_N_active_20251227_1100_mezzanine-cafe-s15-sukhumvit-dec25</t>
  </si>
  <si>
    <t>🍽️ Come 3 Pay 2 at Mezzanine Café S15!</t>
  </si>
  <si>
    <t>TH_BKK_ctnoti_netcore_group_N_N_active_20251227_1100_mezzanine-cafe-s15-sukhumvit-dec25</t>
  </si>
  <si>
    <t>🍽️ มา 3 จ่าย 2 กับ Mezzanine Cafe S15</t>
  </si>
  <si>
    <t>EN_BKK_ctnoti_netcore_single_N_N_active_20251227_1500_anacot-revtaurant-si-phraya-dec25</t>
  </si>
  <si>
    <t>🎆 Up to 47% Off – Special New Year’s Eve at Anacot Restaurant!</t>
  </si>
  <si>
    <t>TH_BKK_ctnoti_netcore_single_N_N_active_20251227_1500_anacot-revtaurant-si-phraya-dec25</t>
  </si>
  <si>
    <t>🎆 ลดสูงสุด 47% กับโปรพิเศษ Anacot Revtaurant</t>
  </si>
  <si>
    <t>EN_BKK_ctnoti_netcore_single_N_N_active_20251227_1700_ny-fallabella-river-front-iconsiam-dec25</t>
  </si>
  <si>
    <t>🎆 The Ultimate Countdown Spot at ICONSIAM!</t>
  </si>
  <si>
    <t>TH_BKK_ctnoti_netcore_single_N_N_active_20251227_1700_ny-fallabella-river-front-iconsiam-dec25</t>
  </si>
  <si>
    <t>🎆 ที่สุดของมุมเคาท์ดาวน์ไอคอนสยาม</t>
  </si>
  <si>
    <t>EN_BKK_ctnoti_netcore_group_N_N_active_20251228_1100_time-to-rejoice-dec25</t>
  </si>
  <si>
    <t>🎉 Time To Rejoice 2026</t>
  </si>
  <si>
    <t>TH_BKK_ctnoti_netcore_group_N_N_active_20251228_1100_time-to-rejoice-dec25</t>
  </si>
  <si>
    <t>TH_BKK_ctnoti_netcore_single_N_N_active_20251228_1500_the-garden-at-grande-central-point-dec25</t>
  </si>
  <si>
    <t>🎆 ฉลองปีใหม่ กับ The Garden</t>
  </si>
  <si>
    <t>EN_BKK_ctnoti_netcore_single_N_N_active_20251228_1500_the-garden-at-grande-central-point-dec25</t>
  </si>
  <si>
    <t>🎆 Celebrate the New Year at The Garden!</t>
  </si>
  <si>
    <t>EN_BKK_ctnoti_netcore_single_N_N_active_20251228_1700_ads-hotaru-119-omakase-2-dec25</t>
  </si>
  <si>
    <t>🍣 Hotaru 119 Omakase – Special Price!</t>
  </si>
  <si>
    <t>TH_BKK_ctnoti_netcore_single_N_N_active_20251228_1700_ads-hotaru-119-omakase-2-dec25</t>
  </si>
  <si>
    <t>🍣 Hotaru 119 Omakase ลดราคาพิเศษ!</t>
  </si>
  <si>
    <t>TH_BKK_ctnoti_netcore_group_N_N_active_20251229_1100_copper-beyond-buffet-dec25</t>
  </si>
  <si>
    <t>✨ ฉลองส่งท้ายปี กับ 12 เมนูใหม่ Copper Beyond Buffet</t>
  </si>
  <si>
    <t>EN_BKK_ctnoti_netcore_group_N_N_active_20251229_1100_copper-beyond-buffet-dec25</t>
  </si>
  <si>
    <t>✨ Celebrate Year-End with 12 New Dishes at Copper Beyond Buffet!</t>
  </si>
  <si>
    <t>TH_BKK_ctnoti_netcore_group_N_N_active_20251229_1500_rooftop-dec25</t>
  </si>
  <si>
    <t>🌌 เครียดทั้งปีมาเยอะ ปลดปล่อยสักหน่อยไหม</t>
  </si>
  <si>
    <t>EN_BKK_ctnoti_netcore_group_N_N_active_20251229_1500_rooftop-dec25</t>
  </si>
  <si>
    <t>🌌 Been Stressed All Year? Time to Unwind!</t>
  </si>
  <si>
    <t>EN_BKK_ctnoti_netcore_single_N_N_active_20251229_1700_china-palace-dec25</t>
  </si>
  <si>
    <t>🥢 Come 4 Pay 3 at China Palace!</t>
  </si>
  <si>
    <t>TH_BKK_ctnoti_netcore_single_N_N_active_20251229_1700_china-palace-dec25</t>
  </si>
  <si>
    <t>🥢 มา 4 จ่าย 3 กับ China Palace</t>
  </si>
  <si>
    <t>TH_BKK_ctnoti_netcore_group_N_N_active_20251230_1100_beef-express-dec25</t>
  </si>
  <si>
    <t>🥩 โค้งสุดท้าย Beef Express มา 2 จ่าย 1</t>
  </si>
  <si>
    <t>EN_BKK_ctnoti_netcore_group_N_N_active_20251230_1100_beef-express-dec25</t>
  </si>
  <si>
    <t>🥩 Final Call! Come 2 Pay 1 at Beef Express</t>
  </si>
  <si>
    <t>TH_BKK_ctnoti_netcore_group_N_N_active_20251230_1500_festive-diy-dec25</t>
  </si>
  <si>
    <t>✨ อยากฉลองส่งท้ายปี แบบไม่มีงบขั้นต่ำ?</t>
  </si>
  <si>
    <t>EN_BKK_ctnoti_netcore_group_N_N_active_20251230_1500_festive-diy-dec25</t>
  </si>
  <si>
    <t>✨ Want to Celebrate Year-End with No Minimum Spend?</t>
  </si>
  <si>
    <t>EN_BKK_ctnoti_netcore_group_N_N_active_20251230_1700_jumbo-seafood-dec25</t>
  </si>
  <si>
    <t>🦀 Come 4 Pay 3 at Jumbo Seafood!</t>
  </si>
  <si>
    <t>TH_BKK_ctnoti_netcore_group_N_N_active_20251230_1700_jumbo-seafood-dec25</t>
  </si>
  <si>
    <t>🦀 Jumbo Seafood มา 4 จ่ายแค่ 3!!</t>
  </si>
  <si>
    <t>EN_BKK_ctnoti_netcore_group_N_N_active_20251231_1100_last-chance-celebrate-dec25</t>
  </si>
  <si>
    <t>🎆 New Year’s Eve Is Almost Here — Got a Table Yet?</t>
  </si>
  <si>
    <t>TH_BKK_ctnoti_netcore_group_N_N_active_20251231_1100_last-chance-celebrate-dec25</t>
  </si>
  <si>
    <t>🎆 จะข้ามปีแล้ว มีร้านกันหรือยัง?</t>
  </si>
  <si>
    <t>TH_BKK_ctnoti_netcore_group_N_N_active_20251231_1300_outdoor-dec25</t>
  </si>
  <si>
    <t>🌿 ร้าน Outdoor ยังมีว่างอีกเพียบ!</t>
  </si>
  <si>
    <t>EN_BKK_ctnoti_netcore_group_N_N_active_20251231_1300_outdoor-dec25</t>
  </si>
  <si>
    <t>🌿 Outdoor Restaurants Still Available!</t>
  </si>
  <si>
    <t>EN_BKK_ctnoti_netcore_group_N_N_active_20251231_1500_you-i-premium-suki-buffet-dec25</t>
  </si>
  <si>
    <t>🔥 You&amp;I 15% Off — Ending Soon!</t>
  </si>
  <si>
    <t>TH_BKK_ctnoti_netcore_group_N_N_active_20251231_1500_you-i-premium-suki-buffet-dec25</t>
  </si>
  <si>
    <t>🔥 You&amp;I ลด 15% ใกล้จะจบแล้ว!!</t>
  </si>
  <si>
    <t>EN_BKK_ctnoti_netcore_single_N_N_active_20260101_1200_happy-new-year-jan26</t>
  </si>
  <si>
    <t>🎉 Happy New Year 2026! ✨</t>
  </si>
  <si>
    <t>TH_BKK_ctnoti_netcore_single_N_N_active_20260101_1200_happy-new-year-jan26</t>
  </si>
  <si>
    <t>🎉 สวัสดีปีใหม่ 2569! ✨</t>
  </si>
  <si>
    <t>TH_BKK_ctnoti_netcore_group_N_N_active_20260101_1100_family-restaurants-jan26</t>
  </si>
  <si>
    <t>👨‍👩‍👧‍👦 หยุดยาวนี้ มีร้านพาครอบครัวไปหรือยัง?</t>
  </si>
  <si>
    <t>EN_BKK_ctnoti_netcore_group_N_N_active_20260101_1100_family-restaurants-jan26</t>
  </si>
  <si>
    <t>👨‍👩‍👧‍👦 Long Weekend Plans with the Family Yet?</t>
  </si>
  <si>
    <t>EN_BKK_ctnoti_netcore_group_N_N_active_20260101_1500_bubble-in-the-forest-cafe-jan26</t>
  </si>
  <si>
    <t>☕🌿 Bubble in the Forest Café — Up to 40% Off!</t>
  </si>
  <si>
    <t>TH_BKK_ctnoti_netcore_group_N_N_active_20260101_1500_bubble-in-the-forest-cafe-jan26</t>
  </si>
  <si>
    <t>☕🌿 Bubble in the Forest Cafe ลดสูงสุดกว่า 40%</t>
  </si>
  <si>
    <t>TH_BKK_ctnoti_netcore_single_N_N_active_20260102_1100_flow-at-millennium-hilton-jan26</t>
  </si>
  <si>
    <t>🦞 สุดสัปดาห์ลดสุดคุ้ม กับ FLOW at Millennium Hilton</t>
  </si>
  <si>
    <t>EN_BKK_ctnoti_netcore_single_N_N_active_20260102_1100_flow-at-millennium-hilton-jan26</t>
  </si>
  <si>
    <t>🦞 Weekend Best Deals at FLOW, Millennium Hilton!</t>
  </si>
  <si>
    <t>TH_BKK_ctnoti_netcore_single_N_N_active_20260102_1500_ads-koko-japanese-omakase-jan26</t>
  </si>
  <si>
    <t>🍣 Koko Omakase ซื้อ 2 จ่าย 1</t>
  </si>
  <si>
    <t>EN_BKK_ctnoti_netcore_single_N_N_active_20260102_1500_ads-koko-japanese-omakase-jan26</t>
  </si>
  <si>
    <t>🍣 Buy 2 Get 1 Free at Koko Omakase!</t>
  </si>
  <si>
    <t>EN_BKK_ctnoti_netcore_group_N_N_active_20260102_1700_ads-tikishi-jan26</t>
  </si>
  <si>
    <t>🇯🇵 Tikishi Is Here!!</t>
  </si>
  <si>
    <t>TH_BKK_ctnoti_netcore_group_N_N_active_20260102_1700_ads-tikishi-jan26</t>
  </si>
  <si>
    <t>🇯🇵 Tikishi มาแล้ว!!</t>
  </si>
  <si>
    <t>EN_BKK_ctnoti_netcore_single_N_N_active_20260103_1100_the-market-5-at-eastin-grand-jan26</t>
  </si>
  <si>
    <t>🦐 The Market@5 — Over 50% Off!</t>
  </si>
  <si>
    <t>TH_BKK_ctnoti_netcore_single_N_N_active_20260103_1100_the-market-5-at-eastin-grand-jan26</t>
  </si>
  <si>
    <t>🦐 The Market@5 ลดหนักกว่า 50%</t>
  </si>
  <si>
    <t>TH_BKK_ctnoti_netcore_single_N_N_active_20260103_1500_the-mayflower-restaurant-jan26</t>
  </si>
  <si>
    <t>🥢 ติ่มซำ + ชาไม่อั้น ราคาเดียวไม่ถึงพัน</t>
  </si>
  <si>
    <t>EN_BKK_ctnoti_netcore_single_N_N_active_20260103_1500_the-mayflower-restaurant-jan26</t>
  </si>
  <si>
    <t>🥢 Unlimited Dim Sum &amp; Tea — Under THB 1,000!</t>
  </si>
  <si>
    <t>EN_BKK_ctnoti_netcore_single_N_N_active_20260103_1700_ads-celeste-bangkok-jan26</t>
  </si>
  <si>
    <t>✨ Celeste Bangkok Has Arrived!</t>
  </si>
  <si>
    <t>TH_BKK_ctnoti_netcore_single_N_N_active_20260103_1700_ads-celeste-bangkok-jan26</t>
  </si>
  <si>
    <t>✨ Celeste Bangkok มาเยือนแล้ว</t>
  </si>
  <si>
    <t>EN_BKK_ctnoti_netcore_single_N_N_active_20260104_1100_sunday-brunch-praya-kitchen-bangkok-jan26</t>
  </si>
  <si>
    <t>🍽️ Sunday Best Value at Praya Kitchen!</t>
  </si>
  <si>
    <t>TH_BKK_ctnoti_netcore_single_N_N_active_20260104_1100_sunday-brunch-praya-kitchen-bangkok-jan26</t>
  </si>
  <si>
    <t>🍽️ วันอาทิตย์อิ่มคุ้ม กับ Praya Kitchen</t>
  </si>
  <si>
    <t>TH_BKK_ctnoti_netcore_single_N_N_active_20260104_1500_the-mulberry-chinese-cuisine-jan26</t>
  </si>
  <si>
    <t>🥢🦆 บุฟเฟต์ติ่มซำ + เป็ดปักกิ่งไม่อั้น แค่ 999.-</t>
  </si>
  <si>
    <t>EN_BKK_ctnoti_netcore_single_N_N_active_20260104_1500_the-mulberry-chinese-cuisine-jan26</t>
  </si>
  <si>
    <t>🥢🦆 Unlimited Dim Sum &amp; Peking Duck — Just THB 999!</t>
  </si>
  <si>
    <t>EN_BKK_ctnoti_netcore_single_N_N_active_20260104_1700_ads-napha-dusit-central-park-jan26</t>
  </si>
  <si>
    <t>✨ Did You Know? Napha Is Now at Dusit Central Park!</t>
  </si>
  <si>
    <t>TH_BKK_ctnoti_netcore_single_N_N_active_20260104_1700_ads-napha-dusit-central-park-jan26</t>
  </si>
  <si>
    <t>✨ รู้ยัง Napha มีที่ Dusit Central Park แล้ว!!</t>
  </si>
  <si>
    <t>TH_BKK_ctnoti_netcore_group_N_N_active_20260105_1100_man-fu-yuan-jan26</t>
  </si>
  <si>
    <t>🥢🔥 10 วันสุดท้าย โปรเดือดจาก Man Fu Yuan</t>
  </si>
  <si>
    <t>5845, 4350</t>
  </si>
  <si>
    <t>EN_BKK_ctnoti_netcore_group_N_N_active_20260105_1100_man-fu-yuan-jan26</t>
  </si>
  <si>
    <t>🥢🔥 Last 10 Days! Hot Deal at Man Fu Yuan</t>
  </si>
  <si>
    <t>EN_BKK_ctnoti_netcore_single_N_N_active_20260105_1500_ads-akato-bkk-jan26</t>
  </si>
  <si>
    <t>🍣 Buy 1 Get 1 Free at Akato BKK!</t>
  </si>
  <si>
    <t>TH_BKK_ctnoti_netcore_single_N_N_active_20260105_1500_ads-akato-bkk-jan26</t>
  </si>
  <si>
    <t>🍣 ซื้อ 1 ฟรี 1 กับ Akato BKK</t>
  </si>
  <si>
    <t>EN_BKK_ctnoti_netcore_single_N_N_active_20260105_1700_flavors-at-renaissance-jan26</t>
  </si>
  <si>
    <t>🦞🦀 Unlimited Lobster &amp; Alaska Crab — 40% Off!</t>
  </si>
  <si>
    <t>TH_BKK_ctnoti_netcore_single_N_N_active_20260105_1700_flavors-at-renaissance-jan26</t>
  </si>
  <si>
    <t>🦞🦀 ล็อบสเตอร์ + อลาสก้าไม่อั้น + ลด 40%</t>
  </si>
  <si>
    <t>TH_BKK_ctnoti_netcore_group_N_N_active_20260106_1100_children-day-jan26</t>
  </si>
  <si>
    <t>🎈 วันเด็กปีนี้ เที่ยว - กิน - สนุก 🎉</t>
  </si>
  <si>
    <t>EN_BKK_ctnoti_netcore_group_N_N_active_20260106_1100_children-day-jan26</t>
  </si>
  <si>
    <t>🎈 Children’s Day Fun: Play • Eat • Enjoy! 🎉</t>
  </si>
  <si>
    <t>EN_BKK_ctnoti_netcore_single_N_N_active_20260106_1500_fairy-garden-jan26</t>
  </si>
  <si>
    <t>✨📸 Last Chance! Come 2 Pay 1 at Fairy Garden</t>
  </si>
  <si>
    <t>TH_BKK_ctnoti_netcore_single_N_N_active_20260106_1500_fairy-garden-jan26</t>
  </si>
  <si>
    <t>✨📸 โอกาสสุดท้าย! Fairy Garden มา 2 จ่ายแค่ 1</t>
  </si>
  <si>
    <t>EN_BKK_ctnoti_netcore_single_N_N_active_20260106_1700_ads-the-pablo-jan26</t>
  </si>
  <si>
    <t>🔥 Over 37% Off at The Pablo Bangkok!</t>
  </si>
  <si>
    <t>TH_BKK_ctnoti_netcore_single_N_N_active_20260106_1700_ads-the-pablo-jan26</t>
  </si>
  <si>
    <t>🔥 ลดกว่า 37% กับ The Pablo Bangkok</t>
  </si>
  <si>
    <t>TH_BKK_ctnoti_netcore_group_N_N_active_20260107_1100_weekly-new-week1-jan26</t>
  </si>
  <si>
    <t>🟢 พุธแรกของปีใหม่ มีร้านใหม่มาเสิร์ฟ</t>
  </si>
  <si>
    <t>EN_BKK_ctnoti_netcore_group_N_N_active_20260107_1100_weekly-new-week1-jan26</t>
  </si>
  <si>
    <t>⏳ Final Call! Come 2 Pay 1 at Beef Express</t>
  </si>
  <si>
    <t>EN_BKK_ctnoti_netcore_single_N_N_active_20260107_1500_nimitr-rooftop-by-137-pillars-jan26</t>
  </si>
  <si>
    <t>🍷 Come 2 Pay 1 at Nimitr Rooftop!</t>
  </si>
  <si>
    <t>TH_BKK_ctnoti_netcore_single_N_N_active_20260107_1500_nimitr-rooftop-by-137-pillars-jan26</t>
  </si>
  <si>
    <t>🍷 มา 2 จ่าย 1 กับ Nimitr Rooftop</t>
  </si>
  <si>
    <t>EN_BKK_ctnoti_netcore_group_N_N_active_20260107_1700_ads-beef-express-jan26</t>
  </si>
  <si>
    <t>TH_BKK_ctnoti_netcore_group_N_N_active_20260107_1700_ads-beef-express-jan26</t>
  </si>
  <si>
    <t>⏳ โค้งสุดท้าย มา 2 จ่าย 1 กับ Beef Express</t>
  </si>
  <si>
    <t>EN_BKK_ctnoti_netcore_single_N_N_active_20260108_1100_ads-man-ho-chinese-restaurant-jan26</t>
  </si>
  <si>
    <t>🥢 Buy 1 Get 1 Free at Man Ho Chinese Restaurant!</t>
  </si>
  <si>
    <t>TH_BKK_ctnoti_netcore_single_N_N_active_20260108_1100_ads-man-ho-chinese-restaurant-jan26</t>
  </si>
  <si>
    <t>🥢 มา 2 จ่ายแค่ 1 กับ Man Ho Chinese Restaurant</t>
  </si>
  <si>
    <t>EN_BKK_ctnoti_netcore_single_N_N_active_20260108_1500_the-emerald-coffee-shop-jan26</t>
  </si>
  <si>
    <t>🍽️ 3 Hours Unlimited — Starting from Just THB 309!</t>
  </si>
  <si>
    <t>TH_BKK_ctnoti_netcore_single_N_N_active_20260108_1500_the-emerald-coffee-shop-jan26</t>
  </si>
  <si>
    <t>🍽️ ทานไม่อั้น 3 ชั่วโมง เริ่มต้นแค่ 309 บาท!</t>
  </si>
  <si>
    <t>EN_BKK_ctnoti_netcore_single_N_N_active_20260108_1700_s-cafe-at-s31-jan26</t>
  </si>
  <si>
    <t>🦀 Unlimited Alaska Crab — Under THB 1,000!</t>
  </si>
  <si>
    <t>TH_BKK_ctnoti_netcore_single_N_N_active_20260108_1700_s-cafe-at-s31-jan26</t>
  </si>
  <si>
    <t>🦀 ปูอลาสก้าไม่อั้น จ่ายไม่ถึงพัน!!</t>
  </si>
  <si>
    <t>TH_BKK_ctnoti_netcore_single_N_N_active_20260109_1100_yok-chinese-restaurant-jan26</t>
  </si>
  <si>
    <t>🥢 มา 3 จ่าย 2 กับ YOK Chinese Restaurant</t>
  </si>
  <si>
    <t>EN_BKK_ctnoti_netcore_single_N_N_active_20260109_1100_yok-chinese-restaurant-jan26</t>
  </si>
  <si>
    <t>🥢 Come 3 Pay 2 at YOK Chinese Restaurant!</t>
  </si>
  <si>
    <t>EN_BKK_ctnoti_netcore_group_N_N_active_20260109_1500_diy-custom-jan26</t>
  </si>
  <si>
    <t>💸 Mid-Month Budget Tight? Go Light on Your Meal!</t>
  </si>
  <si>
    <t>TH_BKK_ctnoti_netcore_group_N_N_active_20260109_1500_diy-custom-jan26</t>
  </si>
  <si>
    <t>💸 จะกลางเดือนใช้เงินเยอะ ทานมื้อเบาๆสักหน่อยไหม?</t>
  </si>
  <si>
    <t>EN_BKK_ctnoti_netcore_single_N_N_active_20260109_1700_ads-la-tavola-renaissance-jan26</t>
  </si>
  <si>
    <t>🇮🇹 Up to 73% Off at La Tavola Renaissance!</t>
  </si>
  <si>
    <t>TH_BKK_ctnoti_netcore_single_N_N_active_20260109_1700_ads-la-tavola-renaissance-jan26</t>
  </si>
  <si>
    <t>🇮🇹 ลดสูงสุด 73% กับ La Tavola Renaissance</t>
  </si>
  <si>
    <t>TH_BKK_ctnoti_netcore_group_N_N_active_20260110_1100_happy-children-day-jan26</t>
  </si>
  <si>
    <t>🎈 สุขสันต์วันเด็ก 2569 🎉</t>
  </si>
  <si>
    <t>EN_BKK_ctnoti_netcore_group_N_N_active_20260110_1100_happy-children-day-jan26</t>
  </si>
  <si>
    <t>🎈 Happy Children’s Day 2026! 🎉</t>
  </si>
  <si>
    <t>EN_BKK_ctnoti_netcore_single_N_N_active_20260110_1500_the-garden-at-grande-jan26</t>
  </si>
  <si>
    <t>🔥 Special Pair Deal — Even Better Value!</t>
  </si>
  <si>
    <t>TH_BKK_ctnoti_netcore_single_N_N_active_20260110_1500_the-garden-at-grande-jan26</t>
  </si>
  <si>
    <t>🔥 มา 2 จ่ายในราคาพิเศษยิ่งกว่าเดิม!!</t>
  </si>
  <si>
    <t>EN_BKK_ctnoti_netcore_single_N_N_active_20260110_1700_shabu-one-japanese-restaurant-jan26</t>
  </si>
  <si>
    <t>🔥 Did You Know? Come 3 Pay 2 at Shabu One!</t>
  </si>
  <si>
    <t>TH_BKK_ctnoti_netcore_single_N_N_active_20260110_1700_shabu-one-japanese-restaurant-jan26</t>
  </si>
  <si>
    <t>🔥 รู้ยัง? Shabu One มีมา 3 จ่าย 2 แล้ว!!</t>
  </si>
  <si>
    <t>TH_BKK_ctnoti_netcore_single_N_N_active_20260111_1100_romsai-banyan-tree-jan26</t>
  </si>
  <si>
    <t>🦞🥂 โค้งสุดท้าย มา 2 จ่าย 1 กับ Romsai Banyan Tree Hotel</t>
  </si>
  <si>
    <t>EN_BKK_ctnoti_netcore_single_N_N_active_20260111_1100_romsai-banyan-tree-jan26</t>
  </si>
  <si>
    <t>🦞🥂 Final Call! Buy 1 Get 1 Free at Romsai</t>
  </si>
  <si>
    <t>TH_BKK_ctnoti_netcore_single_N_N_active_20260111_1500_nila-bangkok-amari-bangkok-jan26</t>
  </si>
  <si>
    <t>🇮🇳✨ มา 4 จ่าย 3 กับ Nila Bangkok</t>
  </si>
  <si>
    <t>EN_BKK_ctnoti_netcore_single_N_N_active_20260111_1500_nila-bangkok-amari-bangkok-jan26</t>
  </si>
  <si>
    <t>🇮🇳✨ Come 4 Pay 3 at Nila Bangkok!</t>
  </si>
  <si>
    <t>EN_BKK_ctnoti_netcore_single_N_N_active_20260111_1700_ads-tempered-one-bangkok-jan26</t>
  </si>
  <si>
    <t>🍫✨ Tempered @ One Bangkok is Here!</t>
  </si>
  <si>
    <t>TH_BKK_ctnoti_netcore_single_N_N_active_20260111_1700_ads-tempered-one-bangkok-jan26</t>
  </si>
  <si>
    <t>🍫✨ Tempered One Bangkok มาแล้ว!!</t>
  </si>
  <si>
    <t>TH_BKK_ctnoti_netcore_group_N_N_active_20260112_1500_sos-shabu-jan26</t>
  </si>
  <si>
    <t>⏳ โค้งสุดท้าย มา 4 จ่าย 3 กับ SOS Shabu</t>
  </si>
  <si>
    <t>EN_BKK_ctnoti_netcore_group_N_N_active_20260112_1500_sos-shabu-jan26</t>
  </si>
  <si>
    <t>⏳ Final Call! Come 4 Pay 3 at SOS Shabu</t>
  </si>
  <si>
    <t>TH_BKK_ctnoti_netcore_group_N_N_active_20260112_1700_ads-strackyum-jan26</t>
  </si>
  <si>
    <t>🌶️🔥 สะแตกยำ บุกมาแซ่บถึงที่แล้ว!!</t>
  </si>
  <si>
    <t>EN_BKK_ctnoti_netcore_group_N_N_active_20260112_1700_ads-strackyum-jan26</t>
  </si>
  <si>
    <t>🌶️🔥 StrackYum Is Here!</t>
  </si>
  <si>
    <t>TH_BKK_ctnoti_netcore_single_N_N_active_20260112_1900_ads-richer-jan26</t>
  </si>
  <si>
    <t>🌶️📸 แซ่บติดแกรมแบบไม่อั้น จ่ายแค่ 699 บาท</t>
  </si>
  <si>
    <t>EN_BKK_ctnoti_netcore_single_N_N_active_20260112_1900_ads-richer-jan26</t>
  </si>
  <si>
    <t>🌶️📸 Unlimited Isan Feast — Just THB 699!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</si>
</sst>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hh:mm:ss"/>
    <numFmt numFmtId="165" formatCode="dd/mm/yyyy hh:mm:ss"/>
    <numFmt numFmtId="166" formatCode="d, m"/>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3" xfId="0" applyAlignment="1" applyFont="1" applyNumberFormat="1">
      <alignment readingOrder="0"/>
    </xf>
    <xf borderId="0" fillId="0" fontId="2" numFmtId="10" xfId="0" applyAlignment="1" applyFont="1" applyNumberFormat="1">
      <alignment readingOrder="0"/>
    </xf>
    <xf borderId="0" fillId="0" fontId="2" numFmtId="165" xfId="0" applyAlignment="1" applyFont="1" applyNumberFormat="1">
      <alignment readingOrder="0"/>
    </xf>
    <xf borderId="0" fillId="0" fontId="2" numFmtId="0" xfId="0" applyFont="1"/>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5.63"/>
    <col customWidth="1" min="4" max="4" width="42.38"/>
    <col customWidth="1" min="5" max="5" width="181.75"/>
    <col customWidth="1" min="6" max="6" width="28.63"/>
    <col customWidth="1" min="23" max="23" width="15.88"/>
    <col customWidth="1" min="24" max="24" width="19.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2">
        <v>1350.0</v>
      </c>
      <c r="B2" s="2" t="s">
        <v>28</v>
      </c>
      <c r="C2" s="2" t="s">
        <v>7</v>
      </c>
      <c r="D2" s="2" t="s">
        <v>29</v>
      </c>
      <c r="E2" s="2" t="e">
        <v>#N/A</v>
      </c>
      <c r="F2" s="3">
        <v>45657.467361111114</v>
      </c>
      <c r="G2" s="2">
        <v>53947.0</v>
      </c>
      <c r="H2" s="2">
        <v>53947.0</v>
      </c>
      <c r="I2" s="2">
        <v>45537.0</v>
      </c>
      <c r="J2" s="2">
        <v>254.0</v>
      </c>
      <c r="K2" s="2">
        <v>247.0</v>
      </c>
      <c r="L2" s="2">
        <v>11.0</v>
      </c>
      <c r="M2" s="4">
        <v>32800.0</v>
      </c>
      <c r="N2" s="2" t="s">
        <v>30</v>
      </c>
      <c r="O2" s="2">
        <v>70.0</v>
      </c>
      <c r="P2" s="2" t="s">
        <v>31</v>
      </c>
      <c r="Q2" s="2" t="s">
        <v>32</v>
      </c>
      <c r="R2" s="2">
        <v>41.0</v>
      </c>
      <c r="U2" s="2" t="b">
        <v>0</v>
      </c>
      <c r="V2" s="5">
        <v>0.0054</v>
      </c>
      <c r="W2" s="5">
        <v>0.0445</v>
      </c>
      <c r="X2" s="5">
        <v>2.42E-4</v>
      </c>
      <c r="Y2" s="2">
        <v>132.7935223</v>
      </c>
      <c r="AA2" s="2" t="s">
        <v>33</v>
      </c>
    </row>
    <row r="3">
      <c r="A3" s="2">
        <v>1351.0</v>
      </c>
      <c r="B3" s="2" t="s">
        <v>34</v>
      </c>
      <c r="C3" s="2" t="s">
        <v>7</v>
      </c>
      <c r="D3" s="2" t="s">
        <v>35</v>
      </c>
      <c r="E3" s="2" t="e">
        <v>#N/A</v>
      </c>
      <c r="F3" s="3">
        <v>45657.46875</v>
      </c>
      <c r="G3" s="2">
        <v>42787.0</v>
      </c>
      <c r="H3" s="2">
        <v>42787.0</v>
      </c>
      <c r="I3" s="2">
        <v>34220.0</v>
      </c>
      <c r="J3" s="2">
        <v>302.0</v>
      </c>
      <c r="K3" s="2">
        <v>284.0</v>
      </c>
      <c r="L3" s="2">
        <v>5.0</v>
      </c>
      <c r="M3" s="4">
        <v>15773.0</v>
      </c>
      <c r="N3" s="2" t="s">
        <v>36</v>
      </c>
      <c r="O3" s="2">
        <v>71.0</v>
      </c>
      <c r="P3" s="2" t="s">
        <v>31</v>
      </c>
      <c r="Q3" s="2" t="s">
        <v>32</v>
      </c>
      <c r="R3" s="2">
        <v>46.0</v>
      </c>
      <c r="T3" s="2" t="s">
        <v>37</v>
      </c>
      <c r="U3" s="2" t="b">
        <v>0</v>
      </c>
      <c r="V3" s="5">
        <v>0.0083</v>
      </c>
      <c r="W3" s="5">
        <v>0.0176</v>
      </c>
      <c r="X3" s="5">
        <v>1.46E-4</v>
      </c>
      <c r="Y3" s="2">
        <v>55.53873239</v>
      </c>
      <c r="AA3" s="2" t="s">
        <v>33</v>
      </c>
    </row>
    <row r="4">
      <c r="A4" s="2">
        <v>1353.0</v>
      </c>
      <c r="B4" s="2" t="s">
        <v>38</v>
      </c>
      <c r="C4" s="2" t="s">
        <v>7</v>
      </c>
      <c r="D4" s="2" t="s">
        <v>39</v>
      </c>
      <c r="E4" s="2" t="e">
        <v>#N/A</v>
      </c>
      <c r="F4" s="3">
        <v>45657.586805555555</v>
      </c>
      <c r="G4" s="2">
        <v>42819.0</v>
      </c>
      <c r="H4" s="2">
        <v>42819.0</v>
      </c>
      <c r="I4" s="2">
        <v>6415.0</v>
      </c>
      <c r="J4" s="2">
        <v>120.0</v>
      </c>
      <c r="K4" s="2">
        <v>120.0</v>
      </c>
      <c r="L4" s="2">
        <v>0.0</v>
      </c>
      <c r="M4" s="2">
        <v>0.0</v>
      </c>
      <c r="N4" s="2" t="s">
        <v>36</v>
      </c>
      <c r="O4" s="2">
        <v>71.0</v>
      </c>
      <c r="P4" s="2" t="s">
        <v>31</v>
      </c>
      <c r="Q4" s="2" t="s">
        <v>32</v>
      </c>
      <c r="R4" s="2">
        <v>32.0</v>
      </c>
      <c r="U4" s="2" t="b">
        <v>0</v>
      </c>
      <c r="V4" s="5">
        <v>0.0187</v>
      </c>
      <c r="W4" s="5">
        <v>0.0</v>
      </c>
      <c r="X4" s="5">
        <v>0.0</v>
      </c>
      <c r="Y4" s="2">
        <v>0.0</v>
      </c>
      <c r="AA4" s="2" t="s">
        <v>33</v>
      </c>
    </row>
    <row r="5">
      <c r="A5" s="2">
        <v>1352.0</v>
      </c>
      <c r="B5" s="2" t="s">
        <v>40</v>
      </c>
      <c r="C5" s="2" t="s">
        <v>7</v>
      </c>
      <c r="D5" s="2" t="s">
        <v>41</v>
      </c>
      <c r="E5" s="2" t="e">
        <v>#N/A</v>
      </c>
      <c r="F5" s="3">
        <v>45657.586805555555</v>
      </c>
      <c r="G5" s="2">
        <v>54066.0</v>
      </c>
      <c r="H5" s="2">
        <v>54066.0</v>
      </c>
      <c r="I5" s="2">
        <v>12199.0</v>
      </c>
      <c r="J5" s="2">
        <v>134.0</v>
      </c>
      <c r="K5" s="2">
        <v>134.0</v>
      </c>
      <c r="L5" s="2">
        <v>2.0</v>
      </c>
      <c r="M5" s="4">
        <v>1221.0</v>
      </c>
      <c r="N5" s="2" t="s">
        <v>30</v>
      </c>
      <c r="O5" s="2">
        <v>70.0</v>
      </c>
      <c r="P5" s="2" t="s">
        <v>31</v>
      </c>
      <c r="Q5" s="2" t="s">
        <v>32</v>
      </c>
      <c r="R5" s="2">
        <v>29.0</v>
      </c>
      <c r="T5" s="2" t="s">
        <v>42</v>
      </c>
      <c r="U5" s="2" t="b">
        <v>0</v>
      </c>
      <c r="V5" s="5">
        <v>0.011</v>
      </c>
      <c r="W5" s="5">
        <v>0.0149</v>
      </c>
      <c r="X5" s="5">
        <v>1.64E-4</v>
      </c>
      <c r="Y5" s="2">
        <v>9.111940299</v>
      </c>
      <c r="AA5" s="2" t="s">
        <v>33</v>
      </c>
    </row>
    <row r="6">
      <c r="A6" s="2">
        <v>1355.0</v>
      </c>
      <c r="B6" s="2" t="s">
        <v>43</v>
      </c>
      <c r="C6" s="2" t="s">
        <v>7</v>
      </c>
      <c r="D6" s="2" t="s">
        <v>44</v>
      </c>
      <c r="E6" s="2" t="e">
        <v>#N/A</v>
      </c>
      <c r="F6" s="3">
        <v>45657.666666666664</v>
      </c>
      <c r="G6" s="2">
        <v>42866.0</v>
      </c>
      <c r="H6" s="2">
        <v>42866.0</v>
      </c>
      <c r="I6" s="2">
        <v>34583.0</v>
      </c>
      <c r="J6" s="2">
        <v>311.0</v>
      </c>
      <c r="K6" s="2">
        <v>303.0</v>
      </c>
      <c r="L6" s="2">
        <v>4.0</v>
      </c>
      <c r="M6" s="4">
        <v>14525.0</v>
      </c>
      <c r="N6" s="2" t="s">
        <v>36</v>
      </c>
      <c r="O6" s="2">
        <v>71.0</v>
      </c>
      <c r="P6" s="2" t="s">
        <v>31</v>
      </c>
      <c r="Q6" s="2" t="s">
        <v>32</v>
      </c>
      <c r="R6" s="2">
        <v>25.0</v>
      </c>
      <c r="U6" s="2" t="b">
        <v>0</v>
      </c>
      <c r="V6" s="5">
        <v>0.0088</v>
      </c>
      <c r="W6" s="5">
        <v>0.0132</v>
      </c>
      <c r="X6" s="5">
        <v>1.16E-4</v>
      </c>
      <c r="Y6" s="2">
        <v>47.93729373</v>
      </c>
      <c r="AA6" s="2" t="s">
        <v>33</v>
      </c>
    </row>
    <row r="7">
      <c r="A7" s="2">
        <v>1354.0</v>
      </c>
      <c r="B7" s="2" t="s">
        <v>45</v>
      </c>
      <c r="C7" s="2" t="s">
        <v>7</v>
      </c>
      <c r="D7" s="2" t="s">
        <v>46</v>
      </c>
      <c r="E7" s="2" t="e">
        <v>#N/A</v>
      </c>
      <c r="F7" s="3">
        <v>45657.666666666664</v>
      </c>
      <c r="G7" s="2">
        <v>54155.0</v>
      </c>
      <c r="H7" s="2">
        <v>54155.0</v>
      </c>
      <c r="I7" s="2">
        <v>46013.0</v>
      </c>
      <c r="J7" s="2">
        <v>387.0</v>
      </c>
      <c r="K7" s="2">
        <v>381.0</v>
      </c>
      <c r="L7" s="2">
        <v>3.0</v>
      </c>
      <c r="M7" s="4">
        <v>10716.0</v>
      </c>
      <c r="N7" s="2" t="s">
        <v>30</v>
      </c>
      <c r="O7" s="2">
        <v>70.0</v>
      </c>
      <c r="P7" s="2" t="s">
        <v>31</v>
      </c>
      <c r="Q7" s="2" t="s">
        <v>32</v>
      </c>
      <c r="R7" s="2">
        <v>27.0</v>
      </c>
      <c r="T7" s="2" t="s">
        <v>47</v>
      </c>
      <c r="U7" s="2" t="b">
        <v>0</v>
      </c>
      <c r="V7" s="5">
        <v>0.0083</v>
      </c>
      <c r="W7" s="5">
        <v>0.0079</v>
      </c>
      <c r="X7" s="5">
        <v>6.5E-5</v>
      </c>
      <c r="Y7" s="2">
        <v>28.12598425</v>
      </c>
      <c r="AA7" s="2" t="s">
        <v>33</v>
      </c>
    </row>
    <row r="8">
      <c r="A8" s="2">
        <v>1356.0</v>
      </c>
      <c r="B8" s="2" t="s">
        <v>48</v>
      </c>
      <c r="C8" s="2" t="s">
        <v>7</v>
      </c>
      <c r="D8" s="2" t="s">
        <v>49</v>
      </c>
      <c r="E8" s="2" t="e">
        <v>#N/A</v>
      </c>
      <c r="F8" s="6">
        <v>45658.01458333333</v>
      </c>
      <c r="G8" s="2">
        <v>54435.0</v>
      </c>
      <c r="H8" s="2">
        <v>54435.0</v>
      </c>
      <c r="I8" s="2">
        <v>45125.0</v>
      </c>
      <c r="J8" s="2">
        <v>263.0</v>
      </c>
      <c r="K8" s="2">
        <v>253.0</v>
      </c>
      <c r="L8" s="2">
        <v>3.0</v>
      </c>
      <c r="M8" s="4">
        <v>3899.0</v>
      </c>
      <c r="N8" s="2" t="s">
        <v>30</v>
      </c>
      <c r="O8" s="2">
        <v>70.0</v>
      </c>
      <c r="P8" s="2" t="s">
        <v>31</v>
      </c>
      <c r="Q8" s="2" t="s">
        <v>32</v>
      </c>
      <c r="R8" s="2">
        <v>19.0</v>
      </c>
      <c r="T8" s="2" t="s">
        <v>47</v>
      </c>
      <c r="U8" s="2" t="b">
        <v>0</v>
      </c>
      <c r="V8" s="5">
        <v>0.0056</v>
      </c>
      <c r="W8" s="5">
        <v>0.0119</v>
      </c>
      <c r="X8" s="5">
        <v>6.6E-5</v>
      </c>
      <c r="Y8" s="2">
        <v>15.41106719</v>
      </c>
    </row>
    <row r="9">
      <c r="A9" s="2">
        <v>1357.0</v>
      </c>
      <c r="B9" s="2" t="s">
        <v>50</v>
      </c>
      <c r="C9" s="2" t="s">
        <v>7</v>
      </c>
      <c r="D9" s="2" t="s">
        <v>51</v>
      </c>
      <c r="E9" s="2" t="e">
        <v>#N/A</v>
      </c>
      <c r="F9" s="6">
        <v>45658.018055555556</v>
      </c>
      <c r="G9" s="2">
        <v>43008.0</v>
      </c>
      <c r="H9" s="2">
        <v>43008.0</v>
      </c>
      <c r="I9" s="2">
        <v>33852.0</v>
      </c>
      <c r="J9" s="2">
        <v>281.0</v>
      </c>
      <c r="K9" s="2">
        <v>269.0</v>
      </c>
      <c r="L9" s="2">
        <v>1.0</v>
      </c>
      <c r="M9" s="4">
        <v>3395.0</v>
      </c>
      <c r="N9" s="2" t="s">
        <v>36</v>
      </c>
      <c r="O9" s="2">
        <v>71.0</v>
      </c>
      <c r="P9" s="2" t="s">
        <v>31</v>
      </c>
      <c r="Q9" s="2" t="s">
        <v>32</v>
      </c>
      <c r="R9" s="2">
        <v>22.0</v>
      </c>
      <c r="U9" s="2" t="b">
        <v>0</v>
      </c>
      <c r="V9" s="5">
        <v>0.0079</v>
      </c>
      <c r="W9" s="5">
        <v>0.0037</v>
      </c>
      <c r="X9" s="5">
        <v>3.0E-5</v>
      </c>
      <c r="Y9" s="2">
        <v>12.62081784</v>
      </c>
    </row>
    <row r="10">
      <c r="A10" s="2">
        <v>1358.0</v>
      </c>
      <c r="B10" s="2" t="s">
        <v>52</v>
      </c>
      <c r="C10" s="2" t="s">
        <v>7</v>
      </c>
      <c r="D10" s="2" t="s">
        <v>53</v>
      </c>
      <c r="E10" s="2" t="s">
        <v>54</v>
      </c>
      <c r="F10" s="6">
        <v>45659.47152777778</v>
      </c>
      <c r="G10" s="2">
        <v>54331.0</v>
      </c>
      <c r="H10" s="2">
        <v>54331.0</v>
      </c>
      <c r="I10" s="2">
        <v>46033.0</v>
      </c>
      <c r="J10" s="2">
        <v>253.0</v>
      </c>
      <c r="K10" s="2">
        <v>251.0</v>
      </c>
      <c r="L10" s="2">
        <v>6.0</v>
      </c>
      <c r="M10" s="4">
        <v>15382.0</v>
      </c>
      <c r="N10" s="2" t="s">
        <v>30</v>
      </c>
      <c r="O10" s="2">
        <v>70.0</v>
      </c>
      <c r="P10" s="2" t="s">
        <v>31</v>
      </c>
      <c r="Q10" s="2" t="s">
        <v>32</v>
      </c>
      <c r="R10" s="2">
        <v>41.0</v>
      </c>
      <c r="U10" s="2" t="b">
        <v>0</v>
      </c>
      <c r="V10" s="5">
        <v>0.0055</v>
      </c>
      <c r="W10" s="5">
        <v>0.0239</v>
      </c>
      <c r="X10" s="5">
        <v>1.3E-4</v>
      </c>
      <c r="Y10" s="2">
        <v>61.28286853</v>
      </c>
      <c r="Z10" s="2">
        <v>280.0</v>
      </c>
      <c r="AA10" s="2" t="s">
        <v>33</v>
      </c>
    </row>
    <row r="11">
      <c r="A11" s="2">
        <v>1359.0</v>
      </c>
      <c r="B11" s="2" t="s">
        <v>55</v>
      </c>
      <c r="C11" s="2" t="s">
        <v>7</v>
      </c>
      <c r="D11" s="2" t="s">
        <v>56</v>
      </c>
      <c r="E11" s="2" t="s">
        <v>57</v>
      </c>
      <c r="F11" s="6">
        <v>45659.475694444445</v>
      </c>
      <c r="G11" s="2">
        <v>43100.0</v>
      </c>
      <c r="H11" s="2">
        <v>43100.0</v>
      </c>
      <c r="I11" s="2">
        <v>34479.0</v>
      </c>
      <c r="J11" s="2">
        <v>289.0</v>
      </c>
      <c r="K11" s="2">
        <v>277.0</v>
      </c>
      <c r="L11" s="2">
        <v>3.0</v>
      </c>
      <c r="M11" s="4">
        <v>13530.0</v>
      </c>
      <c r="N11" s="2" t="s">
        <v>36</v>
      </c>
      <c r="O11" s="2">
        <v>71.0</v>
      </c>
      <c r="P11" s="2" t="s">
        <v>31</v>
      </c>
      <c r="Q11" s="2" t="s">
        <v>32</v>
      </c>
      <c r="R11" s="2">
        <v>40.0</v>
      </c>
      <c r="T11" s="2" t="s">
        <v>58</v>
      </c>
      <c r="U11" s="2" t="b">
        <v>0</v>
      </c>
      <c r="V11" s="5">
        <v>0.008</v>
      </c>
      <c r="W11" s="5">
        <v>0.0108</v>
      </c>
      <c r="X11" s="5">
        <v>8.7E-5</v>
      </c>
      <c r="Y11" s="2">
        <v>48.84476534</v>
      </c>
      <c r="AA11" s="2" t="s">
        <v>33</v>
      </c>
    </row>
    <row r="12">
      <c r="A12" s="2">
        <v>1360.0</v>
      </c>
      <c r="B12" s="2" t="s">
        <v>59</v>
      </c>
      <c r="C12" s="2" t="s">
        <v>7</v>
      </c>
      <c r="D12" s="2" t="s">
        <v>60</v>
      </c>
      <c r="E12" s="2" t="s">
        <v>61</v>
      </c>
      <c r="F12" s="6">
        <v>45659.62847222222</v>
      </c>
      <c r="G12" s="2">
        <v>54378.0</v>
      </c>
      <c r="H12" s="2">
        <v>54378.0</v>
      </c>
      <c r="I12" s="2">
        <v>46282.0</v>
      </c>
      <c r="J12" s="2">
        <v>289.0</v>
      </c>
      <c r="K12" s="2">
        <v>286.0</v>
      </c>
      <c r="L12" s="2">
        <v>5.0</v>
      </c>
      <c r="M12" s="4">
        <v>13188.0</v>
      </c>
      <c r="N12" s="2" t="s">
        <v>30</v>
      </c>
      <c r="O12" s="2">
        <v>70.0</v>
      </c>
      <c r="P12" s="2" t="s">
        <v>31</v>
      </c>
      <c r="Q12" s="2" t="s">
        <v>32</v>
      </c>
      <c r="R12" s="2">
        <v>42.0</v>
      </c>
      <c r="T12" s="2" t="s">
        <v>47</v>
      </c>
      <c r="U12" s="2" t="b">
        <v>0</v>
      </c>
      <c r="V12" s="5">
        <v>0.0062</v>
      </c>
      <c r="W12" s="5">
        <v>0.0175</v>
      </c>
      <c r="X12" s="5">
        <v>1.08E-4</v>
      </c>
      <c r="Y12" s="2">
        <v>46.11188811</v>
      </c>
      <c r="Z12" s="2">
        <v>5196.0</v>
      </c>
      <c r="AA12" s="2" t="s">
        <v>33</v>
      </c>
    </row>
    <row r="13">
      <c r="A13" s="2">
        <v>1361.0</v>
      </c>
      <c r="B13" s="2" t="s">
        <v>62</v>
      </c>
      <c r="C13" s="2" t="s">
        <v>7</v>
      </c>
      <c r="D13" s="2" t="s">
        <v>63</v>
      </c>
      <c r="E13" s="2" t="s">
        <v>64</v>
      </c>
      <c r="F13" s="6">
        <v>45659.64513888889</v>
      </c>
      <c r="G13" s="2">
        <v>43081.0</v>
      </c>
      <c r="H13" s="2">
        <v>43081.0</v>
      </c>
      <c r="I13" s="2">
        <v>34720.0</v>
      </c>
      <c r="J13" s="2">
        <v>277.0</v>
      </c>
      <c r="K13" s="2">
        <v>263.0</v>
      </c>
      <c r="L13" s="2">
        <v>6.0</v>
      </c>
      <c r="M13" s="4">
        <v>17838.0</v>
      </c>
      <c r="N13" s="2" t="s">
        <v>36</v>
      </c>
      <c r="O13" s="2">
        <v>71.0</v>
      </c>
      <c r="P13" s="2" t="s">
        <v>31</v>
      </c>
      <c r="Q13" s="2" t="s">
        <v>32</v>
      </c>
      <c r="R13" s="2">
        <v>47.0</v>
      </c>
      <c r="U13" s="2" t="b">
        <v>0</v>
      </c>
      <c r="V13" s="5">
        <v>0.0076</v>
      </c>
      <c r="W13" s="5">
        <v>0.0228</v>
      </c>
      <c r="X13" s="5">
        <v>1.73E-4</v>
      </c>
      <c r="Y13" s="2">
        <v>67.82509506</v>
      </c>
      <c r="AA13" s="2" t="s">
        <v>33</v>
      </c>
    </row>
    <row r="14">
      <c r="A14" s="2">
        <v>1363.0</v>
      </c>
      <c r="B14" s="2" t="s">
        <v>65</v>
      </c>
      <c r="C14" s="2" t="s">
        <v>7</v>
      </c>
      <c r="D14" s="2" t="s">
        <v>66</v>
      </c>
      <c r="E14" s="2" t="s">
        <v>67</v>
      </c>
      <c r="F14" s="6">
        <v>45659.708333333336</v>
      </c>
      <c r="G14" s="2">
        <v>43086.0</v>
      </c>
      <c r="H14" s="2">
        <v>43086.0</v>
      </c>
      <c r="I14" s="2">
        <v>34677.0</v>
      </c>
      <c r="J14" s="2">
        <v>335.0</v>
      </c>
      <c r="K14" s="2">
        <v>326.0</v>
      </c>
      <c r="L14" s="2">
        <v>6.0</v>
      </c>
      <c r="M14" s="4">
        <v>22514.0</v>
      </c>
      <c r="N14" s="2" t="s">
        <v>36</v>
      </c>
      <c r="O14" s="2">
        <v>71.0</v>
      </c>
      <c r="P14" s="2" t="s">
        <v>31</v>
      </c>
      <c r="Q14" s="2" t="s">
        <v>32</v>
      </c>
      <c r="R14" s="2">
        <v>36.0</v>
      </c>
      <c r="T14" s="2" t="s">
        <v>47</v>
      </c>
      <c r="U14" s="2" t="b">
        <v>0</v>
      </c>
      <c r="V14" s="5">
        <v>0.0094</v>
      </c>
      <c r="W14" s="5">
        <v>0.0184</v>
      </c>
      <c r="X14" s="5">
        <v>1.73E-4</v>
      </c>
      <c r="Y14" s="2">
        <v>69.06134969</v>
      </c>
      <c r="AA14" s="2" t="s">
        <v>33</v>
      </c>
    </row>
    <row r="15">
      <c r="A15" s="2">
        <v>1362.0</v>
      </c>
      <c r="B15" s="2" t="s">
        <v>68</v>
      </c>
      <c r="C15" s="2" t="s">
        <v>7</v>
      </c>
      <c r="D15" s="2" t="s">
        <v>69</v>
      </c>
      <c r="E15" s="2" t="s">
        <v>70</v>
      </c>
      <c r="F15" s="6">
        <v>45659.708333333336</v>
      </c>
      <c r="G15" s="2">
        <v>54435.0</v>
      </c>
      <c r="H15" s="2">
        <v>54435.0</v>
      </c>
      <c r="I15" s="2">
        <v>46273.0</v>
      </c>
      <c r="J15" s="2">
        <v>259.0</v>
      </c>
      <c r="K15" s="2">
        <v>257.0</v>
      </c>
      <c r="L15" s="2">
        <v>4.0</v>
      </c>
      <c r="M15" s="4">
        <v>15182.0</v>
      </c>
      <c r="N15" s="2" t="s">
        <v>30</v>
      </c>
      <c r="O15" s="2">
        <v>70.0</v>
      </c>
      <c r="P15" s="2" t="s">
        <v>31</v>
      </c>
      <c r="Q15" s="2" t="s">
        <v>32</v>
      </c>
      <c r="R15" s="2">
        <v>40.0</v>
      </c>
      <c r="T15" s="2" t="s">
        <v>47</v>
      </c>
      <c r="U15" s="2" t="b">
        <v>0</v>
      </c>
      <c r="V15" s="5">
        <v>0.0056</v>
      </c>
      <c r="W15" s="5">
        <v>0.0156</v>
      </c>
      <c r="X15" s="5">
        <v>8.6E-5</v>
      </c>
      <c r="Y15" s="2">
        <v>59.07392996</v>
      </c>
      <c r="Z15" s="2" t="s">
        <v>71</v>
      </c>
      <c r="AA15" s="2" t="s">
        <v>33</v>
      </c>
    </row>
    <row r="16">
      <c r="A16" s="2">
        <v>1364.0</v>
      </c>
      <c r="B16" s="2" t="s">
        <v>72</v>
      </c>
      <c r="C16" s="2" t="s">
        <v>7</v>
      </c>
      <c r="D16" s="2" t="s">
        <v>73</v>
      </c>
      <c r="E16" s="2" t="s">
        <v>74</v>
      </c>
      <c r="F16" s="6">
        <v>45660.46388888889</v>
      </c>
      <c r="G16" s="2">
        <v>53775.0</v>
      </c>
      <c r="H16" s="2">
        <v>53775.0</v>
      </c>
      <c r="I16" s="2">
        <v>45528.0</v>
      </c>
      <c r="J16" s="2">
        <v>326.0</v>
      </c>
      <c r="K16" s="2">
        <v>320.0</v>
      </c>
      <c r="L16" s="2">
        <v>5.0</v>
      </c>
      <c r="M16" s="4">
        <v>14897.0</v>
      </c>
      <c r="N16" s="2" t="s">
        <v>30</v>
      </c>
      <c r="O16" s="2">
        <v>70.0</v>
      </c>
      <c r="P16" s="2" t="s">
        <v>31</v>
      </c>
      <c r="Q16" s="2" t="s">
        <v>32</v>
      </c>
      <c r="R16" s="2">
        <v>32.0</v>
      </c>
      <c r="U16" s="2" t="b">
        <v>0</v>
      </c>
      <c r="V16" s="5">
        <v>0.007</v>
      </c>
      <c r="W16" s="5">
        <v>0.0156</v>
      </c>
      <c r="X16" s="5">
        <v>1.1E-4</v>
      </c>
      <c r="Y16" s="2">
        <v>46.553125</v>
      </c>
      <c r="AA16" s="2" t="s">
        <v>33</v>
      </c>
    </row>
    <row r="17">
      <c r="A17" s="2">
        <v>1365.0</v>
      </c>
      <c r="B17" s="2" t="s">
        <v>75</v>
      </c>
      <c r="C17" s="2" t="s">
        <v>7</v>
      </c>
      <c r="D17" s="2" t="s">
        <v>76</v>
      </c>
      <c r="E17" s="2" t="s">
        <v>77</v>
      </c>
      <c r="F17" s="6">
        <v>45660.46666666667</v>
      </c>
      <c r="G17" s="2">
        <v>43266.0</v>
      </c>
      <c r="H17" s="2">
        <v>43266.0</v>
      </c>
      <c r="I17" s="2">
        <v>34522.0</v>
      </c>
      <c r="J17" s="2">
        <v>260.0</v>
      </c>
      <c r="K17" s="2">
        <v>248.0</v>
      </c>
      <c r="L17" s="2">
        <v>5.0</v>
      </c>
      <c r="M17" s="4">
        <v>7271.0</v>
      </c>
      <c r="N17" s="2" t="s">
        <v>36</v>
      </c>
      <c r="O17" s="2">
        <v>71.0</v>
      </c>
      <c r="P17" s="2" t="s">
        <v>31</v>
      </c>
      <c r="Q17" s="2" t="s">
        <v>32</v>
      </c>
      <c r="R17" s="2">
        <v>35.0</v>
      </c>
      <c r="U17" s="2" t="b">
        <v>0</v>
      </c>
      <c r="V17" s="5">
        <v>0.0072</v>
      </c>
      <c r="W17" s="5">
        <v>0.0202</v>
      </c>
      <c r="X17" s="5">
        <v>1.45E-4</v>
      </c>
      <c r="Y17" s="2">
        <v>29.31854839</v>
      </c>
      <c r="AA17" s="2" t="s">
        <v>33</v>
      </c>
    </row>
    <row r="18">
      <c r="A18" s="2">
        <v>1367.0</v>
      </c>
      <c r="B18" s="2" t="s">
        <v>78</v>
      </c>
      <c r="C18" s="2" t="s">
        <v>7</v>
      </c>
      <c r="D18" s="2" t="s">
        <v>79</v>
      </c>
      <c r="E18" s="2" t="s">
        <v>80</v>
      </c>
      <c r="F18" s="6">
        <v>45660.625</v>
      </c>
      <c r="G18" s="2">
        <v>43244.0</v>
      </c>
      <c r="H18" s="2">
        <v>43244.0</v>
      </c>
      <c r="I18" s="2">
        <v>34823.0</v>
      </c>
      <c r="J18" s="2">
        <v>323.0</v>
      </c>
      <c r="K18" s="2">
        <v>308.0</v>
      </c>
      <c r="L18" s="2">
        <v>4.0</v>
      </c>
      <c r="M18" s="4">
        <v>11346.0</v>
      </c>
      <c r="N18" s="2" t="s">
        <v>36</v>
      </c>
      <c r="O18" s="2">
        <v>71.0</v>
      </c>
      <c r="P18" s="2" t="s">
        <v>31</v>
      </c>
      <c r="Q18" s="2" t="s">
        <v>32</v>
      </c>
      <c r="R18" s="2">
        <v>33.0</v>
      </c>
      <c r="U18" s="2" t="b">
        <v>1</v>
      </c>
      <c r="V18" s="5">
        <v>0.0088</v>
      </c>
      <c r="W18" s="5">
        <v>0.013</v>
      </c>
      <c r="X18" s="5">
        <v>1.15E-4</v>
      </c>
      <c r="Y18" s="2">
        <v>36.83766234</v>
      </c>
      <c r="AA18" s="2" t="s">
        <v>33</v>
      </c>
    </row>
    <row r="19">
      <c r="A19" s="2">
        <v>1366.0</v>
      </c>
      <c r="B19" s="2" t="s">
        <v>81</v>
      </c>
      <c r="C19" s="2" t="s">
        <v>7</v>
      </c>
      <c r="D19" s="2" t="s">
        <v>82</v>
      </c>
      <c r="E19" s="2" t="s">
        <v>83</v>
      </c>
      <c r="F19" s="6">
        <v>45660.625</v>
      </c>
      <c r="G19" s="2">
        <v>54686.0</v>
      </c>
      <c r="H19" s="2">
        <v>54686.0</v>
      </c>
      <c r="I19" s="2">
        <v>46617.0</v>
      </c>
      <c r="J19" s="2">
        <v>406.0</v>
      </c>
      <c r="K19" s="2">
        <v>399.0</v>
      </c>
      <c r="L19" s="2">
        <v>11.0</v>
      </c>
      <c r="M19" s="4">
        <v>30281.0</v>
      </c>
      <c r="N19" s="2" t="s">
        <v>30</v>
      </c>
      <c r="O19" s="2">
        <v>70.0</v>
      </c>
      <c r="P19" s="2" t="s">
        <v>31</v>
      </c>
      <c r="Q19" s="2" t="s">
        <v>32</v>
      </c>
      <c r="R19" s="2">
        <v>34.0</v>
      </c>
      <c r="U19" s="2" t="b">
        <v>0</v>
      </c>
      <c r="V19" s="5">
        <v>0.0086</v>
      </c>
      <c r="W19" s="5">
        <v>0.0276</v>
      </c>
      <c r="X19" s="5">
        <v>2.36E-4</v>
      </c>
      <c r="Y19" s="2">
        <v>75.89223058</v>
      </c>
      <c r="Z19" s="2" t="s">
        <v>84</v>
      </c>
      <c r="AA19" s="2" t="s">
        <v>33</v>
      </c>
    </row>
    <row r="20">
      <c r="A20" s="2">
        <v>1369.0</v>
      </c>
      <c r="B20" s="2" t="s">
        <v>85</v>
      </c>
      <c r="C20" s="2" t="s">
        <v>7</v>
      </c>
      <c r="D20" s="2" t="s">
        <v>86</v>
      </c>
      <c r="E20" s="2" t="s">
        <v>87</v>
      </c>
      <c r="F20" s="6">
        <v>45660.708333333336</v>
      </c>
      <c r="G20" s="2">
        <v>43264.0</v>
      </c>
      <c r="H20" s="2">
        <v>43264.0</v>
      </c>
      <c r="I20" s="2">
        <v>34834.0</v>
      </c>
      <c r="J20" s="2">
        <v>328.0</v>
      </c>
      <c r="K20" s="2">
        <v>306.0</v>
      </c>
      <c r="L20" s="2">
        <v>6.0</v>
      </c>
      <c r="M20" s="4">
        <v>13794.0</v>
      </c>
      <c r="N20" s="2" t="s">
        <v>36</v>
      </c>
      <c r="O20" s="2">
        <v>71.0</v>
      </c>
      <c r="P20" s="2" t="s">
        <v>31</v>
      </c>
      <c r="Q20" s="2" t="s">
        <v>32</v>
      </c>
      <c r="R20" s="2">
        <v>34.0</v>
      </c>
      <c r="T20" s="2" t="s">
        <v>58</v>
      </c>
      <c r="U20" s="2" t="b">
        <v>1</v>
      </c>
      <c r="V20" s="5">
        <v>0.0088</v>
      </c>
      <c r="W20" s="5">
        <v>0.0196</v>
      </c>
      <c r="X20" s="5">
        <v>1.72E-4</v>
      </c>
      <c r="Y20" s="2">
        <v>45.07843137</v>
      </c>
      <c r="AA20" s="2" t="s">
        <v>33</v>
      </c>
    </row>
    <row r="21">
      <c r="A21" s="2">
        <v>1368.0</v>
      </c>
      <c r="B21" s="2" t="s">
        <v>88</v>
      </c>
      <c r="C21" s="2" t="s">
        <v>7</v>
      </c>
      <c r="D21" s="2" t="s">
        <v>89</v>
      </c>
      <c r="E21" s="2" t="s">
        <v>90</v>
      </c>
      <c r="F21" s="6">
        <v>45660.708333333336</v>
      </c>
      <c r="G21" s="2">
        <v>54742.0</v>
      </c>
      <c r="H21" s="2">
        <v>54742.0</v>
      </c>
      <c r="I21" s="2">
        <v>46483.0</v>
      </c>
      <c r="J21" s="2">
        <v>383.0</v>
      </c>
      <c r="K21" s="2">
        <v>374.0</v>
      </c>
      <c r="L21" s="2">
        <v>4.0</v>
      </c>
      <c r="M21" s="4">
        <v>25735.0</v>
      </c>
      <c r="N21" s="2" t="s">
        <v>30</v>
      </c>
      <c r="O21" s="2">
        <v>70.0</v>
      </c>
      <c r="P21" s="2" t="s">
        <v>31</v>
      </c>
      <c r="Q21" s="2" t="s">
        <v>32</v>
      </c>
      <c r="R21" s="2">
        <v>31.0</v>
      </c>
      <c r="U21" s="2" t="b">
        <v>0</v>
      </c>
      <c r="V21" s="5">
        <v>0.008</v>
      </c>
      <c r="W21" s="5">
        <v>0.0107</v>
      </c>
      <c r="X21" s="5">
        <v>8.6E-5</v>
      </c>
      <c r="Y21" s="2">
        <v>68.81016043</v>
      </c>
      <c r="Z21" s="2">
        <v>5083.0</v>
      </c>
      <c r="AA21" s="2" t="s">
        <v>33</v>
      </c>
    </row>
    <row r="22">
      <c r="A22" s="2">
        <v>1371.0</v>
      </c>
      <c r="B22" s="2" t="s">
        <v>91</v>
      </c>
      <c r="C22" s="2" t="s">
        <v>7</v>
      </c>
      <c r="D22" s="2" t="s">
        <v>92</v>
      </c>
      <c r="E22" s="2" t="s">
        <v>93</v>
      </c>
      <c r="F22" s="6">
        <v>45661.416666666664</v>
      </c>
      <c r="G22" s="2">
        <v>43418.0</v>
      </c>
      <c r="H22" s="2">
        <v>43418.0</v>
      </c>
      <c r="I22" s="2">
        <v>34437.0</v>
      </c>
      <c r="J22" s="2">
        <v>267.0</v>
      </c>
      <c r="K22" s="2">
        <v>259.0</v>
      </c>
      <c r="L22" s="2">
        <v>7.0</v>
      </c>
      <c r="M22" s="4">
        <v>31100.0</v>
      </c>
      <c r="N22" s="2" t="s">
        <v>36</v>
      </c>
      <c r="O22" s="2">
        <v>71.0</v>
      </c>
      <c r="P22" s="2" t="s">
        <v>31</v>
      </c>
      <c r="Q22" s="2" t="s">
        <v>32</v>
      </c>
      <c r="R22" s="2">
        <v>28.0</v>
      </c>
      <c r="U22" s="2" t="b">
        <v>0</v>
      </c>
      <c r="V22" s="5">
        <v>0.0075</v>
      </c>
      <c r="W22" s="5">
        <v>0.027</v>
      </c>
      <c r="X22" s="5">
        <v>2.03E-4</v>
      </c>
      <c r="Y22" s="2">
        <v>120.0772201</v>
      </c>
      <c r="AA22" s="2" t="s">
        <v>33</v>
      </c>
    </row>
    <row r="23">
      <c r="A23" s="2">
        <v>1370.0</v>
      </c>
      <c r="B23" s="2" t="s">
        <v>94</v>
      </c>
      <c r="C23" s="2" t="s">
        <v>7</v>
      </c>
      <c r="D23" s="2" t="s">
        <v>95</v>
      </c>
      <c r="E23" s="2" t="s">
        <v>96</v>
      </c>
      <c r="F23" s="6">
        <v>45661.416666666664</v>
      </c>
      <c r="G23" s="2">
        <v>54874.0</v>
      </c>
      <c r="H23" s="2">
        <v>54874.0</v>
      </c>
      <c r="I23" s="2">
        <v>46166.0</v>
      </c>
      <c r="J23" s="2">
        <v>273.0</v>
      </c>
      <c r="K23" s="2">
        <v>267.0</v>
      </c>
      <c r="L23" s="2">
        <v>10.0</v>
      </c>
      <c r="M23" s="4">
        <v>30214.0</v>
      </c>
      <c r="N23" s="2" t="s">
        <v>30</v>
      </c>
      <c r="O23" s="2">
        <v>70.0</v>
      </c>
      <c r="P23" s="2" t="s">
        <v>31</v>
      </c>
      <c r="Q23" s="2" t="s">
        <v>32</v>
      </c>
      <c r="R23" s="2">
        <v>25.0</v>
      </c>
      <c r="T23" s="2" t="s">
        <v>97</v>
      </c>
      <c r="U23" s="2" t="b">
        <v>0</v>
      </c>
      <c r="V23" s="5">
        <v>0.0058</v>
      </c>
      <c r="W23" s="5">
        <v>0.0375</v>
      </c>
      <c r="X23" s="5">
        <v>2.17E-4</v>
      </c>
      <c r="Y23" s="2">
        <v>113.1610487</v>
      </c>
      <c r="AA23" s="2" t="s">
        <v>33</v>
      </c>
    </row>
    <row r="24">
      <c r="A24" s="2">
        <v>1373.0</v>
      </c>
      <c r="B24" s="2" t="s">
        <v>98</v>
      </c>
      <c r="C24" s="2" t="s">
        <v>7</v>
      </c>
      <c r="D24" s="2" t="s">
        <v>99</v>
      </c>
      <c r="E24" s="2" t="s">
        <v>100</v>
      </c>
      <c r="F24" s="6">
        <v>45661.541666666664</v>
      </c>
      <c r="G24" s="2">
        <v>43435.0</v>
      </c>
      <c r="H24" s="2">
        <v>43435.0</v>
      </c>
      <c r="I24" s="2">
        <v>34793.0</v>
      </c>
      <c r="J24" s="2">
        <v>297.0</v>
      </c>
      <c r="K24" s="2">
        <v>288.0</v>
      </c>
      <c r="L24" s="2">
        <v>5.0</v>
      </c>
      <c r="M24" s="4">
        <v>6019.0</v>
      </c>
      <c r="N24" s="2" t="s">
        <v>36</v>
      </c>
      <c r="O24" s="2">
        <v>71.0</v>
      </c>
      <c r="P24" s="2" t="s">
        <v>31</v>
      </c>
      <c r="Q24" s="2" t="s">
        <v>32</v>
      </c>
      <c r="R24" s="2">
        <v>33.0</v>
      </c>
      <c r="T24" s="2" t="s">
        <v>47</v>
      </c>
      <c r="U24" s="2" t="b">
        <v>0</v>
      </c>
      <c r="V24" s="5">
        <v>0.0083</v>
      </c>
      <c r="W24" s="5">
        <v>0.0174</v>
      </c>
      <c r="X24" s="5">
        <v>1.44E-4</v>
      </c>
      <c r="Y24" s="2">
        <v>20.89930556</v>
      </c>
      <c r="AA24" s="2" t="s">
        <v>33</v>
      </c>
    </row>
    <row r="25">
      <c r="A25" s="2">
        <v>1372.0</v>
      </c>
      <c r="B25" s="2" t="s">
        <v>101</v>
      </c>
      <c r="C25" s="2" t="s">
        <v>7</v>
      </c>
      <c r="D25" s="2" t="s">
        <v>102</v>
      </c>
      <c r="E25" s="2" t="s">
        <v>103</v>
      </c>
      <c r="F25" s="6">
        <v>45661.541666666664</v>
      </c>
      <c r="G25" s="2">
        <v>54926.0</v>
      </c>
      <c r="H25" s="2">
        <v>54926.0</v>
      </c>
      <c r="I25" s="2">
        <v>46722.0</v>
      </c>
      <c r="J25" s="2">
        <v>339.0</v>
      </c>
      <c r="K25" s="2">
        <v>333.0</v>
      </c>
      <c r="L25" s="2">
        <v>9.0</v>
      </c>
      <c r="M25" s="4">
        <v>18160.0</v>
      </c>
      <c r="N25" s="2" t="s">
        <v>30</v>
      </c>
      <c r="O25" s="2">
        <v>70.0</v>
      </c>
      <c r="P25" s="2" t="s">
        <v>31</v>
      </c>
      <c r="Q25" s="2" t="s">
        <v>32</v>
      </c>
      <c r="R25" s="2">
        <v>44.0</v>
      </c>
      <c r="T25" s="2" t="s">
        <v>47</v>
      </c>
      <c r="U25" s="2" t="b">
        <v>0</v>
      </c>
      <c r="V25" s="5">
        <v>0.0071</v>
      </c>
      <c r="W25" s="5">
        <v>0.027</v>
      </c>
      <c r="X25" s="5">
        <v>1.93E-4</v>
      </c>
      <c r="Y25" s="2">
        <v>54.53453453</v>
      </c>
      <c r="AA25" s="2" t="s">
        <v>33</v>
      </c>
    </row>
    <row r="26">
      <c r="A26" s="2">
        <v>1375.0</v>
      </c>
      <c r="B26" s="2" t="s">
        <v>104</v>
      </c>
      <c r="C26" s="2" t="s">
        <v>7</v>
      </c>
      <c r="D26" s="2" t="s">
        <v>105</v>
      </c>
      <c r="E26" s="2" t="s">
        <v>106</v>
      </c>
      <c r="F26" s="6">
        <v>45661.666666666664</v>
      </c>
      <c r="G26" s="2">
        <v>43513.0</v>
      </c>
      <c r="H26" s="2">
        <v>43513.0</v>
      </c>
      <c r="I26" s="2">
        <v>34866.0</v>
      </c>
      <c r="J26" s="2">
        <v>356.0</v>
      </c>
      <c r="K26" s="2">
        <v>339.0</v>
      </c>
      <c r="L26" s="2">
        <v>7.0</v>
      </c>
      <c r="M26" s="4">
        <v>33771.0</v>
      </c>
      <c r="N26" s="2" t="s">
        <v>36</v>
      </c>
      <c r="O26" s="2">
        <v>71.0</v>
      </c>
      <c r="P26" s="2" t="s">
        <v>31</v>
      </c>
      <c r="Q26" s="2" t="s">
        <v>32</v>
      </c>
      <c r="R26" s="2">
        <v>23.0</v>
      </c>
      <c r="U26" s="2" t="b">
        <v>1</v>
      </c>
      <c r="V26" s="5">
        <v>0.0097</v>
      </c>
      <c r="W26" s="5">
        <v>0.0206</v>
      </c>
      <c r="X26" s="5">
        <v>2.01E-4</v>
      </c>
      <c r="Y26" s="2">
        <v>99.61946903</v>
      </c>
      <c r="AA26" s="2" t="s">
        <v>33</v>
      </c>
    </row>
    <row r="27">
      <c r="A27" s="2">
        <v>1374.0</v>
      </c>
      <c r="B27" s="2" t="s">
        <v>107</v>
      </c>
      <c r="C27" s="2" t="s">
        <v>7</v>
      </c>
      <c r="D27" s="2" t="s">
        <v>108</v>
      </c>
      <c r="E27" s="2" t="s">
        <v>109</v>
      </c>
      <c r="F27" s="6">
        <v>45661.666666666664</v>
      </c>
      <c r="G27" s="2">
        <v>55021.0</v>
      </c>
      <c r="H27" s="2">
        <v>55021.0</v>
      </c>
      <c r="I27" s="2">
        <v>46885.0</v>
      </c>
      <c r="J27" s="2">
        <v>382.0</v>
      </c>
      <c r="K27" s="2">
        <v>377.0</v>
      </c>
      <c r="L27" s="2">
        <v>5.0</v>
      </c>
      <c r="M27" s="4">
        <v>30922.0</v>
      </c>
      <c r="N27" s="2" t="s">
        <v>30</v>
      </c>
      <c r="O27" s="2">
        <v>70.0</v>
      </c>
      <c r="P27" s="2" t="s">
        <v>31</v>
      </c>
      <c r="Q27" s="2" t="s">
        <v>32</v>
      </c>
      <c r="R27" s="2">
        <v>26.0</v>
      </c>
      <c r="U27" s="2" t="b">
        <v>0</v>
      </c>
      <c r="V27" s="5">
        <v>0.008</v>
      </c>
      <c r="W27" s="5">
        <v>0.0133</v>
      </c>
      <c r="X27" s="5">
        <v>1.07E-4</v>
      </c>
      <c r="Y27" s="2">
        <v>82.02122016</v>
      </c>
      <c r="Z27" s="2">
        <v>4763.0</v>
      </c>
      <c r="AA27" s="2" t="s">
        <v>33</v>
      </c>
    </row>
    <row r="28">
      <c r="A28" s="2">
        <v>1377.0</v>
      </c>
      <c r="B28" s="2" t="s">
        <v>110</v>
      </c>
      <c r="C28" s="2" t="s">
        <v>7</v>
      </c>
      <c r="D28" s="2" t="s">
        <v>111</v>
      </c>
      <c r="E28" s="2" t="s">
        <v>112</v>
      </c>
      <c r="F28" s="6">
        <v>45662.416666666664</v>
      </c>
      <c r="G28" s="2">
        <v>43698.0</v>
      </c>
      <c r="H28" s="2">
        <v>43698.0</v>
      </c>
      <c r="I28" s="2">
        <v>34620.0</v>
      </c>
      <c r="J28" s="2">
        <v>301.0</v>
      </c>
      <c r="K28" s="2">
        <v>295.0</v>
      </c>
      <c r="L28" s="2">
        <v>8.0</v>
      </c>
      <c r="M28" s="4">
        <v>54595.0</v>
      </c>
      <c r="N28" s="2" t="s">
        <v>36</v>
      </c>
      <c r="O28" s="2">
        <v>71.0</v>
      </c>
      <c r="P28" s="2" t="s">
        <v>31</v>
      </c>
      <c r="Q28" s="2" t="s">
        <v>32</v>
      </c>
      <c r="R28" s="2">
        <v>34.0</v>
      </c>
      <c r="U28" s="2" t="b">
        <v>0</v>
      </c>
      <c r="V28" s="5">
        <v>0.0085</v>
      </c>
      <c r="W28" s="5">
        <v>0.0271</v>
      </c>
      <c r="X28" s="5">
        <v>2.31E-4</v>
      </c>
      <c r="Y28" s="2">
        <v>185.0677966</v>
      </c>
      <c r="AA28" s="2" t="s">
        <v>33</v>
      </c>
    </row>
    <row r="29">
      <c r="A29" s="2">
        <v>1376.0</v>
      </c>
      <c r="B29" s="2" t="s">
        <v>113</v>
      </c>
      <c r="C29" s="2" t="s">
        <v>7</v>
      </c>
      <c r="D29" s="2" t="s">
        <v>114</v>
      </c>
      <c r="E29" s="2" t="s">
        <v>115</v>
      </c>
      <c r="F29" s="6">
        <v>45662.416666666664</v>
      </c>
      <c r="G29" s="2">
        <v>55113.0</v>
      </c>
      <c r="H29" s="2">
        <v>55113.0</v>
      </c>
      <c r="I29" s="2">
        <v>46349.0</v>
      </c>
      <c r="J29" s="2">
        <v>316.0</v>
      </c>
      <c r="K29" s="2">
        <v>309.0</v>
      </c>
      <c r="L29" s="2">
        <v>6.0</v>
      </c>
      <c r="M29" s="4">
        <v>8806.0</v>
      </c>
      <c r="N29" s="2" t="s">
        <v>30</v>
      </c>
      <c r="O29" s="2">
        <v>70.0</v>
      </c>
      <c r="P29" s="2" t="s">
        <v>31</v>
      </c>
      <c r="Q29" s="2" t="s">
        <v>32</v>
      </c>
      <c r="R29" s="2">
        <v>31.0</v>
      </c>
      <c r="T29" s="2" t="s">
        <v>47</v>
      </c>
      <c r="U29" s="2" t="b">
        <v>0</v>
      </c>
      <c r="V29" s="5">
        <v>0.0067</v>
      </c>
      <c r="W29" s="5">
        <v>0.0194</v>
      </c>
      <c r="X29" s="5">
        <v>1.29E-4</v>
      </c>
      <c r="Y29" s="2">
        <v>28.49838188</v>
      </c>
      <c r="Z29" s="2">
        <v>2239.0</v>
      </c>
      <c r="AA29" s="2" t="s">
        <v>33</v>
      </c>
    </row>
    <row r="30">
      <c r="A30" s="2">
        <v>1379.0</v>
      </c>
      <c r="B30" s="2" t="s">
        <v>116</v>
      </c>
      <c r="C30" s="2" t="s">
        <v>7</v>
      </c>
      <c r="D30" s="2" t="s">
        <v>117</v>
      </c>
      <c r="E30" s="2" t="s">
        <v>118</v>
      </c>
      <c r="F30" s="6">
        <v>45662.541666666664</v>
      </c>
      <c r="G30" s="2">
        <v>43685.0</v>
      </c>
      <c r="H30" s="2">
        <v>43685.0</v>
      </c>
      <c r="I30" s="2">
        <v>34976.0</v>
      </c>
      <c r="J30" s="2">
        <v>319.0</v>
      </c>
      <c r="K30" s="2">
        <v>310.0</v>
      </c>
      <c r="L30" s="2">
        <v>1.0</v>
      </c>
      <c r="M30" s="4">
        <v>3800.0</v>
      </c>
      <c r="N30" s="2" t="s">
        <v>36</v>
      </c>
      <c r="O30" s="2">
        <v>71.0</v>
      </c>
      <c r="P30" s="2" t="s">
        <v>31</v>
      </c>
      <c r="Q30" s="2" t="s">
        <v>32</v>
      </c>
      <c r="R30" s="2">
        <v>41.0</v>
      </c>
      <c r="U30" s="2" t="b">
        <v>0</v>
      </c>
      <c r="V30" s="5">
        <v>0.0089</v>
      </c>
      <c r="W30" s="5">
        <v>0.0032</v>
      </c>
      <c r="X30" s="5">
        <v>2.9E-5</v>
      </c>
      <c r="Y30" s="2">
        <v>12.25806452</v>
      </c>
      <c r="AA30" s="2" t="s">
        <v>33</v>
      </c>
    </row>
    <row r="31">
      <c r="A31" s="2">
        <v>1378.0</v>
      </c>
      <c r="B31" s="2" t="s">
        <v>119</v>
      </c>
      <c r="C31" s="2" t="s">
        <v>7</v>
      </c>
      <c r="D31" s="2" t="s">
        <v>120</v>
      </c>
      <c r="E31" s="2" t="s">
        <v>121</v>
      </c>
      <c r="F31" s="6">
        <v>45662.541666666664</v>
      </c>
      <c r="G31" s="2">
        <v>55158.0</v>
      </c>
      <c r="H31" s="2">
        <v>55158.0</v>
      </c>
      <c r="I31" s="2">
        <v>46964.0</v>
      </c>
      <c r="J31" s="2">
        <v>342.0</v>
      </c>
      <c r="K31" s="2">
        <v>335.0</v>
      </c>
      <c r="L31" s="2">
        <v>7.0</v>
      </c>
      <c r="M31" s="4">
        <v>24501.0</v>
      </c>
      <c r="N31" s="2" t="s">
        <v>30</v>
      </c>
      <c r="O31" s="2">
        <v>70.0</v>
      </c>
      <c r="P31" s="2" t="s">
        <v>31</v>
      </c>
      <c r="Q31" s="2" t="s">
        <v>32</v>
      </c>
      <c r="R31" s="2">
        <v>40.0</v>
      </c>
      <c r="U31" s="2" t="b">
        <v>0</v>
      </c>
      <c r="V31" s="5">
        <v>0.0071</v>
      </c>
      <c r="W31" s="5">
        <v>0.0209</v>
      </c>
      <c r="X31" s="5">
        <v>1.49E-4</v>
      </c>
      <c r="Y31" s="2">
        <v>73.13731343</v>
      </c>
      <c r="Z31" s="2" t="s">
        <v>122</v>
      </c>
      <c r="AA31" s="2" t="s">
        <v>33</v>
      </c>
    </row>
    <row r="32">
      <c r="A32" s="2">
        <v>1381.0</v>
      </c>
      <c r="B32" s="2" t="s">
        <v>123</v>
      </c>
      <c r="C32" s="2" t="s">
        <v>7</v>
      </c>
      <c r="D32" s="2" t="s">
        <v>124</v>
      </c>
      <c r="E32" s="2" t="s">
        <v>125</v>
      </c>
      <c r="F32" s="6">
        <v>45662.666666666664</v>
      </c>
      <c r="G32" s="2">
        <v>43729.0</v>
      </c>
      <c r="H32" s="2">
        <v>43729.0</v>
      </c>
      <c r="I32" s="2">
        <v>35103.0</v>
      </c>
      <c r="J32" s="2">
        <v>275.0</v>
      </c>
      <c r="K32" s="2">
        <v>269.0</v>
      </c>
      <c r="L32" s="2">
        <v>3.0</v>
      </c>
      <c r="M32" s="4">
        <v>9872.0</v>
      </c>
      <c r="N32" s="2" t="s">
        <v>36</v>
      </c>
      <c r="O32" s="2">
        <v>71.0</v>
      </c>
      <c r="P32" s="2" t="s">
        <v>31</v>
      </c>
      <c r="Q32" s="2" t="s">
        <v>32</v>
      </c>
      <c r="R32" s="2">
        <v>26.0</v>
      </c>
      <c r="T32" s="2" t="s">
        <v>47</v>
      </c>
      <c r="U32" s="2" t="b">
        <v>0</v>
      </c>
      <c r="V32" s="5">
        <v>0.0077</v>
      </c>
      <c r="W32" s="5">
        <v>0.0112</v>
      </c>
      <c r="X32" s="5">
        <v>8.5E-5</v>
      </c>
      <c r="Y32" s="2">
        <v>36.69888476</v>
      </c>
      <c r="AA32" s="2" t="s">
        <v>33</v>
      </c>
    </row>
    <row r="33">
      <c r="A33" s="2">
        <v>1380.0</v>
      </c>
      <c r="B33" s="2" t="s">
        <v>126</v>
      </c>
      <c r="C33" s="2" t="s">
        <v>7</v>
      </c>
      <c r="D33" s="2" t="s">
        <v>127</v>
      </c>
      <c r="E33" s="2" t="s">
        <v>128</v>
      </c>
      <c r="F33" s="6">
        <v>45662.666666666664</v>
      </c>
      <c r="G33" s="2">
        <v>55210.0</v>
      </c>
      <c r="H33" s="2">
        <v>55210.0</v>
      </c>
      <c r="I33" s="2">
        <v>47045.0</v>
      </c>
      <c r="J33" s="2">
        <v>220.0</v>
      </c>
      <c r="K33" s="2">
        <v>218.0</v>
      </c>
      <c r="L33" s="2">
        <v>6.0</v>
      </c>
      <c r="M33" s="4">
        <v>8478.0</v>
      </c>
      <c r="N33" s="2" t="s">
        <v>30</v>
      </c>
      <c r="O33" s="2">
        <v>70.0</v>
      </c>
      <c r="P33" s="2" t="s">
        <v>31</v>
      </c>
      <c r="Q33" s="2" t="s">
        <v>32</v>
      </c>
      <c r="R33" s="2">
        <v>23.0</v>
      </c>
      <c r="T33" s="2" t="s">
        <v>129</v>
      </c>
      <c r="U33" s="2" t="b">
        <v>0</v>
      </c>
      <c r="V33" s="5">
        <v>0.0046</v>
      </c>
      <c r="W33" s="5">
        <v>0.0275</v>
      </c>
      <c r="X33" s="5">
        <v>1.28E-4</v>
      </c>
      <c r="Y33" s="2">
        <v>38.88990826</v>
      </c>
      <c r="Z33" s="2">
        <v>2001.0</v>
      </c>
      <c r="AA33" s="2" t="s">
        <v>33</v>
      </c>
    </row>
    <row r="34">
      <c r="A34" s="2">
        <v>1382.0</v>
      </c>
      <c r="B34" s="2" t="s">
        <v>130</v>
      </c>
      <c r="C34" s="2" t="s">
        <v>7</v>
      </c>
      <c r="D34" s="2" t="s">
        <v>131</v>
      </c>
      <c r="E34" s="2" t="s">
        <v>132</v>
      </c>
      <c r="F34" s="6">
        <v>45663.50347222222</v>
      </c>
      <c r="G34" s="2">
        <v>55325.0</v>
      </c>
      <c r="H34" s="2">
        <v>55325.0</v>
      </c>
      <c r="I34" s="2">
        <v>47098.0</v>
      </c>
      <c r="J34" s="2">
        <v>211.0</v>
      </c>
      <c r="K34" s="2">
        <v>209.0</v>
      </c>
      <c r="L34" s="2">
        <v>2.0</v>
      </c>
      <c r="M34" s="4">
        <v>10407.0</v>
      </c>
      <c r="N34" s="2" t="s">
        <v>30</v>
      </c>
      <c r="O34" s="2">
        <v>70.0</v>
      </c>
      <c r="P34" s="2" t="s">
        <v>31</v>
      </c>
      <c r="Q34" s="2" t="s">
        <v>32</v>
      </c>
      <c r="R34" s="2">
        <v>39.0</v>
      </c>
      <c r="T34" s="2" t="s">
        <v>47</v>
      </c>
      <c r="U34" s="2" t="b">
        <v>0</v>
      </c>
      <c r="V34" s="5">
        <v>0.0044</v>
      </c>
      <c r="W34" s="5">
        <v>0.0096</v>
      </c>
      <c r="X34" s="5">
        <v>4.2E-5</v>
      </c>
      <c r="Y34" s="2">
        <v>49.79425837</v>
      </c>
      <c r="Z34" s="2" t="s">
        <v>133</v>
      </c>
      <c r="AA34" s="2" t="s">
        <v>33</v>
      </c>
    </row>
    <row r="35">
      <c r="A35" s="2">
        <v>1383.0</v>
      </c>
      <c r="B35" s="2" t="s">
        <v>134</v>
      </c>
      <c r="C35" s="2" t="s">
        <v>7</v>
      </c>
      <c r="D35" s="2" t="s">
        <v>135</v>
      </c>
      <c r="E35" s="2" t="s">
        <v>136</v>
      </c>
      <c r="F35" s="6">
        <v>45663.504166666666</v>
      </c>
      <c r="G35" s="2">
        <v>43909.0</v>
      </c>
      <c r="H35" s="2">
        <v>43909.0</v>
      </c>
      <c r="I35" s="2">
        <v>35081.0</v>
      </c>
      <c r="J35" s="2">
        <v>244.0</v>
      </c>
      <c r="K35" s="2">
        <v>231.0</v>
      </c>
      <c r="L35" s="2">
        <v>1.0</v>
      </c>
      <c r="M35" s="4">
        <v>1690.0</v>
      </c>
      <c r="N35" s="2" t="s">
        <v>36</v>
      </c>
      <c r="O35" s="2">
        <v>71.0</v>
      </c>
      <c r="P35" s="2" t="s">
        <v>31</v>
      </c>
      <c r="Q35" s="2" t="s">
        <v>32</v>
      </c>
      <c r="R35" s="2">
        <v>49.0</v>
      </c>
      <c r="T35" s="2" t="s">
        <v>47</v>
      </c>
      <c r="U35" s="2" t="b">
        <v>0</v>
      </c>
      <c r="V35" s="5">
        <v>0.0066</v>
      </c>
      <c r="W35" s="5">
        <v>0.0043</v>
      </c>
      <c r="X35" s="5">
        <v>2.9E-5</v>
      </c>
      <c r="Y35" s="2">
        <v>7.316017316</v>
      </c>
      <c r="AA35" s="2" t="s">
        <v>33</v>
      </c>
    </row>
    <row r="36">
      <c r="A36" s="2">
        <v>1385.0</v>
      </c>
      <c r="B36" s="2" t="s">
        <v>137</v>
      </c>
      <c r="C36" s="2" t="s">
        <v>7</v>
      </c>
      <c r="D36" s="2" t="s">
        <v>138</v>
      </c>
      <c r="E36" s="2" t="s">
        <v>139</v>
      </c>
      <c r="F36" s="6">
        <v>45663.625</v>
      </c>
      <c r="G36" s="2">
        <v>43880.0</v>
      </c>
      <c r="H36" s="2">
        <v>43880.0</v>
      </c>
      <c r="I36" s="2">
        <v>35210.0</v>
      </c>
      <c r="J36" s="2">
        <v>291.0</v>
      </c>
      <c r="K36" s="2">
        <v>276.0</v>
      </c>
      <c r="L36" s="2">
        <v>3.0</v>
      </c>
      <c r="M36" s="4">
        <v>23235.0</v>
      </c>
      <c r="N36" s="2" t="s">
        <v>36</v>
      </c>
      <c r="O36" s="2">
        <v>71.0</v>
      </c>
      <c r="P36" s="2" t="s">
        <v>31</v>
      </c>
      <c r="Q36" s="2" t="s">
        <v>32</v>
      </c>
      <c r="R36" s="2">
        <v>31.0</v>
      </c>
      <c r="T36" s="7" t="str">
        <f>IFERROR(__xludf.DUMMYFUNCTION("AI(""has offer Come X Pay X"",D36)"),"Yes")</f>
        <v>Yes</v>
      </c>
      <c r="U36" s="2" t="b">
        <v>1</v>
      </c>
      <c r="V36" s="5">
        <v>0.0078</v>
      </c>
      <c r="W36" s="5">
        <v>0.0109</v>
      </c>
      <c r="X36" s="5">
        <v>8.5E-5</v>
      </c>
      <c r="Y36" s="2">
        <v>84.18478261</v>
      </c>
      <c r="AA36" s="2" t="s">
        <v>33</v>
      </c>
    </row>
    <row r="37">
      <c r="A37" s="2">
        <v>1384.0</v>
      </c>
      <c r="B37" s="2" t="s">
        <v>140</v>
      </c>
      <c r="C37" s="2" t="s">
        <v>7</v>
      </c>
      <c r="D37" s="2" t="s">
        <v>141</v>
      </c>
      <c r="E37" s="2" t="s">
        <v>142</v>
      </c>
      <c r="F37" s="6">
        <v>45663.625</v>
      </c>
      <c r="G37" s="2">
        <v>55319.0</v>
      </c>
      <c r="H37" s="2">
        <v>55319.0</v>
      </c>
      <c r="I37" s="2">
        <v>47213.0</v>
      </c>
      <c r="J37" s="2">
        <v>375.0</v>
      </c>
      <c r="K37" s="2">
        <v>367.0</v>
      </c>
      <c r="L37" s="2">
        <v>7.0</v>
      </c>
      <c r="M37" s="4">
        <v>40423.0</v>
      </c>
      <c r="N37" s="2" t="s">
        <v>30</v>
      </c>
      <c r="O37" s="2">
        <v>70.0</v>
      </c>
      <c r="P37" s="2" t="s">
        <v>31</v>
      </c>
      <c r="Q37" s="2" t="s">
        <v>32</v>
      </c>
      <c r="R37" s="2">
        <v>31.0</v>
      </c>
      <c r="T37" s="2" t="s">
        <v>143</v>
      </c>
      <c r="U37" s="2" t="b">
        <v>0</v>
      </c>
      <c r="V37" s="5">
        <v>0.0078</v>
      </c>
      <c r="W37" s="5">
        <v>0.0191</v>
      </c>
      <c r="X37" s="5">
        <v>1.48E-4</v>
      </c>
      <c r="Y37" s="2">
        <v>110.1444142</v>
      </c>
      <c r="AA37" s="2" t="s">
        <v>33</v>
      </c>
    </row>
    <row r="38">
      <c r="A38" s="2">
        <v>1387.0</v>
      </c>
      <c r="B38" s="2" t="s">
        <v>144</v>
      </c>
      <c r="C38" s="2" t="s">
        <v>7</v>
      </c>
      <c r="D38" s="2" t="s">
        <v>145</v>
      </c>
      <c r="E38" s="2" t="s">
        <v>146</v>
      </c>
      <c r="F38" s="6">
        <v>45663.708333333336</v>
      </c>
      <c r="G38" s="2">
        <v>43896.0</v>
      </c>
      <c r="H38" s="2">
        <v>43896.0</v>
      </c>
      <c r="I38" s="2">
        <v>35347.0</v>
      </c>
      <c r="J38" s="2">
        <v>314.0</v>
      </c>
      <c r="K38" s="2">
        <v>306.0</v>
      </c>
      <c r="L38" s="2">
        <v>9.0</v>
      </c>
      <c r="M38" s="4">
        <v>40443.0</v>
      </c>
      <c r="N38" s="2" t="s">
        <v>36</v>
      </c>
      <c r="O38" s="2">
        <v>71.0</v>
      </c>
      <c r="P38" s="2" t="s">
        <v>31</v>
      </c>
      <c r="Q38" s="2" t="s">
        <v>32</v>
      </c>
      <c r="R38" s="2">
        <v>33.0</v>
      </c>
      <c r="U38" s="2" t="b">
        <v>0</v>
      </c>
      <c r="V38" s="5">
        <v>0.0087</v>
      </c>
      <c r="W38" s="5">
        <v>0.0294</v>
      </c>
      <c r="X38" s="5">
        <v>2.55E-4</v>
      </c>
      <c r="Y38" s="2">
        <v>132.1666667</v>
      </c>
      <c r="AA38" s="2" t="s">
        <v>33</v>
      </c>
    </row>
    <row r="39">
      <c r="A39" s="2">
        <v>1386.0</v>
      </c>
      <c r="B39" s="2" t="s">
        <v>147</v>
      </c>
      <c r="C39" s="2" t="s">
        <v>7</v>
      </c>
      <c r="D39" s="2" t="s">
        <v>148</v>
      </c>
      <c r="E39" s="2" t="s">
        <v>149</v>
      </c>
      <c r="F39" s="6">
        <v>45663.708333333336</v>
      </c>
      <c r="G39" s="2">
        <v>55349.0</v>
      </c>
      <c r="H39" s="2">
        <v>55349.0</v>
      </c>
      <c r="I39" s="2">
        <v>47272.0</v>
      </c>
      <c r="J39" s="2">
        <v>295.0</v>
      </c>
      <c r="K39" s="2">
        <v>291.0</v>
      </c>
      <c r="L39" s="2">
        <v>5.0</v>
      </c>
      <c r="M39" s="4">
        <v>9058.0</v>
      </c>
      <c r="N39" s="2" t="s">
        <v>30</v>
      </c>
      <c r="O39" s="2">
        <v>70.0</v>
      </c>
      <c r="P39" s="2" t="s">
        <v>31</v>
      </c>
      <c r="Q39" s="2" t="s">
        <v>32</v>
      </c>
      <c r="R39" s="2">
        <v>30.0</v>
      </c>
      <c r="U39" s="2" t="b">
        <v>0</v>
      </c>
      <c r="V39" s="5">
        <v>0.0062</v>
      </c>
      <c r="W39" s="5">
        <v>0.0172</v>
      </c>
      <c r="X39" s="5">
        <v>1.06E-4</v>
      </c>
      <c r="Y39" s="2">
        <v>31.12714777</v>
      </c>
      <c r="Z39" s="2">
        <v>4836.0</v>
      </c>
      <c r="AA39" s="2" t="s">
        <v>33</v>
      </c>
    </row>
    <row r="40">
      <c r="A40" s="2">
        <v>1389.0</v>
      </c>
      <c r="B40" s="2" t="s">
        <v>150</v>
      </c>
      <c r="C40" s="2" t="s">
        <v>7</v>
      </c>
      <c r="D40" s="2" t="s">
        <v>151</v>
      </c>
      <c r="E40" s="2" t="s">
        <v>152</v>
      </c>
      <c r="F40" s="6">
        <v>45664.47152777778</v>
      </c>
      <c r="G40" s="2">
        <v>55496.0</v>
      </c>
      <c r="H40" s="2">
        <v>55496.0</v>
      </c>
      <c r="I40" s="2">
        <v>47058.0</v>
      </c>
      <c r="J40" s="2">
        <v>370.0</v>
      </c>
      <c r="K40" s="2">
        <v>364.0</v>
      </c>
      <c r="L40" s="2">
        <v>8.0</v>
      </c>
      <c r="M40" s="4">
        <v>23829.0</v>
      </c>
      <c r="N40" s="2" t="s">
        <v>30</v>
      </c>
      <c r="O40" s="2">
        <v>70.0</v>
      </c>
      <c r="P40" s="2" t="s">
        <v>31</v>
      </c>
      <c r="Q40" s="2" t="s">
        <v>32</v>
      </c>
      <c r="R40" s="2">
        <v>40.0</v>
      </c>
      <c r="T40" s="2" t="s">
        <v>47</v>
      </c>
      <c r="U40" s="2" t="b">
        <v>0</v>
      </c>
      <c r="V40" s="5">
        <v>0.0077</v>
      </c>
      <c r="W40" s="5">
        <v>0.022</v>
      </c>
      <c r="X40" s="5">
        <v>1.7E-4</v>
      </c>
      <c r="Y40" s="2">
        <v>65.46428571</v>
      </c>
      <c r="Z40" s="2">
        <v>982.0</v>
      </c>
      <c r="AA40" s="2" t="s">
        <v>33</v>
      </c>
    </row>
    <row r="41">
      <c r="A41" s="2">
        <v>1390.0</v>
      </c>
      <c r="B41" s="2" t="s">
        <v>153</v>
      </c>
      <c r="C41" s="2" t="s">
        <v>7</v>
      </c>
      <c r="D41" s="2" t="s">
        <v>154</v>
      </c>
      <c r="E41" s="2" t="s">
        <v>155</v>
      </c>
      <c r="F41" s="6">
        <v>45664.47361111111</v>
      </c>
      <c r="G41" s="2">
        <v>44017.0</v>
      </c>
      <c r="H41" s="2">
        <v>44017.0</v>
      </c>
      <c r="I41" s="2">
        <v>35228.0</v>
      </c>
      <c r="J41" s="2">
        <v>323.0</v>
      </c>
      <c r="K41" s="2">
        <v>309.0</v>
      </c>
      <c r="L41" s="2">
        <v>3.0</v>
      </c>
      <c r="M41" s="4">
        <v>6730.0</v>
      </c>
      <c r="N41" s="2" t="s">
        <v>36</v>
      </c>
      <c r="O41" s="2">
        <v>71.0</v>
      </c>
      <c r="P41" s="2" t="s">
        <v>31</v>
      </c>
      <c r="Q41" s="2" t="s">
        <v>32</v>
      </c>
      <c r="R41" s="2">
        <v>39.0</v>
      </c>
      <c r="T41" s="2" t="s">
        <v>47</v>
      </c>
      <c r="U41" s="2" t="b">
        <v>0</v>
      </c>
      <c r="V41" s="5">
        <v>0.0088</v>
      </c>
      <c r="W41" s="5">
        <v>0.0097</v>
      </c>
      <c r="X41" s="5">
        <v>8.5E-5</v>
      </c>
      <c r="Y41" s="2">
        <v>21.77993528</v>
      </c>
      <c r="AA41" s="2" t="s">
        <v>33</v>
      </c>
    </row>
    <row r="42">
      <c r="A42" s="2">
        <v>1391.0</v>
      </c>
      <c r="B42" s="2" t="s">
        <v>156</v>
      </c>
      <c r="C42" s="2" t="s">
        <v>7</v>
      </c>
      <c r="D42" s="2" t="s">
        <v>157</v>
      </c>
      <c r="E42" s="2" t="s">
        <v>158</v>
      </c>
      <c r="F42" s="6">
        <v>45664.657638888886</v>
      </c>
      <c r="G42" s="2">
        <v>55556.0</v>
      </c>
      <c r="H42" s="2">
        <v>55556.0</v>
      </c>
      <c r="I42" s="2">
        <v>47446.0</v>
      </c>
      <c r="J42" s="2">
        <v>331.0</v>
      </c>
      <c r="K42" s="2">
        <v>328.0</v>
      </c>
      <c r="L42" s="2">
        <v>7.0</v>
      </c>
      <c r="M42" s="4">
        <v>18137.0</v>
      </c>
      <c r="N42" s="2" t="s">
        <v>30</v>
      </c>
      <c r="O42" s="2">
        <v>70.0</v>
      </c>
      <c r="P42" s="2" t="s">
        <v>31</v>
      </c>
      <c r="Q42" s="2" t="s">
        <v>32</v>
      </c>
      <c r="R42" s="2">
        <v>27.0</v>
      </c>
      <c r="T42" s="2" t="s">
        <v>47</v>
      </c>
      <c r="U42" s="2" t="b">
        <v>0</v>
      </c>
      <c r="V42" s="5">
        <v>0.0069</v>
      </c>
      <c r="W42" s="5">
        <v>0.0213</v>
      </c>
      <c r="X42" s="5">
        <v>1.48E-4</v>
      </c>
      <c r="Y42" s="2">
        <v>55.29573171</v>
      </c>
      <c r="AA42" s="2" t="s">
        <v>33</v>
      </c>
    </row>
    <row r="43">
      <c r="A43" s="2">
        <v>1392.0</v>
      </c>
      <c r="B43" s="2" t="s">
        <v>159</v>
      </c>
      <c r="C43" s="2" t="s">
        <v>7</v>
      </c>
      <c r="D43" s="2" t="s">
        <v>160</v>
      </c>
      <c r="E43" s="2" t="s">
        <v>161</v>
      </c>
      <c r="F43" s="6">
        <v>45664.65902777778</v>
      </c>
      <c r="G43" s="2">
        <v>44032.0</v>
      </c>
      <c r="H43" s="2">
        <v>44032.0</v>
      </c>
      <c r="I43" s="2">
        <v>35506.0</v>
      </c>
      <c r="J43" s="2">
        <v>285.0</v>
      </c>
      <c r="K43" s="2">
        <v>275.0</v>
      </c>
      <c r="L43" s="2">
        <v>4.0</v>
      </c>
      <c r="M43" s="4">
        <v>7642.0</v>
      </c>
      <c r="N43" s="2" t="s">
        <v>36</v>
      </c>
      <c r="O43" s="2">
        <v>71.0</v>
      </c>
      <c r="P43" s="2" t="s">
        <v>31</v>
      </c>
      <c r="Q43" s="2" t="s">
        <v>32</v>
      </c>
      <c r="R43" s="2">
        <v>24.0</v>
      </c>
      <c r="T43" s="2" t="s">
        <v>162</v>
      </c>
      <c r="U43" s="2" t="b">
        <v>0</v>
      </c>
      <c r="V43" s="5">
        <v>0.0077</v>
      </c>
      <c r="W43" s="5">
        <v>0.0145</v>
      </c>
      <c r="X43" s="5">
        <v>1.13E-4</v>
      </c>
      <c r="Y43" s="2">
        <v>27.78909091</v>
      </c>
      <c r="AA43" s="2" t="s">
        <v>33</v>
      </c>
    </row>
    <row r="44">
      <c r="A44" s="2">
        <v>1394.0</v>
      </c>
      <c r="B44" s="2" t="s">
        <v>163</v>
      </c>
      <c r="C44" s="2" t="s">
        <v>7</v>
      </c>
      <c r="D44" s="2" t="s">
        <v>164</v>
      </c>
      <c r="E44" s="2" t="s">
        <v>165</v>
      </c>
      <c r="F44" s="6">
        <v>45664.75</v>
      </c>
      <c r="G44" s="2">
        <v>44035.0</v>
      </c>
      <c r="H44" s="2">
        <v>44035.0</v>
      </c>
      <c r="I44" s="2">
        <v>35463.0</v>
      </c>
      <c r="J44" s="2">
        <v>253.0</v>
      </c>
      <c r="K44" s="2">
        <v>242.0</v>
      </c>
      <c r="L44" s="2">
        <v>6.0</v>
      </c>
      <c r="M44" s="4">
        <v>11507.0</v>
      </c>
      <c r="N44" s="2" t="s">
        <v>36</v>
      </c>
      <c r="O44" s="2">
        <v>71.0</v>
      </c>
      <c r="P44" s="2" t="s">
        <v>31</v>
      </c>
      <c r="Q44" s="2" t="s">
        <v>32</v>
      </c>
      <c r="R44" s="2">
        <v>43.0</v>
      </c>
      <c r="U44" s="2" t="b">
        <v>0</v>
      </c>
      <c r="V44" s="5">
        <v>0.0068</v>
      </c>
      <c r="W44" s="5">
        <v>0.0248</v>
      </c>
      <c r="X44" s="5">
        <v>1.69E-4</v>
      </c>
      <c r="Y44" s="2">
        <v>47.54958678</v>
      </c>
      <c r="AA44" s="2" t="s">
        <v>33</v>
      </c>
    </row>
    <row r="45">
      <c r="A45" s="2">
        <v>1393.0</v>
      </c>
      <c r="B45" s="2" t="s">
        <v>166</v>
      </c>
      <c r="C45" s="2" t="s">
        <v>7</v>
      </c>
      <c r="D45" s="2" t="s">
        <v>167</v>
      </c>
      <c r="E45" s="2" t="s">
        <v>168</v>
      </c>
      <c r="F45" s="6">
        <v>45664.75</v>
      </c>
      <c r="G45" s="2">
        <v>55598.0</v>
      </c>
      <c r="H45" s="2">
        <v>55598.0</v>
      </c>
      <c r="I45" s="2">
        <v>47475.0</v>
      </c>
      <c r="J45" s="2">
        <v>231.0</v>
      </c>
      <c r="K45" s="2">
        <v>226.0</v>
      </c>
      <c r="L45" s="2">
        <v>2.0</v>
      </c>
      <c r="M45" s="4">
        <v>4135.0</v>
      </c>
      <c r="N45" s="2" t="s">
        <v>30</v>
      </c>
      <c r="O45" s="2">
        <v>70.0</v>
      </c>
      <c r="P45" s="2" t="s">
        <v>31</v>
      </c>
      <c r="Q45" s="2" t="s">
        <v>32</v>
      </c>
      <c r="R45" s="2">
        <v>49.0</v>
      </c>
      <c r="T45" s="2" t="s">
        <v>47</v>
      </c>
      <c r="U45" s="2" t="b">
        <v>0</v>
      </c>
      <c r="V45" s="5">
        <v>0.0048</v>
      </c>
      <c r="W45" s="5">
        <v>0.0088</v>
      </c>
      <c r="X45" s="5">
        <v>4.2E-5</v>
      </c>
      <c r="Y45" s="2">
        <v>18.29646018</v>
      </c>
      <c r="AA45" s="2" t="s">
        <v>33</v>
      </c>
    </row>
    <row r="46">
      <c r="A46" s="2">
        <v>1395.0</v>
      </c>
      <c r="B46" s="2" t="s">
        <v>169</v>
      </c>
      <c r="C46" s="2" t="s">
        <v>7</v>
      </c>
      <c r="D46" s="2" t="s">
        <v>170</v>
      </c>
      <c r="E46" s="2" t="e">
        <v>#N/A</v>
      </c>
      <c r="F46" s="6">
        <v>45665.47708333333</v>
      </c>
      <c r="G46" s="2">
        <v>55667.0</v>
      </c>
      <c r="H46" s="2">
        <v>55667.0</v>
      </c>
      <c r="I46" s="2">
        <v>47432.0</v>
      </c>
      <c r="J46" s="2">
        <v>229.0</v>
      </c>
      <c r="K46" s="2">
        <v>221.0</v>
      </c>
      <c r="L46" s="2">
        <v>2.0</v>
      </c>
      <c r="M46" s="4">
        <v>3519.0</v>
      </c>
      <c r="N46" s="2" t="s">
        <v>30</v>
      </c>
      <c r="O46" s="2">
        <v>70.0</v>
      </c>
      <c r="P46" s="2" t="s">
        <v>31</v>
      </c>
      <c r="Q46" s="2" t="s">
        <v>32</v>
      </c>
      <c r="R46" s="2">
        <v>27.0</v>
      </c>
      <c r="T46" s="2" t="s">
        <v>47</v>
      </c>
      <c r="U46" s="2" t="b">
        <v>0</v>
      </c>
      <c r="V46" s="5">
        <v>0.0047</v>
      </c>
      <c r="W46" s="5">
        <v>0.009</v>
      </c>
      <c r="X46" s="5">
        <v>4.2E-5</v>
      </c>
      <c r="Y46" s="2">
        <v>15.92307692</v>
      </c>
      <c r="AA46" s="2" t="s">
        <v>33</v>
      </c>
    </row>
    <row r="47">
      <c r="A47" s="2">
        <v>1396.0</v>
      </c>
      <c r="B47" s="2" t="s">
        <v>171</v>
      </c>
      <c r="C47" s="2" t="s">
        <v>7</v>
      </c>
      <c r="D47" s="2" t="s">
        <v>172</v>
      </c>
      <c r="E47" s="2" t="e">
        <v>#N/A</v>
      </c>
      <c r="F47" s="6">
        <v>45665.479166666664</v>
      </c>
      <c r="G47" s="2">
        <v>44178.0</v>
      </c>
      <c r="H47" s="2">
        <v>44178.0</v>
      </c>
      <c r="I47" s="2">
        <v>35341.0</v>
      </c>
      <c r="J47" s="2">
        <v>223.0</v>
      </c>
      <c r="K47" s="2">
        <v>214.0</v>
      </c>
      <c r="L47" s="2">
        <v>3.0</v>
      </c>
      <c r="M47" s="4">
        <v>8112.0</v>
      </c>
      <c r="N47" s="2" t="s">
        <v>36</v>
      </c>
      <c r="O47" s="2">
        <v>71.0</v>
      </c>
      <c r="P47" s="2" t="s">
        <v>31</v>
      </c>
      <c r="Q47" s="2" t="s">
        <v>32</v>
      </c>
      <c r="R47" s="2">
        <v>24.0</v>
      </c>
      <c r="T47" s="7" t="str">
        <f>IFERROR(__xludf.DUMMYFUNCTION("AI(""has offer Come X Pay X"",D47)"),"has offer Come X Pay X")</f>
        <v>has offer Come X Pay X</v>
      </c>
      <c r="U47" s="2" t="b">
        <v>0</v>
      </c>
      <c r="V47" s="5">
        <v>0.0061</v>
      </c>
      <c r="W47" s="5">
        <v>0.014</v>
      </c>
      <c r="X47" s="5">
        <v>8.5E-5</v>
      </c>
      <c r="Y47" s="2">
        <v>37.90654206</v>
      </c>
      <c r="AA47" s="2" t="s">
        <v>33</v>
      </c>
    </row>
    <row r="48">
      <c r="A48" s="2">
        <v>1398.0</v>
      </c>
      <c r="B48" s="2" t="s">
        <v>173</v>
      </c>
      <c r="C48" s="2" t="s">
        <v>7</v>
      </c>
      <c r="D48" s="2" t="s">
        <v>174</v>
      </c>
      <c r="E48" s="2" t="e">
        <v>#N/A</v>
      </c>
      <c r="F48" s="6">
        <v>45665.625</v>
      </c>
      <c r="G48" s="2">
        <v>44145.0</v>
      </c>
      <c r="H48" s="2">
        <v>44145.0</v>
      </c>
      <c r="I48" s="2">
        <v>35528.0</v>
      </c>
      <c r="J48" s="2">
        <v>230.0</v>
      </c>
      <c r="K48" s="2">
        <v>222.0</v>
      </c>
      <c r="L48" s="2">
        <v>2.0</v>
      </c>
      <c r="M48" s="4">
        <v>6625.0</v>
      </c>
      <c r="N48" s="2" t="s">
        <v>36</v>
      </c>
      <c r="O48" s="2">
        <v>71.0</v>
      </c>
      <c r="P48" s="2" t="s">
        <v>31</v>
      </c>
      <c r="Q48" s="2" t="s">
        <v>32</v>
      </c>
      <c r="R48" s="2">
        <v>30.0</v>
      </c>
      <c r="T48" s="2" t="s">
        <v>143</v>
      </c>
      <c r="U48" s="2" t="b">
        <v>1</v>
      </c>
      <c r="V48" s="5">
        <v>0.0062</v>
      </c>
      <c r="W48" s="5">
        <v>0.009</v>
      </c>
      <c r="X48" s="5">
        <v>5.6E-5</v>
      </c>
      <c r="Y48" s="2">
        <v>29.84234234</v>
      </c>
      <c r="AA48" s="2" t="s">
        <v>33</v>
      </c>
    </row>
    <row r="49">
      <c r="A49" s="2">
        <v>1397.0</v>
      </c>
      <c r="B49" s="2" t="s">
        <v>175</v>
      </c>
      <c r="C49" s="2" t="s">
        <v>7</v>
      </c>
      <c r="D49" s="2" t="s">
        <v>176</v>
      </c>
      <c r="E49" s="2" t="e">
        <v>#N/A</v>
      </c>
      <c r="F49" s="6">
        <v>45665.625</v>
      </c>
      <c r="G49" s="2">
        <v>55673.0</v>
      </c>
      <c r="H49" s="2">
        <v>55673.0</v>
      </c>
      <c r="I49" s="2">
        <v>47603.0</v>
      </c>
      <c r="J49" s="2">
        <v>289.0</v>
      </c>
      <c r="K49" s="2">
        <v>283.0</v>
      </c>
      <c r="L49" s="2">
        <v>3.0</v>
      </c>
      <c r="M49" s="4">
        <v>5098.0</v>
      </c>
      <c r="N49" s="2" t="s">
        <v>30</v>
      </c>
      <c r="O49" s="2">
        <v>70.0</v>
      </c>
      <c r="P49" s="2" t="s">
        <v>31</v>
      </c>
      <c r="Q49" s="2" t="s">
        <v>32</v>
      </c>
      <c r="R49" s="2">
        <v>38.0</v>
      </c>
      <c r="U49" s="2" t="b">
        <v>0</v>
      </c>
      <c r="V49" s="5">
        <v>0.0059</v>
      </c>
      <c r="W49" s="5">
        <v>0.0106</v>
      </c>
      <c r="X49" s="5">
        <v>6.3E-5</v>
      </c>
      <c r="Y49" s="2">
        <v>18.01413428</v>
      </c>
      <c r="AA49" s="2" t="s">
        <v>33</v>
      </c>
    </row>
    <row r="50">
      <c r="A50" s="2">
        <v>1402.0</v>
      </c>
      <c r="B50" s="2" t="s">
        <v>177</v>
      </c>
      <c r="C50" s="2" t="s">
        <v>7</v>
      </c>
      <c r="D50" s="2" t="s">
        <v>178</v>
      </c>
      <c r="E50" s="2" t="s">
        <v>179</v>
      </c>
      <c r="F50" s="6">
        <v>45665.71875</v>
      </c>
      <c r="G50" s="2">
        <v>44170.0</v>
      </c>
      <c r="H50" s="2">
        <v>44170.0</v>
      </c>
      <c r="I50" s="2">
        <v>35526.0</v>
      </c>
      <c r="J50" s="2">
        <v>293.0</v>
      </c>
      <c r="K50" s="2">
        <v>275.0</v>
      </c>
      <c r="L50" s="2">
        <v>6.0</v>
      </c>
      <c r="M50" s="4">
        <v>47201.0</v>
      </c>
      <c r="N50" s="2" t="s">
        <v>36</v>
      </c>
      <c r="O50" s="2">
        <v>71.0</v>
      </c>
      <c r="P50" s="2" t="s">
        <v>31</v>
      </c>
      <c r="Q50" s="2" t="s">
        <v>32</v>
      </c>
      <c r="R50" s="2">
        <v>29.0</v>
      </c>
      <c r="T50" s="2" t="s">
        <v>47</v>
      </c>
      <c r="U50" s="2" t="b">
        <v>0</v>
      </c>
      <c r="V50" s="5">
        <v>0.0077</v>
      </c>
      <c r="W50" s="5">
        <v>0.0218</v>
      </c>
      <c r="X50" s="5">
        <v>1.69E-4</v>
      </c>
      <c r="Y50" s="2">
        <v>171.64</v>
      </c>
      <c r="AA50" s="2" t="s">
        <v>33</v>
      </c>
    </row>
    <row r="51">
      <c r="A51" s="2">
        <v>1401.0</v>
      </c>
      <c r="B51" s="2" t="s">
        <v>180</v>
      </c>
      <c r="C51" s="2" t="s">
        <v>7</v>
      </c>
      <c r="D51" s="2" t="s">
        <v>178</v>
      </c>
      <c r="E51" s="2" t="s">
        <v>181</v>
      </c>
      <c r="F51" s="6">
        <v>45665.71875</v>
      </c>
      <c r="G51" s="2">
        <v>55712.0</v>
      </c>
      <c r="H51" s="2">
        <v>55712.0</v>
      </c>
      <c r="I51" s="2">
        <v>47646.0</v>
      </c>
      <c r="J51" s="2">
        <v>330.0</v>
      </c>
      <c r="K51" s="2">
        <v>323.0</v>
      </c>
      <c r="L51" s="2">
        <v>3.0</v>
      </c>
      <c r="M51" s="4">
        <v>4626.0</v>
      </c>
      <c r="N51" s="2" t="s">
        <v>30</v>
      </c>
      <c r="O51" s="2">
        <v>70.0</v>
      </c>
      <c r="P51" s="2" t="s">
        <v>31</v>
      </c>
      <c r="Q51" s="2" t="s">
        <v>32</v>
      </c>
      <c r="R51" s="2">
        <v>29.0</v>
      </c>
      <c r="T51" s="2" t="s">
        <v>162</v>
      </c>
      <c r="U51" s="2" t="b">
        <v>0</v>
      </c>
      <c r="V51" s="5">
        <v>0.0068</v>
      </c>
      <c r="W51" s="5">
        <v>0.0093</v>
      </c>
      <c r="X51" s="5">
        <v>6.3E-5</v>
      </c>
      <c r="Y51" s="2">
        <v>14.32198142</v>
      </c>
      <c r="Z51" s="2" t="s">
        <v>182</v>
      </c>
      <c r="AA51" s="2" t="s">
        <v>33</v>
      </c>
    </row>
    <row r="52">
      <c r="A52" s="2">
        <v>1404.0</v>
      </c>
      <c r="B52" s="2" t="s">
        <v>183</v>
      </c>
      <c r="C52" s="2" t="s">
        <v>7</v>
      </c>
      <c r="D52" s="2" t="s">
        <v>184</v>
      </c>
      <c r="E52" s="2" t="s">
        <v>185</v>
      </c>
      <c r="F52" s="6">
        <v>45666.375</v>
      </c>
      <c r="G52" s="2">
        <v>44196.0</v>
      </c>
      <c r="H52" s="2">
        <v>44196.0</v>
      </c>
      <c r="I52" s="2">
        <v>35084.0</v>
      </c>
      <c r="J52" s="2">
        <v>235.0</v>
      </c>
      <c r="K52" s="2">
        <v>220.0</v>
      </c>
      <c r="L52" s="2">
        <v>7.0</v>
      </c>
      <c r="M52" s="4">
        <v>42920.0</v>
      </c>
      <c r="N52" s="2" t="s">
        <v>36</v>
      </c>
      <c r="O52" s="2">
        <v>71.0</v>
      </c>
      <c r="P52" s="2" t="s">
        <v>31</v>
      </c>
      <c r="Q52" s="2" t="s">
        <v>32</v>
      </c>
      <c r="R52" s="2">
        <v>32.0</v>
      </c>
      <c r="T52" s="2" t="s">
        <v>47</v>
      </c>
      <c r="U52" s="2" t="b">
        <v>0</v>
      </c>
      <c r="V52" s="5">
        <v>0.0063</v>
      </c>
      <c r="W52" s="5">
        <v>0.0318</v>
      </c>
      <c r="X52" s="5">
        <v>2.0E-4</v>
      </c>
      <c r="Y52" s="2">
        <v>195.0909091</v>
      </c>
      <c r="AA52" s="2" t="s">
        <v>33</v>
      </c>
    </row>
    <row r="53">
      <c r="A53" s="2">
        <v>1403.0</v>
      </c>
      <c r="B53" s="2" t="s">
        <v>186</v>
      </c>
      <c r="C53" s="2" t="s">
        <v>7</v>
      </c>
      <c r="D53" s="2" t="s">
        <v>187</v>
      </c>
      <c r="E53" s="2" t="s">
        <v>188</v>
      </c>
      <c r="F53" s="6">
        <v>45666.375</v>
      </c>
      <c r="G53" s="2">
        <v>55699.0</v>
      </c>
      <c r="H53" s="2">
        <v>55699.0</v>
      </c>
      <c r="I53" s="2">
        <v>47103.0</v>
      </c>
      <c r="J53" s="2">
        <v>285.0</v>
      </c>
      <c r="K53" s="2">
        <v>285.0</v>
      </c>
      <c r="L53" s="2">
        <v>7.0</v>
      </c>
      <c r="M53" s="4">
        <v>27101.0</v>
      </c>
      <c r="N53" s="2" t="s">
        <v>30</v>
      </c>
      <c r="O53" s="2">
        <v>70.0</v>
      </c>
      <c r="P53" s="2" t="s">
        <v>189</v>
      </c>
      <c r="Q53" s="2" t="s">
        <v>32</v>
      </c>
      <c r="R53" s="2">
        <v>28.0</v>
      </c>
      <c r="U53" s="2" t="b">
        <v>0</v>
      </c>
      <c r="V53" s="5">
        <v>0.0061</v>
      </c>
      <c r="W53" s="5">
        <v>0.0246</v>
      </c>
      <c r="X53" s="5">
        <v>1.49E-4</v>
      </c>
      <c r="Y53" s="2">
        <v>95.09122807</v>
      </c>
      <c r="Z53" s="2" t="s">
        <v>182</v>
      </c>
      <c r="AA53" s="2" t="s">
        <v>33</v>
      </c>
    </row>
    <row r="54">
      <c r="A54" s="2">
        <v>1406.0</v>
      </c>
      <c r="B54" s="2" t="s">
        <v>190</v>
      </c>
      <c r="C54" s="2" t="s">
        <v>7</v>
      </c>
      <c r="D54" s="2" t="s">
        <v>191</v>
      </c>
      <c r="E54" s="2" t="s">
        <v>192</v>
      </c>
      <c r="F54" s="6">
        <v>45666.625</v>
      </c>
      <c r="G54" s="2">
        <v>44253.0</v>
      </c>
      <c r="H54" s="2">
        <v>44253.0</v>
      </c>
      <c r="I54" s="2">
        <v>35588.0</v>
      </c>
      <c r="J54" s="2">
        <v>205.0</v>
      </c>
      <c r="K54" s="2">
        <v>199.0</v>
      </c>
      <c r="L54" s="2">
        <v>5.0</v>
      </c>
      <c r="M54" s="4">
        <v>22934.0</v>
      </c>
      <c r="N54" s="2" t="s">
        <v>36</v>
      </c>
      <c r="O54" s="2">
        <v>71.0</v>
      </c>
      <c r="P54" s="2" t="s">
        <v>31</v>
      </c>
      <c r="Q54" s="2" t="s">
        <v>32</v>
      </c>
      <c r="R54" s="2">
        <v>18.0</v>
      </c>
      <c r="T54" s="7" t="str">
        <f>IFERROR(__xludf.DUMMYFUNCTION("AI(""has offer Come X Pay X"",D54)"),"has offer Come X Pay X")</f>
        <v>has offer Come X Pay X</v>
      </c>
      <c r="U54" s="2" t="b">
        <v>0</v>
      </c>
      <c r="V54" s="5">
        <v>0.0056</v>
      </c>
      <c r="W54" s="5">
        <v>0.0251</v>
      </c>
      <c r="X54" s="5">
        <v>1.4E-4</v>
      </c>
      <c r="Y54" s="2">
        <v>115.2462312</v>
      </c>
      <c r="AA54" s="2" t="s">
        <v>33</v>
      </c>
    </row>
    <row r="55">
      <c r="A55" s="2">
        <v>1405.0</v>
      </c>
      <c r="B55" s="2" t="s">
        <v>193</v>
      </c>
      <c r="C55" s="2" t="s">
        <v>7</v>
      </c>
      <c r="D55" s="2" t="s">
        <v>194</v>
      </c>
      <c r="E55" s="2" t="s">
        <v>195</v>
      </c>
      <c r="F55" s="6">
        <v>45666.625</v>
      </c>
      <c r="G55" s="2">
        <v>55789.0</v>
      </c>
      <c r="H55" s="2">
        <v>55789.0</v>
      </c>
      <c r="I55" s="2">
        <v>47689.0</v>
      </c>
      <c r="J55" s="2">
        <v>236.0</v>
      </c>
      <c r="K55" s="2">
        <v>230.0</v>
      </c>
      <c r="L55" s="2">
        <v>4.0</v>
      </c>
      <c r="M55" s="4">
        <v>12268.0</v>
      </c>
      <c r="N55" s="2" t="s">
        <v>30</v>
      </c>
      <c r="O55" s="2">
        <v>70.0</v>
      </c>
      <c r="P55" s="2" t="s">
        <v>31</v>
      </c>
      <c r="Q55" s="2" t="s">
        <v>32</v>
      </c>
      <c r="R55" s="2">
        <v>31.0</v>
      </c>
      <c r="T55" s="2" t="s">
        <v>47</v>
      </c>
      <c r="U55" s="2" t="b">
        <v>0</v>
      </c>
      <c r="V55" s="5">
        <v>0.0048</v>
      </c>
      <c r="W55" s="5">
        <v>0.0174</v>
      </c>
      <c r="X55" s="5">
        <v>8.4E-5</v>
      </c>
      <c r="Y55" s="2">
        <v>53.33913043</v>
      </c>
      <c r="AA55" s="2" t="s">
        <v>33</v>
      </c>
    </row>
    <row r="56">
      <c r="A56" s="2">
        <v>1400.0</v>
      </c>
      <c r="B56" s="2" t="s">
        <v>196</v>
      </c>
      <c r="C56" s="2" t="s">
        <v>7</v>
      </c>
      <c r="D56" s="2" t="s">
        <v>197</v>
      </c>
      <c r="E56" s="2" t="e">
        <v>#N/A</v>
      </c>
      <c r="F56" s="6">
        <v>45666.708333333336</v>
      </c>
      <c r="G56" s="2">
        <v>44256.0</v>
      </c>
      <c r="H56" s="2">
        <v>44256.0</v>
      </c>
      <c r="I56" s="2">
        <v>35612.0</v>
      </c>
      <c r="J56" s="2">
        <v>234.0</v>
      </c>
      <c r="K56" s="2">
        <v>224.0</v>
      </c>
      <c r="L56" s="2">
        <v>2.0</v>
      </c>
      <c r="M56" s="4">
        <v>42868.0</v>
      </c>
      <c r="N56" s="2" t="s">
        <v>36</v>
      </c>
      <c r="O56" s="2">
        <v>71.0</v>
      </c>
      <c r="P56" s="2" t="s">
        <v>31</v>
      </c>
      <c r="Q56" s="2" t="s">
        <v>32</v>
      </c>
      <c r="R56" s="2">
        <v>34.0</v>
      </c>
      <c r="U56" s="2" t="b">
        <v>0</v>
      </c>
      <c r="V56" s="5">
        <v>0.0063</v>
      </c>
      <c r="W56" s="5">
        <v>0.0089</v>
      </c>
      <c r="X56" s="5">
        <v>5.6E-5</v>
      </c>
      <c r="Y56" s="2">
        <v>191.375</v>
      </c>
      <c r="AA56" s="2" t="s">
        <v>33</v>
      </c>
    </row>
    <row r="57">
      <c r="A57" s="2">
        <v>1399.0</v>
      </c>
      <c r="B57" s="2" t="s">
        <v>198</v>
      </c>
      <c r="C57" s="2" t="s">
        <v>7</v>
      </c>
      <c r="D57" s="2" t="s">
        <v>199</v>
      </c>
      <c r="E57" s="2" t="e">
        <v>#N/A</v>
      </c>
      <c r="F57" s="6">
        <v>45666.708333333336</v>
      </c>
      <c r="G57" s="2">
        <v>55798.0</v>
      </c>
      <c r="H57" s="2">
        <v>55798.0</v>
      </c>
      <c r="I57" s="2">
        <v>47351.0</v>
      </c>
      <c r="J57" s="2">
        <v>238.0</v>
      </c>
      <c r="K57" s="2">
        <v>230.0</v>
      </c>
      <c r="L57" s="2">
        <v>5.0</v>
      </c>
      <c r="M57" s="4">
        <v>17694.0</v>
      </c>
      <c r="N57" s="2" t="s">
        <v>30</v>
      </c>
      <c r="O57" s="2">
        <v>70.0</v>
      </c>
      <c r="P57" s="2" t="s">
        <v>31</v>
      </c>
      <c r="Q57" s="2" t="s">
        <v>32</v>
      </c>
      <c r="R57" s="2">
        <v>42.0</v>
      </c>
      <c r="T57" s="2" t="s">
        <v>200</v>
      </c>
      <c r="U57" s="2" t="b">
        <v>0</v>
      </c>
      <c r="V57" s="5">
        <v>0.0049</v>
      </c>
      <c r="W57" s="5">
        <v>0.0217</v>
      </c>
      <c r="X57" s="5">
        <v>1.06E-4</v>
      </c>
      <c r="Y57" s="2">
        <v>76.93043478</v>
      </c>
      <c r="AA57" s="2" t="s">
        <v>33</v>
      </c>
    </row>
    <row r="58">
      <c r="A58" s="2">
        <v>1408.0</v>
      </c>
      <c r="B58" s="2" t="s">
        <v>201</v>
      </c>
      <c r="C58" s="2" t="s">
        <v>7</v>
      </c>
      <c r="D58" s="2" t="s">
        <v>202</v>
      </c>
      <c r="E58" s="2" t="s">
        <v>203</v>
      </c>
      <c r="F58" s="6">
        <v>45667.708333333336</v>
      </c>
      <c r="G58" s="2">
        <v>44493.0</v>
      </c>
      <c r="H58" s="2">
        <v>44493.0</v>
      </c>
      <c r="I58" s="2">
        <v>35583.0</v>
      </c>
      <c r="J58" s="2">
        <v>211.0</v>
      </c>
      <c r="K58" s="2">
        <v>198.0</v>
      </c>
      <c r="L58" s="2">
        <v>2.0</v>
      </c>
      <c r="M58" s="4">
        <v>4906.0</v>
      </c>
      <c r="N58" s="2" t="s">
        <v>36</v>
      </c>
      <c r="O58" s="2">
        <v>71.0</v>
      </c>
      <c r="P58" s="2" t="s">
        <v>31</v>
      </c>
      <c r="Q58" s="2" t="s">
        <v>32</v>
      </c>
      <c r="R58" s="2">
        <v>43.0</v>
      </c>
      <c r="U58" s="2" t="b">
        <v>0</v>
      </c>
      <c r="V58" s="5">
        <v>0.0056</v>
      </c>
      <c r="W58" s="5">
        <v>0.0101</v>
      </c>
      <c r="X58" s="5">
        <v>5.6E-5</v>
      </c>
      <c r="Y58" s="2">
        <v>24.77777778</v>
      </c>
      <c r="AA58" s="2" t="s">
        <v>33</v>
      </c>
    </row>
    <row r="59">
      <c r="A59" s="2">
        <v>1407.0</v>
      </c>
      <c r="B59" s="2" t="s">
        <v>204</v>
      </c>
      <c r="C59" s="2" t="s">
        <v>7</v>
      </c>
      <c r="D59" s="2" t="s">
        <v>205</v>
      </c>
      <c r="E59" s="2" t="s">
        <v>206</v>
      </c>
      <c r="F59" s="6">
        <v>45667.708333333336</v>
      </c>
      <c r="G59" s="2">
        <v>55954.0</v>
      </c>
      <c r="H59" s="2">
        <v>55954.0</v>
      </c>
      <c r="I59" s="2">
        <v>47036.0</v>
      </c>
      <c r="J59" s="2">
        <v>233.0</v>
      </c>
      <c r="K59" s="2">
        <v>231.0</v>
      </c>
      <c r="L59" s="2">
        <v>3.0</v>
      </c>
      <c r="M59" s="4">
        <v>35468.0</v>
      </c>
      <c r="N59" s="2" t="s">
        <v>30</v>
      </c>
      <c r="O59" s="2">
        <v>70.0</v>
      </c>
      <c r="P59" s="2" t="s">
        <v>31</v>
      </c>
      <c r="Q59" s="2" t="s">
        <v>32</v>
      </c>
      <c r="R59" s="2">
        <v>35.0</v>
      </c>
      <c r="T59" s="2" t="s">
        <v>47</v>
      </c>
      <c r="U59" s="2" t="b">
        <v>0</v>
      </c>
      <c r="V59" s="5">
        <v>0.0049</v>
      </c>
      <c r="W59" s="5">
        <v>0.013</v>
      </c>
      <c r="X59" s="5">
        <v>6.4E-5</v>
      </c>
      <c r="Y59" s="2">
        <v>153.5411255</v>
      </c>
      <c r="AA59" s="2" t="s">
        <v>33</v>
      </c>
    </row>
    <row r="60">
      <c r="A60" s="2">
        <v>1410.0</v>
      </c>
      <c r="B60" s="2" t="s">
        <v>207</v>
      </c>
      <c r="C60" s="2" t="s">
        <v>7</v>
      </c>
      <c r="D60" s="2" t="s">
        <v>208</v>
      </c>
      <c r="E60" s="2" t="s">
        <v>209</v>
      </c>
      <c r="F60" s="6">
        <v>45667.791666666664</v>
      </c>
      <c r="G60" s="2">
        <v>44386.0</v>
      </c>
      <c r="H60" s="2">
        <v>44386.0</v>
      </c>
      <c r="I60" s="2">
        <v>35762.0</v>
      </c>
      <c r="J60" s="2">
        <v>380.0</v>
      </c>
      <c r="K60" s="2">
        <v>361.0</v>
      </c>
      <c r="L60" s="2">
        <v>11.0</v>
      </c>
      <c r="M60" s="4">
        <v>69187.0</v>
      </c>
      <c r="N60" s="2" t="s">
        <v>36</v>
      </c>
      <c r="O60" s="2">
        <v>71.0</v>
      </c>
      <c r="P60" s="2" t="s">
        <v>31</v>
      </c>
      <c r="Q60" s="2" t="s">
        <v>32</v>
      </c>
      <c r="R60" s="2">
        <v>37.0</v>
      </c>
      <c r="U60" s="2" t="b">
        <v>0</v>
      </c>
      <c r="V60" s="5">
        <v>0.0101</v>
      </c>
      <c r="W60" s="5">
        <v>0.0305</v>
      </c>
      <c r="X60" s="5">
        <v>3.08E-4</v>
      </c>
      <c r="Y60" s="2">
        <v>191.6537396</v>
      </c>
      <c r="Z60" s="2">
        <v>5149.0</v>
      </c>
      <c r="AA60" s="2" t="s">
        <v>33</v>
      </c>
    </row>
    <row r="61">
      <c r="A61" s="2">
        <v>1409.0</v>
      </c>
      <c r="B61" s="2" t="s">
        <v>210</v>
      </c>
      <c r="C61" s="2" t="s">
        <v>7</v>
      </c>
      <c r="D61" s="2" t="s">
        <v>211</v>
      </c>
      <c r="E61" s="2" t="s">
        <v>212</v>
      </c>
      <c r="F61" s="6">
        <v>45667.791666666664</v>
      </c>
      <c r="G61" s="2">
        <v>55921.0</v>
      </c>
      <c r="H61" s="2">
        <v>55921.0</v>
      </c>
      <c r="I61" s="2">
        <v>47899.0</v>
      </c>
      <c r="J61" s="2">
        <v>392.0</v>
      </c>
      <c r="K61" s="2">
        <v>383.0</v>
      </c>
      <c r="L61" s="2">
        <v>5.0</v>
      </c>
      <c r="M61" s="4">
        <v>14324.0</v>
      </c>
      <c r="N61" s="2" t="s">
        <v>30</v>
      </c>
      <c r="O61" s="2">
        <v>70.0</v>
      </c>
      <c r="P61" s="2" t="s">
        <v>31</v>
      </c>
      <c r="Q61" s="2" t="s">
        <v>32</v>
      </c>
      <c r="R61" s="2">
        <v>35.0</v>
      </c>
      <c r="T61" s="2" t="s">
        <v>47</v>
      </c>
      <c r="U61" s="2" t="b">
        <v>0</v>
      </c>
      <c r="V61" s="5">
        <v>0.008</v>
      </c>
      <c r="W61" s="5">
        <v>0.0131</v>
      </c>
      <c r="X61" s="5">
        <v>1.04E-4</v>
      </c>
      <c r="Y61" s="2">
        <v>37.39947781</v>
      </c>
      <c r="Z61" s="2">
        <v>5149.0</v>
      </c>
      <c r="AA61" s="2" t="s">
        <v>33</v>
      </c>
    </row>
    <row r="62">
      <c r="A62" s="2">
        <v>1412.0</v>
      </c>
      <c r="B62" s="2" t="s">
        <v>213</v>
      </c>
      <c r="C62" s="2" t="s">
        <v>7</v>
      </c>
      <c r="D62" s="2" t="s">
        <v>214</v>
      </c>
      <c r="E62" s="2" t="s">
        <v>215</v>
      </c>
      <c r="F62" s="6">
        <v>45668.458333333336</v>
      </c>
      <c r="G62" s="2">
        <v>44409.0</v>
      </c>
      <c r="H62" s="2">
        <v>44409.0</v>
      </c>
      <c r="I62" s="2">
        <v>35451.0</v>
      </c>
      <c r="J62" s="2">
        <v>239.0</v>
      </c>
      <c r="K62" s="2">
        <v>228.0</v>
      </c>
      <c r="L62" s="2">
        <v>0.0</v>
      </c>
      <c r="M62" s="2">
        <v>0.0</v>
      </c>
      <c r="N62" s="2" t="s">
        <v>36</v>
      </c>
      <c r="O62" s="2">
        <v>71.0</v>
      </c>
      <c r="P62" s="2" t="s">
        <v>31</v>
      </c>
      <c r="Q62" s="2" t="s">
        <v>32</v>
      </c>
      <c r="R62" s="2">
        <v>25.0</v>
      </c>
      <c r="T62" s="7" t="str">
        <f>IFERROR(__xludf.DUMMYFUNCTION("AI(""has offer Come X Pay X"",D62)"),"Offer")</f>
        <v>Offer</v>
      </c>
      <c r="U62" s="2" t="b">
        <v>0</v>
      </c>
      <c r="V62" s="5">
        <v>0.0064</v>
      </c>
      <c r="W62" s="5">
        <v>0.0</v>
      </c>
      <c r="X62" s="5">
        <v>0.0</v>
      </c>
      <c r="Y62" s="2">
        <v>0.0</v>
      </c>
      <c r="AA62" s="2" t="s">
        <v>33</v>
      </c>
    </row>
    <row r="63">
      <c r="A63" s="2">
        <v>1411.0</v>
      </c>
      <c r="B63" s="2" t="s">
        <v>216</v>
      </c>
      <c r="C63" s="2" t="s">
        <v>7</v>
      </c>
      <c r="D63" s="2" t="s">
        <v>217</v>
      </c>
      <c r="E63" s="2" t="s">
        <v>218</v>
      </c>
      <c r="F63" s="6">
        <v>45668.458333333336</v>
      </c>
      <c r="G63" s="2">
        <v>55898.0</v>
      </c>
      <c r="H63" s="2">
        <v>55898.0</v>
      </c>
      <c r="I63" s="2">
        <v>47550.0</v>
      </c>
      <c r="J63" s="2">
        <v>227.0</v>
      </c>
      <c r="K63" s="2">
        <v>224.0</v>
      </c>
      <c r="L63" s="2">
        <v>2.0</v>
      </c>
      <c r="M63" s="4">
        <v>9594.0</v>
      </c>
      <c r="N63" s="2" t="s">
        <v>30</v>
      </c>
      <c r="O63" s="2">
        <v>70.0</v>
      </c>
      <c r="P63" s="2" t="s">
        <v>31</v>
      </c>
      <c r="Q63" s="2" t="s">
        <v>32</v>
      </c>
      <c r="R63" s="2">
        <v>31.0</v>
      </c>
      <c r="T63" s="2" t="s">
        <v>47</v>
      </c>
      <c r="U63" s="2" t="b">
        <v>0</v>
      </c>
      <c r="V63" s="5">
        <v>0.0047</v>
      </c>
      <c r="W63" s="5">
        <v>0.0089</v>
      </c>
      <c r="X63" s="5">
        <v>4.2E-5</v>
      </c>
      <c r="Y63" s="2">
        <v>42.83035714</v>
      </c>
      <c r="Z63" s="2" t="s">
        <v>219</v>
      </c>
      <c r="AA63" s="2" t="s">
        <v>33</v>
      </c>
    </row>
    <row r="64">
      <c r="A64" s="2">
        <v>1414.0</v>
      </c>
      <c r="B64" s="2" t="s">
        <v>220</v>
      </c>
      <c r="C64" s="2" t="s">
        <v>7</v>
      </c>
      <c r="D64" s="2" t="s">
        <v>221</v>
      </c>
      <c r="E64" s="2" t="s">
        <v>222</v>
      </c>
      <c r="F64" s="6">
        <v>45668.541666666664</v>
      </c>
      <c r="G64" s="2">
        <v>44388.0</v>
      </c>
      <c r="H64" s="2">
        <v>44388.0</v>
      </c>
      <c r="I64" s="2">
        <v>35689.0</v>
      </c>
      <c r="J64" s="2">
        <v>288.0</v>
      </c>
      <c r="K64" s="2">
        <v>280.0</v>
      </c>
      <c r="L64" s="2">
        <v>5.0</v>
      </c>
      <c r="M64" s="4">
        <v>16729.0</v>
      </c>
      <c r="N64" s="2" t="s">
        <v>36</v>
      </c>
      <c r="O64" s="2">
        <v>71.0</v>
      </c>
      <c r="P64" s="2" t="s">
        <v>31</v>
      </c>
      <c r="Q64" s="2" t="s">
        <v>32</v>
      </c>
      <c r="R64" s="2">
        <v>26.0</v>
      </c>
      <c r="T64" s="2" t="s">
        <v>143</v>
      </c>
      <c r="U64" s="2" t="b">
        <v>1</v>
      </c>
      <c r="V64" s="5">
        <v>0.0078</v>
      </c>
      <c r="W64" s="5">
        <v>0.0179</v>
      </c>
      <c r="X64" s="5">
        <v>1.4E-4</v>
      </c>
      <c r="Y64" s="2">
        <v>59.74642857</v>
      </c>
      <c r="AA64" s="2" t="s">
        <v>33</v>
      </c>
    </row>
    <row r="65">
      <c r="A65" s="2">
        <v>1413.0</v>
      </c>
      <c r="B65" s="2" t="s">
        <v>223</v>
      </c>
      <c r="C65" s="2" t="s">
        <v>7</v>
      </c>
      <c r="D65" s="2" t="s">
        <v>224</v>
      </c>
      <c r="E65" s="2" t="s">
        <v>225</v>
      </c>
      <c r="F65" s="6">
        <v>45668.541666666664</v>
      </c>
      <c r="G65" s="2">
        <v>55896.0</v>
      </c>
      <c r="H65" s="2">
        <v>55896.0</v>
      </c>
      <c r="I65" s="2">
        <v>47774.0</v>
      </c>
      <c r="J65" s="2">
        <v>317.0</v>
      </c>
      <c r="K65" s="2">
        <v>313.0</v>
      </c>
      <c r="L65" s="2">
        <v>7.0</v>
      </c>
      <c r="M65" s="4">
        <v>15276.0</v>
      </c>
      <c r="N65" s="2" t="s">
        <v>30</v>
      </c>
      <c r="O65" s="2">
        <v>70.0</v>
      </c>
      <c r="P65" s="2" t="s">
        <v>31</v>
      </c>
      <c r="Q65" s="2" t="s">
        <v>32</v>
      </c>
      <c r="R65" s="2">
        <v>31.0</v>
      </c>
      <c r="T65" s="2" t="s">
        <v>58</v>
      </c>
      <c r="U65" s="2" t="b">
        <v>0</v>
      </c>
      <c r="V65" s="5">
        <v>0.0066</v>
      </c>
      <c r="W65" s="5">
        <v>0.0224</v>
      </c>
      <c r="X65" s="5">
        <v>1.47E-4</v>
      </c>
      <c r="Y65" s="2">
        <v>48.80511182</v>
      </c>
      <c r="Z65" s="2">
        <v>5083.0</v>
      </c>
      <c r="AA65" s="2" t="s">
        <v>33</v>
      </c>
    </row>
    <row r="66">
      <c r="A66" s="2">
        <v>1416.0</v>
      </c>
      <c r="B66" s="2" t="s">
        <v>226</v>
      </c>
      <c r="C66" s="2" t="s">
        <v>7</v>
      </c>
      <c r="D66" s="2" t="s">
        <v>227</v>
      </c>
      <c r="E66" s="2" t="s">
        <v>228</v>
      </c>
      <c r="F66" s="6">
        <v>45668.625</v>
      </c>
      <c r="G66" s="2">
        <v>44411.0</v>
      </c>
      <c r="H66" s="2">
        <v>44411.0</v>
      </c>
      <c r="I66" s="2">
        <v>35755.0</v>
      </c>
      <c r="J66" s="2">
        <v>220.0</v>
      </c>
      <c r="K66" s="2">
        <v>210.0</v>
      </c>
      <c r="L66" s="2">
        <v>3.0</v>
      </c>
      <c r="M66" s="4">
        <v>38715.0</v>
      </c>
      <c r="N66" s="2" t="s">
        <v>36</v>
      </c>
      <c r="O66" s="2">
        <v>71.0</v>
      </c>
      <c r="P66" s="2" t="s">
        <v>31</v>
      </c>
      <c r="Q66" s="2" t="s">
        <v>32</v>
      </c>
      <c r="R66" s="2">
        <v>39.0</v>
      </c>
      <c r="T66" s="2" t="s">
        <v>47</v>
      </c>
      <c r="U66" s="2" t="b">
        <v>0</v>
      </c>
      <c r="V66" s="5">
        <v>0.0059</v>
      </c>
      <c r="W66" s="5">
        <v>0.0143</v>
      </c>
      <c r="X66" s="5">
        <v>8.4E-5</v>
      </c>
      <c r="Y66" s="2">
        <v>184.3571429</v>
      </c>
      <c r="AA66" s="2" t="s">
        <v>33</v>
      </c>
    </row>
    <row r="67">
      <c r="A67" s="2">
        <v>1415.0</v>
      </c>
      <c r="B67" s="2" t="s">
        <v>229</v>
      </c>
      <c r="C67" s="2" t="s">
        <v>7</v>
      </c>
      <c r="D67" s="2" t="s">
        <v>230</v>
      </c>
      <c r="E67" s="2" t="s">
        <v>231</v>
      </c>
      <c r="F67" s="6">
        <v>45668.625</v>
      </c>
      <c r="G67" s="2">
        <v>55937.0</v>
      </c>
      <c r="H67" s="2">
        <v>55937.0</v>
      </c>
      <c r="I67" s="2">
        <v>47867.0</v>
      </c>
      <c r="J67" s="2">
        <v>235.0</v>
      </c>
      <c r="K67" s="2">
        <v>227.0</v>
      </c>
      <c r="L67" s="2">
        <v>8.0</v>
      </c>
      <c r="M67" s="4">
        <v>125293.0</v>
      </c>
      <c r="N67" s="2" t="s">
        <v>30</v>
      </c>
      <c r="O67" s="2">
        <v>70.0</v>
      </c>
      <c r="P67" s="2" t="s">
        <v>31</v>
      </c>
      <c r="Q67" s="2" t="s">
        <v>32</v>
      </c>
      <c r="R67" s="2">
        <v>27.0</v>
      </c>
      <c r="T67" s="2" t="s">
        <v>47</v>
      </c>
      <c r="U67" s="2" t="b">
        <v>0</v>
      </c>
      <c r="V67" s="5">
        <v>0.0047</v>
      </c>
      <c r="W67" s="5">
        <v>0.0352</v>
      </c>
      <c r="X67" s="5">
        <v>1.67E-4</v>
      </c>
      <c r="Y67" s="2">
        <v>551.9515419</v>
      </c>
      <c r="Z67" s="2">
        <v>4763.0</v>
      </c>
      <c r="AA67" s="2" t="s">
        <v>33</v>
      </c>
    </row>
    <row r="68">
      <c r="A68" s="2">
        <v>1418.0</v>
      </c>
      <c r="B68" s="2" t="s">
        <v>232</v>
      </c>
      <c r="C68" s="2" t="s">
        <v>7</v>
      </c>
      <c r="D68" s="2" t="s">
        <v>233</v>
      </c>
      <c r="E68" s="2" t="s">
        <v>234</v>
      </c>
      <c r="F68" s="6">
        <v>45669.458333333336</v>
      </c>
      <c r="G68" s="2">
        <v>44488.0</v>
      </c>
      <c r="H68" s="2">
        <v>44488.0</v>
      </c>
      <c r="I68" s="2">
        <v>35561.0</v>
      </c>
      <c r="J68" s="2">
        <v>256.0</v>
      </c>
      <c r="K68" s="2">
        <v>242.0</v>
      </c>
      <c r="L68" s="2">
        <v>2.0</v>
      </c>
      <c r="M68" s="4">
        <v>3840.0</v>
      </c>
      <c r="N68" s="2" t="s">
        <v>36</v>
      </c>
      <c r="O68" s="2">
        <v>71.0</v>
      </c>
      <c r="P68" s="2" t="s">
        <v>31</v>
      </c>
      <c r="Q68" s="2" t="s">
        <v>32</v>
      </c>
      <c r="R68" s="2">
        <v>26.0</v>
      </c>
      <c r="T68" s="2" t="s">
        <v>47</v>
      </c>
      <c r="U68" s="2" t="b">
        <v>0</v>
      </c>
      <c r="V68" s="5">
        <v>0.0068</v>
      </c>
      <c r="W68" s="5">
        <v>0.0083</v>
      </c>
      <c r="X68" s="5">
        <v>5.6E-5</v>
      </c>
      <c r="Y68" s="2">
        <v>15.8677686</v>
      </c>
      <c r="AA68" s="2" t="s">
        <v>33</v>
      </c>
    </row>
    <row r="69">
      <c r="A69" s="2">
        <v>1417.0</v>
      </c>
      <c r="B69" s="2" t="s">
        <v>235</v>
      </c>
      <c r="C69" s="2" t="s">
        <v>7</v>
      </c>
      <c r="D69" s="2" t="s">
        <v>236</v>
      </c>
      <c r="E69" s="2" t="s">
        <v>237</v>
      </c>
      <c r="F69" s="6">
        <v>45669.458333333336</v>
      </c>
      <c r="G69" s="2">
        <v>55988.0</v>
      </c>
      <c r="H69" s="2">
        <v>55988.0</v>
      </c>
      <c r="I69" s="2">
        <v>47622.0</v>
      </c>
      <c r="J69" s="2">
        <v>254.0</v>
      </c>
      <c r="K69" s="2">
        <v>248.0</v>
      </c>
      <c r="L69" s="2">
        <v>6.0</v>
      </c>
      <c r="M69" s="4">
        <v>15262.0</v>
      </c>
      <c r="N69" s="2" t="s">
        <v>30</v>
      </c>
      <c r="O69" s="2">
        <v>70.0</v>
      </c>
      <c r="P69" s="2" t="s">
        <v>31</v>
      </c>
      <c r="Q69" s="2" t="s">
        <v>32</v>
      </c>
      <c r="R69" s="2">
        <v>32.0</v>
      </c>
      <c r="T69" s="2" t="s">
        <v>47</v>
      </c>
      <c r="U69" s="2" t="b">
        <v>0</v>
      </c>
      <c r="V69" s="5">
        <v>0.0052</v>
      </c>
      <c r="W69" s="5">
        <v>0.0242</v>
      </c>
      <c r="X69" s="5">
        <v>1.26E-4</v>
      </c>
      <c r="Y69" s="2">
        <v>61.54032258</v>
      </c>
      <c r="Z69" s="2">
        <v>835.0</v>
      </c>
      <c r="AA69" s="2" t="s">
        <v>33</v>
      </c>
    </row>
    <row r="70">
      <c r="A70" s="2">
        <v>1420.0</v>
      </c>
      <c r="B70" s="2" t="s">
        <v>238</v>
      </c>
      <c r="C70" s="2" t="s">
        <v>7</v>
      </c>
      <c r="D70" s="2" t="s">
        <v>239</v>
      </c>
      <c r="E70" s="2" t="s">
        <v>240</v>
      </c>
      <c r="F70" s="6">
        <v>45669.541666666664</v>
      </c>
      <c r="G70" s="2">
        <v>44432.0</v>
      </c>
      <c r="H70" s="2">
        <v>44432.0</v>
      </c>
      <c r="I70" s="2">
        <v>35702.0</v>
      </c>
      <c r="J70" s="2">
        <v>255.0</v>
      </c>
      <c r="K70" s="2">
        <v>241.0</v>
      </c>
      <c r="L70" s="2">
        <v>3.0</v>
      </c>
      <c r="M70" s="4">
        <v>9114.0</v>
      </c>
      <c r="N70" s="2" t="s">
        <v>36</v>
      </c>
      <c r="O70" s="2">
        <v>71.0</v>
      </c>
      <c r="P70" s="2" t="s">
        <v>31</v>
      </c>
      <c r="Q70" s="2" t="s">
        <v>32</v>
      </c>
      <c r="R70" s="2">
        <v>39.0</v>
      </c>
      <c r="U70" s="2" t="b">
        <v>0</v>
      </c>
      <c r="V70" s="5">
        <v>0.0068</v>
      </c>
      <c r="W70" s="5">
        <v>0.0124</v>
      </c>
      <c r="X70" s="5">
        <v>8.4E-5</v>
      </c>
      <c r="Y70" s="2">
        <v>37.81742739</v>
      </c>
      <c r="AA70" s="2" t="s">
        <v>33</v>
      </c>
    </row>
    <row r="71">
      <c r="A71" s="2">
        <v>1419.0</v>
      </c>
      <c r="B71" s="2" t="s">
        <v>241</v>
      </c>
      <c r="C71" s="2" t="s">
        <v>7</v>
      </c>
      <c r="D71" s="2" t="s">
        <v>242</v>
      </c>
      <c r="E71" s="2" t="s">
        <v>243</v>
      </c>
      <c r="F71" s="6">
        <v>45669.541666666664</v>
      </c>
      <c r="G71" s="2">
        <v>55970.0</v>
      </c>
      <c r="H71" s="2">
        <v>55970.0</v>
      </c>
      <c r="I71" s="2">
        <v>47902.0</v>
      </c>
      <c r="J71" s="2">
        <v>295.0</v>
      </c>
      <c r="K71" s="2">
        <v>290.0</v>
      </c>
      <c r="L71" s="2">
        <v>4.0</v>
      </c>
      <c r="M71" s="4">
        <v>11507.0</v>
      </c>
      <c r="N71" s="2" t="s">
        <v>30</v>
      </c>
      <c r="O71" s="2">
        <v>70.0</v>
      </c>
      <c r="P71" s="2" t="s">
        <v>31</v>
      </c>
      <c r="Q71" s="2" t="s">
        <v>32</v>
      </c>
      <c r="R71" s="2">
        <v>23.0</v>
      </c>
      <c r="U71" s="2" t="b">
        <v>0</v>
      </c>
      <c r="V71" s="5">
        <v>0.0061</v>
      </c>
      <c r="W71" s="5">
        <v>0.0138</v>
      </c>
      <c r="X71" s="5">
        <v>8.4E-5</v>
      </c>
      <c r="Y71" s="2">
        <v>39.67931034</v>
      </c>
      <c r="Z71" s="2">
        <v>3854.0</v>
      </c>
      <c r="AA71" s="2" t="s">
        <v>33</v>
      </c>
    </row>
    <row r="72">
      <c r="A72" s="2">
        <v>1422.0</v>
      </c>
      <c r="B72" s="2" t="s">
        <v>244</v>
      </c>
      <c r="C72" s="2" t="s">
        <v>7</v>
      </c>
      <c r="D72" s="2" t="s">
        <v>245</v>
      </c>
      <c r="E72" s="2" t="s">
        <v>246</v>
      </c>
      <c r="F72" s="6">
        <v>45669.625</v>
      </c>
      <c r="G72" s="2">
        <v>44457.0</v>
      </c>
      <c r="H72" s="2">
        <v>44457.0</v>
      </c>
      <c r="I72" s="2">
        <v>35767.0</v>
      </c>
      <c r="J72" s="2">
        <v>324.0</v>
      </c>
      <c r="K72" s="2">
        <v>314.0</v>
      </c>
      <c r="L72" s="2">
        <v>2.0</v>
      </c>
      <c r="M72" s="4">
        <v>11877.0</v>
      </c>
      <c r="N72" s="2" t="s">
        <v>36</v>
      </c>
      <c r="O72" s="2">
        <v>71.0</v>
      </c>
      <c r="P72" s="2" t="s">
        <v>31</v>
      </c>
      <c r="Q72" s="2" t="s">
        <v>32</v>
      </c>
      <c r="R72" s="2">
        <v>25.0</v>
      </c>
      <c r="U72" s="2" t="b">
        <v>0</v>
      </c>
      <c r="V72" s="5">
        <v>0.0088</v>
      </c>
      <c r="W72" s="5">
        <v>0.0064</v>
      </c>
      <c r="X72" s="5">
        <v>5.6E-5</v>
      </c>
      <c r="Y72" s="2">
        <v>37.82484076</v>
      </c>
      <c r="AA72" s="2" t="s">
        <v>33</v>
      </c>
    </row>
    <row r="73">
      <c r="A73" s="2">
        <v>1421.0</v>
      </c>
      <c r="B73" s="2" t="s">
        <v>247</v>
      </c>
      <c r="C73" s="2" t="s">
        <v>7</v>
      </c>
      <c r="D73" s="2" t="s">
        <v>248</v>
      </c>
      <c r="E73" s="2" t="s">
        <v>249</v>
      </c>
      <c r="F73" s="6">
        <v>45669.625</v>
      </c>
      <c r="G73" s="2">
        <v>56008.0</v>
      </c>
      <c r="H73" s="2">
        <v>56008.0</v>
      </c>
      <c r="I73" s="2">
        <v>47820.0</v>
      </c>
      <c r="J73" s="2">
        <v>325.0</v>
      </c>
      <c r="K73" s="2">
        <v>322.0</v>
      </c>
      <c r="L73" s="2">
        <v>4.0</v>
      </c>
      <c r="M73" s="4">
        <v>7497.0</v>
      </c>
      <c r="N73" s="2" t="s">
        <v>30</v>
      </c>
      <c r="O73" s="2">
        <v>70.0</v>
      </c>
      <c r="P73" s="2" t="s">
        <v>31</v>
      </c>
      <c r="Q73" s="2" t="s">
        <v>32</v>
      </c>
      <c r="R73" s="2">
        <v>26.0</v>
      </c>
      <c r="U73" s="2" t="b">
        <v>0</v>
      </c>
      <c r="V73" s="5">
        <v>0.0067</v>
      </c>
      <c r="W73" s="5">
        <v>0.0124</v>
      </c>
      <c r="X73" s="5">
        <v>8.4E-5</v>
      </c>
      <c r="Y73" s="2">
        <v>23.2826087</v>
      </c>
      <c r="Z73" s="2">
        <v>1594.0</v>
      </c>
      <c r="AA73" s="2" t="s">
        <v>33</v>
      </c>
    </row>
    <row r="74">
      <c r="A74" s="2">
        <v>1423.0</v>
      </c>
      <c r="B74" s="2" t="s">
        <v>250</v>
      </c>
      <c r="C74" s="2" t="s">
        <v>7</v>
      </c>
      <c r="D74" s="2" t="s">
        <v>251</v>
      </c>
      <c r="E74" s="2" t="s">
        <v>252</v>
      </c>
      <c r="F74" s="6">
        <v>45670.46597222222</v>
      </c>
      <c r="G74" s="2">
        <v>56174.0</v>
      </c>
      <c r="H74" s="2">
        <v>56174.0</v>
      </c>
      <c r="I74" s="2">
        <v>47933.0</v>
      </c>
      <c r="J74" s="2">
        <v>235.0</v>
      </c>
      <c r="K74" s="2">
        <v>233.0</v>
      </c>
      <c r="L74" s="2">
        <v>4.0</v>
      </c>
      <c r="M74" s="4">
        <v>7323.0</v>
      </c>
      <c r="N74" s="2" t="s">
        <v>30</v>
      </c>
      <c r="O74" s="2">
        <v>70.0</v>
      </c>
      <c r="P74" s="2" t="s">
        <v>31</v>
      </c>
      <c r="Q74" s="2" t="s">
        <v>32</v>
      </c>
      <c r="R74" s="2">
        <v>27.0</v>
      </c>
      <c r="T74" s="2" t="s">
        <v>47</v>
      </c>
      <c r="U74" s="2" t="b">
        <v>0</v>
      </c>
      <c r="V74" s="5">
        <v>0.0049</v>
      </c>
      <c r="W74" s="5">
        <v>0.0172</v>
      </c>
      <c r="X74" s="5">
        <v>8.3E-5</v>
      </c>
      <c r="Y74" s="2">
        <v>31.42918455</v>
      </c>
      <c r="AA74" s="2" t="s">
        <v>33</v>
      </c>
    </row>
    <row r="75">
      <c r="A75" s="2">
        <v>1424.0</v>
      </c>
      <c r="B75" s="2" t="s">
        <v>253</v>
      </c>
      <c r="C75" s="2" t="s">
        <v>7</v>
      </c>
      <c r="D75" s="2" t="s">
        <v>254</v>
      </c>
      <c r="E75" s="2" t="s">
        <v>255</v>
      </c>
      <c r="F75" s="6">
        <v>45670.46666666667</v>
      </c>
      <c r="G75" s="2">
        <v>44735.0</v>
      </c>
      <c r="H75" s="2">
        <v>44735.0</v>
      </c>
      <c r="I75" s="2">
        <v>35733.0</v>
      </c>
      <c r="J75" s="2">
        <v>246.0</v>
      </c>
      <c r="K75" s="2">
        <v>235.0</v>
      </c>
      <c r="L75" s="2">
        <v>3.0</v>
      </c>
      <c r="M75" s="4">
        <v>5608.0</v>
      </c>
      <c r="N75" s="2" t="s">
        <v>36</v>
      </c>
      <c r="O75" s="2">
        <v>71.0</v>
      </c>
      <c r="P75" s="2" t="s">
        <v>31</v>
      </c>
      <c r="Q75" s="2" t="s">
        <v>32</v>
      </c>
      <c r="R75" s="2">
        <v>30.0</v>
      </c>
      <c r="T75" s="2" t="s">
        <v>47</v>
      </c>
      <c r="U75" s="2" t="b">
        <v>0</v>
      </c>
      <c r="V75" s="5">
        <v>0.0066</v>
      </c>
      <c r="W75" s="5">
        <v>0.0128</v>
      </c>
      <c r="X75" s="5">
        <v>8.4E-5</v>
      </c>
      <c r="Y75" s="2">
        <v>23.86382979</v>
      </c>
      <c r="AA75" s="2" t="s">
        <v>33</v>
      </c>
    </row>
    <row r="76">
      <c r="A76" s="2">
        <v>1426.0</v>
      </c>
      <c r="B76" s="2" t="s">
        <v>256</v>
      </c>
      <c r="C76" s="2" t="s">
        <v>7</v>
      </c>
      <c r="D76" s="2" t="s">
        <v>257</v>
      </c>
      <c r="E76" s="2" t="s">
        <v>258</v>
      </c>
      <c r="F76" s="6">
        <v>45670.625</v>
      </c>
      <c r="G76" s="2">
        <v>44747.0</v>
      </c>
      <c r="H76" s="2">
        <v>44747.0</v>
      </c>
      <c r="I76" s="2">
        <v>36093.0</v>
      </c>
      <c r="J76" s="2">
        <v>282.0</v>
      </c>
      <c r="K76" s="2">
        <v>268.0</v>
      </c>
      <c r="L76" s="2">
        <v>3.0</v>
      </c>
      <c r="M76" s="4">
        <v>8139.0</v>
      </c>
      <c r="N76" s="2" t="s">
        <v>36</v>
      </c>
      <c r="O76" s="2">
        <v>71.0</v>
      </c>
      <c r="P76" s="2" t="s">
        <v>31</v>
      </c>
      <c r="Q76" s="2" t="s">
        <v>32</v>
      </c>
      <c r="R76" s="2">
        <v>25.0</v>
      </c>
      <c r="T76" s="2" t="s">
        <v>47</v>
      </c>
      <c r="U76" s="2" t="b">
        <v>0</v>
      </c>
      <c r="V76" s="5">
        <v>0.0074</v>
      </c>
      <c r="W76" s="5">
        <v>0.0112</v>
      </c>
      <c r="X76" s="5">
        <v>8.3E-5</v>
      </c>
      <c r="Y76" s="2">
        <v>30.36940299</v>
      </c>
      <c r="AA76" s="2" t="s">
        <v>33</v>
      </c>
    </row>
    <row r="77">
      <c r="A77" s="2">
        <v>1425.0</v>
      </c>
      <c r="B77" s="2" t="s">
        <v>259</v>
      </c>
      <c r="C77" s="2" t="s">
        <v>7</v>
      </c>
      <c r="D77" s="2" t="s">
        <v>260</v>
      </c>
      <c r="E77" s="2" t="s">
        <v>261</v>
      </c>
      <c r="F77" s="6">
        <v>45670.625</v>
      </c>
      <c r="G77" s="2">
        <v>56173.0</v>
      </c>
      <c r="H77" s="2">
        <v>56173.0</v>
      </c>
      <c r="I77" s="2">
        <v>48151.0</v>
      </c>
      <c r="J77" s="2">
        <v>255.0</v>
      </c>
      <c r="K77" s="2">
        <v>253.0</v>
      </c>
      <c r="L77" s="2">
        <v>4.0</v>
      </c>
      <c r="M77" s="4">
        <v>15901.0</v>
      </c>
      <c r="N77" s="2" t="s">
        <v>30</v>
      </c>
      <c r="O77" s="2">
        <v>70.0</v>
      </c>
      <c r="P77" s="2" t="s">
        <v>31</v>
      </c>
      <c r="Q77" s="2" t="s">
        <v>32</v>
      </c>
      <c r="R77" s="2">
        <v>27.0</v>
      </c>
      <c r="T77" s="2" t="s">
        <v>47</v>
      </c>
      <c r="U77" s="2" t="b">
        <v>0</v>
      </c>
      <c r="V77" s="5">
        <v>0.0053</v>
      </c>
      <c r="W77" s="5">
        <v>0.0158</v>
      </c>
      <c r="X77" s="5">
        <v>8.3E-5</v>
      </c>
      <c r="Y77" s="2">
        <v>62.84980237</v>
      </c>
      <c r="AA77" s="2" t="s">
        <v>33</v>
      </c>
    </row>
    <row r="78">
      <c r="A78" s="2">
        <v>1428.0</v>
      </c>
      <c r="B78" s="2" t="s">
        <v>262</v>
      </c>
      <c r="C78" s="2" t="s">
        <v>7</v>
      </c>
      <c r="D78" s="2" t="s">
        <v>263</v>
      </c>
      <c r="E78" s="2" t="s">
        <v>264</v>
      </c>
      <c r="F78" s="6">
        <v>45670.708333333336</v>
      </c>
      <c r="G78" s="2">
        <v>44748.0</v>
      </c>
      <c r="H78" s="2">
        <v>44748.0</v>
      </c>
      <c r="I78" s="2">
        <v>35954.0</v>
      </c>
      <c r="J78" s="2">
        <v>283.0</v>
      </c>
      <c r="K78" s="2">
        <v>270.0</v>
      </c>
      <c r="L78" s="2">
        <v>2.0</v>
      </c>
      <c r="M78" s="4">
        <v>6576.0</v>
      </c>
      <c r="N78" s="2" t="s">
        <v>36</v>
      </c>
      <c r="O78" s="2">
        <v>71.0</v>
      </c>
      <c r="P78" s="2" t="s">
        <v>31</v>
      </c>
      <c r="Q78" s="2" t="s">
        <v>32</v>
      </c>
      <c r="R78" s="2">
        <v>45.0</v>
      </c>
      <c r="T78" s="2" t="s">
        <v>265</v>
      </c>
      <c r="U78" s="2" t="b">
        <v>0</v>
      </c>
      <c r="V78" s="5">
        <v>0.0075</v>
      </c>
      <c r="W78" s="5">
        <v>0.0074</v>
      </c>
      <c r="X78" s="5">
        <v>5.6E-5</v>
      </c>
      <c r="Y78" s="2">
        <v>24.35555556</v>
      </c>
      <c r="AA78" s="2" t="s">
        <v>33</v>
      </c>
    </row>
    <row r="79">
      <c r="A79" s="2">
        <v>1427.0</v>
      </c>
      <c r="B79" s="2" t="s">
        <v>266</v>
      </c>
      <c r="C79" s="2" t="s">
        <v>7</v>
      </c>
      <c r="D79" s="2" t="s">
        <v>267</v>
      </c>
      <c r="E79" s="2" t="s">
        <v>268</v>
      </c>
      <c r="F79" s="6">
        <v>45670.708333333336</v>
      </c>
      <c r="G79" s="2">
        <v>56195.0</v>
      </c>
      <c r="H79" s="2">
        <v>56195.0</v>
      </c>
      <c r="I79" s="2">
        <v>48225.0</v>
      </c>
      <c r="J79" s="2">
        <v>315.0</v>
      </c>
      <c r="K79" s="2">
        <v>308.0</v>
      </c>
      <c r="L79" s="2">
        <v>2.0</v>
      </c>
      <c r="M79" s="4">
        <v>11350.0</v>
      </c>
      <c r="N79" s="2" t="s">
        <v>30</v>
      </c>
      <c r="O79" s="2">
        <v>70.0</v>
      </c>
      <c r="P79" s="2" t="s">
        <v>31</v>
      </c>
      <c r="Q79" s="2" t="s">
        <v>32</v>
      </c>
      <c r="R79" s="2">
        <v>41.0</v>
      </c>
      <c r="T79" s="2" t="s">
        <v>162</v>
      </c>
      <c r="U79" s="2" t="b">
        <v>0</v>
      </c>
      <c r="V79" s="5">
        <v>0.0064</v>
      </c>
      <c r="W79" s="5">
        <v>0.0065</v>
      </c>
      <c r="X79" s="5">
        <v>4.1E-5</v>
      </c>
      <c r="Y79" s="2">
        <v>36.85064935</v>
      </c>
      <c r="AA79" s="2" t="s">
        <v>33</v>
      </c>
    </row>
    <row r="80">
      <c r="A80" s="2">
        <v>1430.0</v>
      </c>
      <c r="B80" s="2" t="s">
        <v>269</v>
      </c>
      <c r="C80" s="2" t="s">
        <v>7</v>
      </c>
      <c r="D80" s="2" t="s">
        <v>270</v>
      </c>
      <c r="E80" s="2" t="s">
        <v>271</v>
      </c>
      <c r="F80" s="6">
        <v>45671.5</v>
      </c>
      <c r="G80" s="2">
        <v>44913.0</v>
      </c>
      <c r="H80" s="2">
        <v>44913.0</v>
      </c>
      <c r="I80" s="2">
        <v>35975.0</v>
      </c>
      <c r="J80" s="2">
        <v>256.0</v>
      </c>
      <c r="K80" s="2">
        <v>240.0</v>
      </c>
      <c r="L80" s="2">
        <v>3.0</v>
      </c>
      <c r="M80" s="4">
        <v>14534.0</v>
      </c>
      <c r="N80" s="2" t="s">
        <v>36</v>
      </c>
      <c r="O80" s="2">
        <v>71.0</v>
      </c>
      <c r="P80" s="2" t="s">
        <v>31</v>
      </c>
      <c r="Q80" s="2" t="s">
        <v>32</v>
      </c>
      <c r="R80" s="2">
        <v>41.0</v>
      </c>
      <c r="T80" s="2" t="s">
        <v>47</v>
      </c>
      <c r="U80" s="2" t="b">
        <v>0</v>
      </c>
      <c r="V80" s="5">
        <v>0.0067</v>
      </c>
      <c r="W80" s="5">
        <v>0.0125</v>
      </c>
      <c r="X80" s="5">
        <v>8.3E-5</v>
      </c>
      <c r="Y80" s="2">
        <v>60.55833333</v>
      </c>
      <c r="AA80" s="2" t="s">
        <v>33</v>
      </c>
    </row>
    <row r="81">
      <c r="A81" s="2">
        <v>1429.0</v>
      </c>
      <c r="B81" s="2" t="s">
        <v>272</v>
      </c>
      <c r="C81" s="2" t="s">
        <v>7</v>
      </c>
      <c r="D81" s="2" t="s">
        <v>273</v>
      </c>
      <c r="E81" s="2" t="s">
        <v>274</v>
      </c>
      <c r="F81" s="6">
        <v>45671.5</v>
      </c>
      <c r="G81" s="2">
        <v>56267.0</v>
      </c>
      <c r="H81" s="2">
        <v>56267.0</v>
      </c>
      <c r="I81" s="2">
        <v>48099.0</v>
      </c>
      <c r="J81" s="2">
        <v>225.0</v>
      </c>
      <c r="K81" s="2">
        <v>220.0</v>
      </c>
      <c r="L81" s="2">
        <v>0.0</v>
      </c>
      <c r="M81" s="2">
        <v>0.0</v>
      </c>
      <c r="N81" s="2" t="s">
        <v>30</v>
      </c>
      <c r="O81" s="2">
        <v>70.0</v>
      </c>
      <c r="P81" s="2" t="s">
        <v>31</v>
      </c>
      <c r="Q81" s="2" t="s">
        <v>32</v>
      </c>
      <c r="R81" s="2">
        <v>48.0</v>
      </c>
      <c r="T81" s="2" t="s">
        <v>47</v>
      </c>
      <c r="U81" s="2" t="b">
        <v>0</v>
      </c>
      <c r="V81" s="5">
        <v>0.0046</v>
      </c>
      <c r="W81" s="5">
        <v>0.0</v>
      </c>
      <c r="X81" s="5">
        <v>0.0</v>
      </c>
      <c r="Y81" s="2">
        <v>0.0</v>
      </c>
      <c r="AA81" s="2" t="s">
        <v>33</v>
      </c>
    </row>
    <row r="82">
      <c r="A82" s="2">
        <v>1432.0</v>
      </c>
      <c r="B82" s="2" t="s">
        <v>275</v>
      </c>
      <c r="C82" s="2" t="s">
        <v>7</v>
      </c>
      <c r="D82" s="2" t="s">
        <v>276</v>
      </c>
      <c r="E82" s="2" t="s">
        <v>277</v>
      </c>
      <c r="F82" s="6">
        <v>45671.625</v>
      </c>
      <c r="G82" s="2">
        <v>44899.0</v>
      </c>
      <c r="H82" s="2">
        <v>44899.0</v>
      </c>
      <c r="I82" s="2">
        <v>35837.0</v>
      </c>
      <c r="J82" s="2">
        <v>323.0</v>
      </c>
      <c r="K82" s="2">
        <v>310.0</v>
      </c>
      <c r="L82" s="2">
        <v>4.0</v>
      </c>
      <c r="M82" s="4">
        <v>33135.0</v>
      </c>
      <c r="N82" s="2" t="s">
        <v>36</v>
      </c>
      <c r="O82" s="2">
        <v>71.0</v>
      </c>
      <c r="P82" s="2" t="s">
        <v>31</v>
      </c>
      <c r="Q82" s="2" t="s">
        <v>32</v>
      </c>
      <c r="R82" s="2">
        <v>35.0</v>
      </c>
      <c r="U82" s="2" t="b">
        <v>0</v>
      </c>
      <c r="V82" s="5">
        <v>0.0087</v>
      </c>
      <c r="W82" s="5">
        <v>0.0129</v>
      </c>
      <c r="X82" s="5">
        <v>1.12E-4</v>
      </c>
      <c r="Y82" s="2">
        <v>106.8870968</v>
      </c>
      <c r="AA82" s="2" t="s">
        <v>33</v>
      </c>
    </row>
    <row r="83">
      <c r="A83" s="2">
        <v>1431.0</v>
      </c>
      <c r="B83" s="2" t="s">
        <v>278</v>
      </c>
      <c r="C83" s="2" t="s">
        <v>7</v>
      </c>
      <c r="D83" s="2" t="s">
        <v>279</v>
      </c>
      <c r="E83" s="2" t="s">
        <v>280</v>
      </c>
      <c r="F83" s="6">
        <v>45671.625</v>
      </c>
      <c r="G83" s="2">
        <v>56277.0</v>
      </c>
      <c r="H83" s="2">
        <v>56277.0</v>
      </c>
      <c r="I83" s="2">
        <v>47612.0</v>
      </c>
      <c r="J83" s="2">
        <v>277.0</v>
      </c>
      <c r="K83" s="2">
        <v>272.0</v>
      </c>
      <c r="L83" s="2">
        <v>8.0</v>
      </c>
      <c r="M83" s="4">
        <v>25245.0</v>
      </c>
      <c r="N83" s="2" t="s">
        <v>30</v>
      </c>
      <c r="O83" s="2">
        <v>70.0</v>
      </c>
      <c r="P83" s="2" t="s">
        <v>31</v>
      </c>
      <c r="Q83" s="2" t="s">
        <v>32</v>
      </c>
      <c r="R83" s="2">
        <v>35.0</v>
      </c>
      <c r="T83" s="2" t="s">
        <v>47</v>
      </c>
      <c r="U83" s="2" t="b">
        <v>0</v>
      </c>
      <c r="V83" s="5">
        <v>0.0057</v>
      </c>
      <c r="W83" s="5">
        <v>0.0294</v>
      </c>
      <c r="X83" s="5">
        <v>1.68E-4</v>
      </c>
      <c r="Y83" s="2">
        <v>92.8125</v>
      </c>
      <c r="Z83" s="2">
        <v>2429.0</v>
      </c>
      <c r="AA83" s="2" t="s">
        <v>33</v>
      </c>
    </row>
    <row r="84">
      <c r="A84" s="2">
        <v>1434.0</v>
      </c>
      <c r="B84" s="2" t="s">
        <v>281</v>
      </c>
      <c r="C84" s="2" t="s">
        <v>7</v>
      </c>
      <c r="D84" s="2" t="s">
        <v>282</v>
      </c>
      <c r="E84" s="2" t="s">
        <v>283</v>
      </c>
      <c r="F84" s="6">
        <v>45671.708333333336</v>
      </c>
      <c r="G84" s="2">
        <v>44906.0</v>
      </c>
      <c r="H84" s="2">
        <v>44906.0</v>
      </c>
      <c r="I84" s="2">
        <v>36171.0</v>
      </c>
      <c r="J84" s="2">
        <v>276.0</v>
      </c>
      <c r="K84" s="2">
        <v>255.0</v>
      </c>
      <c r="L84" s="2">
        <v>7.0</v>
      </c>
      <c r="M84" s="4">
        <v>69075.0</v>
      </c>
      <c r="N84" s="2" t="s">
        <v>36</v>
      </c>
      <c r="O84" s="2">
        <v>71.0</v>
      </c>
      <c r="P84" s="2" t="s">
        <v>31</v>
      </c>
      <c r="Q84" s="2" t="s">
        <v>32</v>
      </c>
      <c r="R84" s="2">
        <v>39.0</v>
      </c>
      <c r="T84" s="2" t="s">
        <v>47</v>
      </c>
      <c r="U84" s="2" t="b">
        <v>0</v>
      </c>
      <c r="V84" s="5">
        <v>0.007</v>
      </c>
      <c r="W84" s="5">
        <v>0.0275</v>
      </c>
      <c r="X84" s="5">
        <v>1.94E-4</v>
      </c>
      <c r="Y84" s="2">
        <v>270.8823529</v>
      </c>
      <c r="AA84" s="2" t="s">
        <v>33</v>
      </c>
    </row>
    <row r="85">
      <c r="A85" s="2">
        <v>1433.0</v>
      </c>
      <c r="B85" s="2" t="s">
        <v>284</v>
      </c>
      <c r="C85" s="2" t="s">
        <v>7</v>
      </c>
      <c r="D85" s="2" t="s">
        <v>285</v>
      </c>
      <c r="E85" s="2" t="s">
        <v>286</v>
      </c>
      <c r="F85" s="6">
        <v>45671.708333333336</v>
      </c>
      <c r="G85" s="2">
        <v>56305.0</v>
      </c>
      <c r="H85" s="2">
        <v>56305.0</v>
      </c>
      <c r="I85" s="2">
        <v>48020.0</v>
      </c>
      <c r="J85" s="2">
        <v>277.0</v>
      </c>
      <c r="K85" s="2">
        <v>272.0</v>
      </c>
      <c r="L85" s="2">
        <v>2.0</v>
      </c>
      <c r="M85" s="4">
        <v>6192.0</v>
      </c>
      <c r="N85" s="2" t="s">
        <v>30</v>
      </c>
      <c r="O85" s="2">
        <v>70.0</v>
      </c>
      <c r="P85" s="2" t="s">
        <v>31</v>
      </c>
      <c r="Q85" s="2" t="s">
        <v>32</v>
      </c>
      <c r="R85" s="2">
        <v>37.0</v>
      </c>
      <c r="U85" s="2" t="b">
        <v>0</v>
      </c>
      <c r="V85" s="5">
        <v>0.0057</v>
      </c>
      <c r="W85" s="5">
        <v>0.0074</v>
      </c>
      <c r="X85" s="5">
        <v>4.2E-5</v>
      </c>
      <c r="Y85" s="2">
        <v>22.76470588</v>
      </c>
      <c r="AA85" s="2" t="s">
        <v>33</v>
      </c>
    </row>
    <row r="86">
      <c r="A86" s="2">
        <v>1438.0</v>
      </c>
      <c r="B86" s="2" t="s">
        <v>287</v>
      </c>
      <c r="C86" s="2" t="s">
        <v>7</v>
      </c>
      <c r="D86" s="2" t="s">
        <v>170</v>
      </c>
      <c r="E86" s="2" t="s">
        <v>288</v>
      </c>
      <c r="F86" s="6">
        <v>45672.47430555556</v>
      </c>
      <c r="G86" s="2">
        <v>56318.0</v>
      </c>
      <c r="H86" s="2">
        <v>56318.0</v>
      </c>
      <c r="I86" s="2">
        <v>48118.0</v>
      </c>
      <c r="J86" s="2">
        <v>211.0</v>
      </c>
      <c r="K86" s="2">
        <v>203.0</v>
      </c>
      <c r="L86" s="2">
        <v>6.0</v>
      </c>
      <c r="M86" s="4">
        <v>43603.0</v>
      </c>
      <c r="N86" s="2" t="s">
        <v>30</v>
      </c>
      <c r="O86" s="2">
        <v>70.0</v>
      </c>
      <c r="P86" s="2" t="s">
        <v>31</v>
      </c>
      <c r="Q86" s="2" t="s">
        <v>32</v>
      </c>
      <c r="R86" s="2">
        <v>27.0</v>
      </c>
      <c r="T86" s="2" t="s">
        <v>47</v>
      </c>
      <c r="U86" s="2" t="b">
        <v>0</v>
      </c>
      <c r="V86" s="5">
        <v>0.0042</v>
      </c>
      <c r="W86" s="5">
        <v>0.0296</v>
      </c>
      <c r="X86" s="5">
        <v>1.25E-4</v>
      </c>
      <c r="Y86" s="2">
        <v>214.7931034</v>
      </c>
      <c r="AA86" s="2" t="s">
        <v>33</v>
      </c>
    </row>
    <row r="87">
      <c r="A87" s="2">
        <v>1439.0</v>
      </c>
      <c r="B87" s="2" t="s">
        <v>289</v>
      </c>
      <c r="C87" s="2" t="s">
        <v>7</v>
      </c>
      <c r="D87" s="2" t="s">
        <v>172</v>
      </c>
      <c r="E87" s="2" t="s">
        <v>290</v>
      </c>
      <c r="F87" s="6">
        <v>45672.475694444445</v>
      </c>
      <c r="G87" s="2">
        <v>44945.0</v>
      </c>
      <c r="H87" s="2">
        <v>44945.0</v>
      </c>
      <c r="I87" s="2">
        <v>35999.0</v>
      </c>
      <c r="J87" s="2">
        <v>230.0</v>
      </c>
      <c r="K87" s="2">
        <v>218.0</v>
      </c>
      <c r="L87" s="2">
        <v>2.0</v>
      </c>
      <c r="M87" s="4">
        <v>3838.0</v>
      </c>
      <c r="N87" s="2" t="s">
        <v>36</v>
      </c>
      <c r="O87" s="2">
        <v>71.0</v>
      </c>
      <c r="P87" s="2" t="s">
        <v>31</v>
      </c>
      <c r="Q87" s="2" t="s">
        <v>32</v>
      </c>
      <c r="R87" s="2">
        <v>24.0</v>
      </c>
      <c r="T87" s="2" t="s">
        <v>291</v>
      </c>
      <c r="U87" s="2" t="b">
        <v>0</v>
      </c>
      <c r="V87" s="5">
        <v>0.0061</v>
      </c>
      <c r="W87" s="5">
        <v>0.0092</v>
      </c>
      <c r="X87" s="5">
        <v>5.6E-5</v>
      </c>
      <c r="Y87" s="2">
        <v>17.60550459</v>
      </c>
      <c r="AA87" s="2" t="s">
        <v>33</v>
      </c>
    </row>
    <row r="88">
      <c r="A88" s="2">
        <v>1441.0</v>
      </c>
      <c r="B88" s="2" t="s">
        <v>292</v>
      </c>
      <c r="C88" s="2" t="s">
        <v>7</v>
      </c>
      <c r="D88" s="2" t="s">
        <v>293</v>
      </c>
      <c r="E88" s="2" t="s">
        <v>294</v>
      </c>
      <c r="F88" s="6">
        <v>45672.625</v>
      </c>
      <c r="G88" s="2">
        <v>44919.0</v>
      </c>
      <c r="H88" s="2">
        <v>44919.0</v>
      </c>
      <c r="I88" s="2">
        <v>36209.0</v>
      </c>
      <c r="J88" s="2">
        <v>313.0</v>
      </c>
      <c r="K88" s="2">
        <v>300.0</v>
      </c>
      <c r="L88" s="2">
        <v>5.0</v>
      </c>
      <c r="M88" s="4">
        <v>10488.0</v>
      </c>
      <c r="N88" s="2" t="s">
        <v>36</v>
      </c>
      <c r="O88" s="2">
        <v>71.0</v>
      </c>
      <c r="P88" s="2" t="s">
        <v>31</v>
      </c>
      <c r="Q88" s="2" t="s">
        <v>32</v>
      </c>
      <c r="R88" s="2">
        <v>28.0</v>
      </c>
      <c r="U88" s="2" t="b">
        <v>0</v>
      </c>
      <c r="V88" s="5">
        <v>0.0083</v>
      </c>
      <c r="W88" s="5">
        <v>0.0167</v>
      </c>
      <c r="X88" s="5">
        <v>1.38E-4</v>
      </c>
      <c r="Y88" s="2">
        <v>34.96</v>
      </c>
      <c r="AA88" s="2" t="s">
        <v>33</v>
      </c>
    </row>
    <row r="89">
      <c r="A89" s="2">
        <v>1440.0</v>
      </c>
      <c r="B89" s="2" t="s">
        <v>295</v>
      </c>
      <c r="C89" s="2" t="s">
        <v>7</v>
      </c>
      <c r="D89" s="2" t="s">
        <v>296</v>
      </c>
      <c r="E89" s="2" t="s">
        <v>297</v>
      </c>
      <c r="F89" s="6">
        <v>45672.625</v>
      </c>
      <c r="G89" s="2">
        <v>56339.0</v>
      </c>
      <c r="H89" s="2">
        <v>56339.0</v>
      </c>
      <c r="I89" s="2">
        <v>48297.0</v>
      </c>
      <c r="J89" s="2">
        <v>345.0</v>
      </c>
      <c r="K89" s="2">
        <v>337.0</v>
      </c>
      <c r="L89" s="2">
        <v>7.0</v>
      </c>
      <c r="M89" s="4">
        <v>14960.0</v>
      </c>
      <c r="N89" s="2" t="s">
        <v>30</v>
      </c>
      <c r="O89" s="2">
        <v>70.0</v>
      </c>
      <c r="P89" s="2" t="s">
        <v>31</v>
      </c>
      <c r="Q89" s="2" t="s">
        <v>32</v>
      </c>
      <c r="R89" s="2">
        <v>31.0</v>
      </c>
      <c r="U89" s="2" t="b">
        <v>0</v>
      </c>
      <c r="V89" s="5">
        <v>0.007</v>
      </c>
      <c r="W89" s="5">
        <v>0.0208</v>
      </c>
      <c r="X89" s="5">
        <v>1.45E-4</v>
      </c>
      <c r="Y89" s="2">
        <v>44.39169139</v>
      </c>
      <c r="AA89" s="2" t="s">
        <v>33</v>
      </c>
    </row>
    <row r="90">
      <c r="A90" s="2">
        <v>1443.0</v>
      </c>
      <c r="B90" s="2" t="s">
        <v>298</v>
      </c>
      <c r="C90" s="2" t="s">
        <v>7</v>
      </c>
      <c r="D90" s="2" t="s">
        <v>299</v>
      </c>
      <c r="E90" s="2" t="s">
        <v>300</v>
      </c>
      <c r="F90" s="6">
        <v>45672.708333333336</v>
      </c>
      <c r="G90" s="2">
        <v>44921.0</v>
      </c>
      <c r="H90" s="2">
        <v>44921.0</v>
      </c>
      <c r="I90" s="2">
        <v>37011.0</v>
      </c>
      <c r="J90" s="2">
        <v>284.0</v>
      </c>
      <c r="K90" s="2">
        <v>269.0</v>
      </c>
      <c r="L90" s="2">
        <v>7.0</v>
      </c>
      <c r="M90" s="4">
        <v>14609.0</v>
      </c>
      <c r="N90" s="2" t="s">
        <v>36</v>
      </c>
      <c r="O90" s="2">
        <v>71.0</v>
      </c>
      <c r="P90" s="2" t="s">
        <v>31</v>
      </c>
      <c r="Q90" s="2" t="s">
        <v>32</v>
      </c>
      <c r="R90" s="2">
        <v>53.0</v>
      </c>
      <c r="U90" s="2" t="b">
        <v>0</v>
      </c>
      <c r="V90" s="5">
        <v>0.0073</v>
      </c>
      <c r="W90" s="5">
        <v>0.026</v>
      </c>
      <c r="X90" s="5">
        <v>1.89E-4</v>
      </c>
      <c r="Y90" s="2">
        <v>54.30855019</v>
      </c>
      <c r="AA90" s="2" t="s">
        <v>33</v>
      </c>
    </row>
    <row r="91">
      <c r="A91" s="2">
        <v>1442.0</v>
      </c>
      <c r="B91" s="2" t="s">
        <v>301</v>
      </c>
      <c r="C91" s="2" t="s">
        <v>7</v>
      </c>
      <c r="D91" s="2" t="s">
        <v>302</v>
      </c>
      <c r="E91" s="2" t="s">
        <v>303</v>
      </c>
      <c r="F91" s="6">
        <v>45672.708333333336</v>
      </c>
      <c r="G91" s="2">
        <v>56368.0</v>
      </c>
      <c r="H91" s="2">
        <v>56368.0</v>
      </c>
      <c r="I91" s="2">
        <v>48782.0</v>
      </c>
      <c r="J91" s="2">
        <v>243.0</v>
      </c>
      <c r="K91" s="2">
        <v>235.0</v>
      </c>
      <c r="L91" s="2">
        <v>6.0</v>
      </c>
      <c r="M91" s="4">
        <v>15836.0</v>
      </c>
      <c r="N91" s="2" t="s">
        <v>30</v>
      </c>
      <c r="O91" s="2">
        <v>70.0</v>
      </c>
      <c r="P91" s="2" t="s">
        <v>31</v>
      </c>
      <c r="Q91" s="2" t="s">
        <v>32</v>
      </c>
      <c r="R91" s="2">
        <v>39.0</v>
      </c>
      <c r="T91" s="2" t="s">
        <v>47</v>
      </c>
      <c r="U91" s="2" t="b">
        <v>0</v>
      </c>
      <c r="V91" s="5">
        <v>0.0048</v>
      </c>
      <c r="W91" s="5">
        <v>0.0255</v>
      </c>
      <c r="X91" s="5">
        <v>1.23E-4</v>
      </c>
      <c r="Y91" s="2">
        <v>67.38723404</v>
      </c>
      <c r="AA91" s="2" t="s">
        <v>33</v>
      </c>
    </row>
    <row r="92">
      <c r="A92" s="2">
        <v>1445.0</v>
      </c>
      <c r="B92" s="2" t="s">
        <v>304</v>
      </c>
      <c r="C92" s="2" t="s">
        <v>7</v>
      </c>
      <c r="D92" s="2" t="s">
        <v>305</v>
      </c>
      <c r="E92" s="2" t="s">
        <v>306</v>
      </c>
      <c r="F92" s="6">
        <v>45673.47638888889</v>
      </c>
      <c r="G92" s="2">
        <v>56440.0</v>
      </c>
      <c r="H92" s="2">
        <v>56440.0</v>
      </c>
      <c r="I92" s="2">
        <v>48139.0</v>
      </c>
      <c r="J92" s="2">
        <v>266.0</v>
      </c>
      <c r="K92" s="2">
        <v>263.0</v>
      </c>
      <c r="L92" s="2">
        <v>5.0</v>
      </c>
      <c r="M92" s="4">
        <v>12164.0</v>
      </c>
      <c r="N92" s="2" t="s">
        <v>30</v>
      </c>
      <c r="O92" s="2">
        <v>70.0</v>
      </c>
      <c r="P92" s="2" t="s">
        <v>31</v>
      </c>
      <c r="Q92" s="2" t="s">
        <v>32</v>
      </c>
      <c r="R92" s="2">
        <v>38.0</v>
      </c>
      <c r="T92" s="2" t="s">
        <v>47</v>
      </c>
      <c r="U92" s="2" t="b">
        <v>0</v>
      </c>
      <c r="V92" s="5">
        <v>0.0055</v>
      </c>
      <c r="W92" s="5">
        <v>0.019</v>
      </c>
      <c r="X92" s="5">
        <v>1.04E-4</v>
      </c>
      <c r="Y92" s="2">
        <v>46.25095057</v>
      </c>
      <c r="Z92" s="2" t="s">
        <v>307</v>
      </c>
      <c r="AA92" s="2" t="s">
        <v>33</v>
      </c>
    </row>
    <row r="93">
      <c r="A93" s="2">
        <v>1446.0</v>
      </c>
      <c r="B93" s="2" t="s">
        <v>308</v>
      </c>
      <c r="C93" s="2" t="s">
        <v>7</v>
      </c>
      <c r="D93" s="2" t="s">
        <v>309</v>
      </c>
      <c r="E93" s="2" t="s">
        <v>310</v>
      </c>
      <c r="F93" s="6">
        <v>45673.47777777778</v>
      </c>
      <c r="G93" s="2">
        <v>44990.0</v>
      </c>
      <c r="H93" s="2">
        <v>44990.0</v>
      </c>
      <c r="I93" s="2">
        <v>35817.0</v>
      </c>
      <c r="J93" s="2">
        <v>224.0</v>
      </c>
      <c r="K93" s="2">
        <v>213.0</v>
      </c>
      <c r="L93" s="2">
        <v>5.0</v>
      </c>
      <c r="M93" s="4">
        <v>20785.0</v>
      </c>
      <c r="N93" s="2" t="s">
        <v>36</v>
      </c>
      <c r="O93" s="2">
        <v>71.0</v>
      </c>
      <c r="P93" s="2" t="s">
        <v>31</v>
      </c>
      <c r="Q93" s="2" t="s">
        <v>32</v>
      </c>
      <c r="R93" s="2">
        <v>44.0</v>
      </c>
      <c r="U93" s="2" t="b">
        <v>0</v>
      </c>
      <c r="V93" s="5">
        <v>0.0059</v>
      </c>
      <c r="W93" s="5">
        <v>0.0235</v>
      </c>
      <c r="X93" s="5">
        <v>1.4E-4</v>
      </c>
      <c r="Y93" s="2">
        <v>97.58215962</v>
      </c>
      <c r="AA93" s="2" t="s">
        <v>33</v>
      </c>
    </row>
    <row r="94">
      <c r="A94" s="2">
        <v>1448.0</v>
      </c>
      <c r="B94" s="2" t="s">
        <v>311</v>
      </c>
      <c r="C94" s="2" t="s">
        <v>7</v>
      </c>
      <c r="D94" s="2" t="s">
        <v>312</v>
      </c>
      <c r="E94" s="2" t="s">
        <v>313</v>
      </c>
      <c r="F94" s="6">
        <v>45673.625</v>
      </c>
      <c r="G94" s="2">
        <v>44946.0</v>
      </c>
      <c r="H94" s="2">
        <v>44946.0</v>
      </c>
      <c r="I94" s="2">
        <v>32083.0</v>
      </c>
      <c r="J94" s="2">
        <v>297.0</v>
      </c>
      <c r="K94" s="2">
        <v>278.0</v>
      </c>
      <c r="L94" s="2">
        <v>2.0</v>
      </c>
      <c r="M94" s="4">
        <v>6453.0</v>
      </c>
      <c r="N94" s="2" t="s">
        <v>36</v>
      </c>
      <c r="O94" s="2">
        <v>71.0</v>
      </c>
      <c r="P94" s="2" t="s">
        <v>31</v>
      </c>
      <c r="Q94" s="2" t="s">
        <v>32</v>
      </c>
      <c r="R94" s="2">
        <v>34.0</v>
      </c>
      <c r="T94" s="2" t="s">
        <v>47</v>
      </c>
      <c r="U94" s="2" t="b">
        <v>0</v>
      </c>
      <c r="V94" s="5">
        <v>0.0087</v>
      </c>
      <c r="W94" s="5">
        <v>0.0072</v>
      </c>
      <c r="X94" s="5">
        <v>6.2E-5</v>
      </c>
      <c r="Y94" s="2">
        <v>23.21223022</v>
      </c>
      <c r="AA94" s="2" t="s">
        <v>33</v>
      </c>
    </row>
    <row r="95">
      <c r="A95" s="2">
        <v>1447.0</v>
      </c>
      <c r="B95" s="2" t="s">
        <v>314</v>
      </c>
      <c r="C95" s="2" t="s">
        <v>7</v>
      </c>
      <c r="D95" s="2" t="s">
        <v>315</v>
      </c>
      <c r="E95" s="2" t="s">
        <v>316</v>
      </c>
      <c r="F95" s="6">
        <v>45673.625</v>
      </c>
      <c r="G95" s="2">
        <v>56457.0</v>
      </c>
      <c r="H95" s="2">
        <v>56457.0</v>
      </c>
      <c r="I95" s="2">
        <v>41794.0</v>
      </c>
      <c r="J95" s="2">
        <v>222.0</v>
      </c>
      <c r="K95" s="2">
        <v>213.0</v>
      </c>
      <c r="L95" s="2">
        <v>2.0</v>
      </c>
      <c r="M95" s="4">
        <v>3530.0</v>
      </c>
      <c r="N95" s="2" t="s">
        <v>30</v>
      </c>
      <c r="O95" s="2">
        <v>70.0</v>
      </c>
      <c r="P95" s="2" t="s">
        <v>31</v>
      </c>
      <c r="Q95" s="2" t="s">
        <v>32</v>
      </c>
      <c r="R95" s="2">
        <v>35.0</v>
      </c>
      <c r="T95" s="2" t="s">
        <v>47</v>
      </c>
      <c r="U95" s="2" t="b">
        <v>0</v>
      </c>
      <c r="V95" s="5">
        <v>0.0051</v>
      </c>
      <c r="W95" s="5">
        <v>0.0094</v>
      </c>
      <c r="X95" s="5">
        <v>4.8E-5</v>
      </c>
      <c r="Y95" s="2">
        <v>16.57276995</v>
      </c>
      <c r="Z95" s="2">
        <v>3905.0</v>
      </c>
      <c r="AA95" s="2" t="s">
        <v>33</v>
      </c>
    </row>
    <row r="96">
      <c r="A96" s="2">
        <v>1450.0</v>
      </c>
      <c r="B96" s="2" t="s">
        <v>317</v>
      </c>
      <c r="C96" s="2" t="s">
        <v>7</v>
      </c>
      <c r="D96" s="2" t="s">
        <v>318</v>
      </c>
      <c r="E96" s="2" t="s">
        <v>319</v>
      </c>
      <c r="F96" s="6">
        <v>45673.708333333336</v>
      </c>
      <c r="G96" s="2">
        <v>44936.0</v>
      </c>
      <c r="H96" s="2">
        <v>44936.0</v>
      </c>
      <c r="I96" s="2">
        <v>36259.0</v>
      </c>
      <c r="J96" s="2">
        <v>358.0</v>
      </c>
      <c r="K96" s="2">
        <v>340.0</v>
      </c>
      <c r="L96" s="2">
        <v>9.0</v>
      </c>
      <c r="M96" s="4">
        <v>21983.0</v>
      </c>
      <c r="N96" s="2" t="s">
        <v>36</v>
      </c>
      <c r="O96" s="2">
        <v>71.0</v>
      </c>
      <c r="P96" s="2" t="s">
        <v>31</v>
      </c>
      <c r="Q96" s="2" t="s">
        <v>32</v>
      </c>
      <c r="R96" s="2">
        <v>33.0</v>
      </c>
      <c r="T96" s="2" t="s">
        <v>47</v>
      </c>
      <c r="U96" s="2" t="b">
        <v>0</v>
      </c>
      <c r="V96" s="5">
        <v>0.0094</v>
      </c>
      <c r="W96" s="5">
        <v>0.0265</v>
      </c>
      <c r="X96" s="5">
        <v>2.48E-4</v>
      </c>
      <c r="Y96" s="2">
        <v>64.65588235</v>
      </c>
      <c r="AA96" s="2" t="s">
        <v>33</v>
      </c>
    </row>
    <row r="97">
      <c r="A97" s="2">
        <v>1449.0</v>
      </c>
      <c r="B97" s="2" t="s">
        <v>320</v>
      </c>
      <c r="C97" s="2" t="s">
        <v>7</v>
      </c>
      <c r="D97" s="2" t="s">
        <v>321</v>
      </c>
      <c r="E97" s="2" t="s">
        <v>322</v>
      </c>
      <c r="F97" s="6">
        <v>45673.708333333336</v>
      </c>
      <c r="G97" s="2">
        <v>56482.0</v>
      </c>
      <c r="H97" s="2">
        <v>56482.0</v>
      </c>
      <c r="I97" s="2">
        <v>48398.0</v>
      </c>
      <c r="J97" s="2">
        <v>540.0</v>
      </c>
      <c r="K97" s="2">
        <v>532.0</v>
      </c>
      <c r="L97" s="2">
        <v>14.0</v>
      </c>
      <c r="M97" s="4">
        <v>52564.0</v>
      </c>
      <c r="N97" s="2" t="s">
        <v>30</v>
      </c>
      <c r="O97" s="2">
        <v>70.0</v>
      </c>
      <c r="P97" s="2" t="s">
        <v>31</v>
      </c>
      <c r="Q97" s="2" t="s">
        <v>32</v>
      </c>
      <c r="R97" s="2">
        <v>36.0</v>
      </c>
      <c r="U97" s="2" t="b">
        <v>0</v>
      </c>
      <c r="V97" s="5">
        <v>0.011</v>
      </c>
      <c r="W97" s="5">
        <v>0.0263</v>
      </c>
      <c r="X97" s="5">
        <v>2.89E-4</v>
      </c>
      <c r="Y97" s="2">
        <v>98.80451128</v>
      </c>
      <c r="AA97" s="2" t="s">
        <v>33</v>
      </c>
    </row>
    <row r="98">
      <c r="A98" s="2">
        <v>1456.0</v>
      </c>
      <c r="B98" s="2" t="s">
        <v>323</v>
      </c>
      <c r="C98" s="2" t="s">
        <v>7</v>
      </c>
      <c r="D98" s="2" t="s">
        <v>324</v>
      </c>
      <c r="E98" s="2" t="s">
        <v>325</v>
      </c>
      <c r="F98" s="6">
        <v>45674.47638888889</v>
      </c>
      <c r="G98" s="2">
        <v>56522.0</v>
      </c>
      <c r="H98" s="2">
        <v>56522.0</v>
      </c>
      <c r="I98" s="2">
        <v>48279.0</v>
      </c>
      <c r="J98" s="2">
        <v>342.0</v>
      </c>
      <c r="K98" s="2">
        <v>332.0</v>
      </c>
      <c r="L98" s="2">
        <v>5.0</v>
      </c>
      <c r="M98" s="4">
        <v>16420.0</v>
      </c>
      <c r="N98" s="2" t="s">
        <v>30</v>
      </c>
      <c r="O98" s="2">
        <v>70.0</v>
      </c>
      <c r="P98" s="2" t="s">
        <v>31</v>
      </c>
      <c r="Q98" s="2" t="s">
        <v>32</v>
      </c>
      <c r="R98" s="2">
        <v>34.0</v>
      </c>
      <c r="U98" s="2" t="b">
        <v>0</v>
      </c>
      <c r="V98" s="5">
        <v>0.0069</v>
      </c>
      <c r="W98" s="5">
        <v>0.0151</v>
      </c>
      <c r="X98" s="5">
        <v>1.04E-4</v>
      </c>
      <c r="Y98" s="2">
        <v>49.45783133</v>
      </c>
      <c r="Z98" s="2" t="s">
        <v>326</v>
      </c>
      <c r="AA98" s="2" t="s">
        <v>33</v>
      </c>
    </row>
    <row r="99">
      <c r="A99" s="2">
        <v>1457.0</v>
      </c>
      <c r="B99" s="2" t="s">
        <v>327</v>
      </c>
      <c r="C99" s="2" t="s">
        <v>7</v>
      </c>
      <c r="D99" s="2" t="s">
        <v>328</v>
      </c>
      <c r="E99" s="2" t="s">
        <v>329</v>
      </c>
      <c r="F99" s="6">
        <v>45674.47708333333</v>
      </c>
      <c r="G99" s="2">
        <v>44946.0</v>
      </c>
      <c r="H99" s="2">
        <v>44946.0</v>
      </c>
      <c r="I99" s="2">
        <v>35953.0</v>
      </c>
      <c r="J99" s="2">
        <v>247.0</v>
      </c>
      <c r="K99" s="2">
        <v>235.0</v>
      </c>
      <c r="L99" s="2">
        <v>3.0</v>
      </c>
      <c r="M99" s="4">
        <v>3399.0</v>
      </c>
      <c r="N99" s="2" t="s">
        <v>36</v>
      </c>
      <c r="O99" s="2">
        <v>71.0</v>
      </c>
      <c r="P99" s="2" t="s">
        <v>31</v>
      </c>
      <c r="Q99" s="2" t="s">
        <v>32</v>
      </c>
      <c r="R99" s="2">
        <v>33.0</v>
      </c>
      <c r="U99" s="2" t="b">
        <v>0</v>
      </c>
      <c r="V99" s="5">
        <v>0.0065</v>
      </c>
      <c r="W99" s="5">
        <v>0.0128</v>
      </c>
      <c r="X99" s="5">
        <v>8.3E-5</v>
      </c>
      <c r="Y99" s="2">
        <v>14.46382979</v>
      </c>
      <c r="AA99" s="2" t="s">
        <v>33</v>
      </c>
    </row>
    <row r="100">
      <c r="A100" s="2">
        <v>1458.0</v>
      </c>
      <c r="B100" s="2" t="s">
        <v>330</v>
      </c>
      <c r="C100" s="2" t="s">
        <v>7</v>
      </c>
      <c r="D100" s="2" t="s">
        <v>331</v>
      </c>
      <c r="E100" s="2" t="s">
        <v>332</v>
      </c>
      <c r="F100" s="6">
        <v>45674.62291666667</v>
      </c>
      <c r="G100" s="2">
        <v>56559.0</v>
      </c>
      <c r="H100" s="2">
        <v>56559.0</v>
      </c>
      <c r="I100" s="2">
        <v>48443.0</v>
      </c>
      <c r="J100" s="2">
        <v>359.0</v>
      </c>
      <c r="K100" s="2">
        <v>354.0</v>
      </c>
      <c r="L100" s="2">
        <v>7.0</v>
      </c>
      <c r="M100" s="4">
        <v>20285.0</v>
      </c>
      <c r="N100" s="2" t="s">
        <v>30</v>
      </c>
      <c r="O100" s="2">
        <v>70.0</v>
      </c>
      <c r="P100" s="2" t="s">
        <v>31</v>
      </c>
      <c r="Q100" s="2" t="s">
        <v>32</v>
      </c>
      <c r="R100" s="2">
        <v>44.0</v>
      </c>
      <c r="T100" s="2" t="s">
        <v>47</v>
      </c>
      <c r="U100" s="2" t="b">
        <v>0</v>
      </c>
      <c r="V100" s="5">
        <v>0.0073</v>
      </c>
      <c r="W100" s="5">
        <v>0.0198</v>
      </c>
      <c r="X100" s="5">
        <v>1.44E-4</v>
      </c>
      <c r="Y100" s="2">
        <v>57.30225989</v>
      </c>
      <c r="Z100" s="2" t="s">
        <v>333</v>
      </c>
      <c r="AA100" s="2" t="s">
        <v>33</v>
      </c>
    </row>
    <row r="101">
      <c r="A101" s="2">
        <v>1459.0</v>
      </c>
      <c r="B101" s="2" t="s">
        <v>334</v>
      </c>
      <c r="C101" s="2" t="s">
        <v>7</v>
      </c>
      <c r="D101" s="2" t="s">
        <v>335</v>
      </c>
      <c r="E101" s="2" t="s">
        <v>336</v>
      </c>
      <c r="F101" s="6">
        <v>45674.62430555555</v>
      </c>
      <c r="G101" s="2">
        <v>44926.0</v>
      </c>
      <c r="H101" s="2">
        <v>44926.0</v>
      </c>
      <c r="I101" s="2">
        <v>36202.0</v>
      </c>
      <c r="J101" s="2">
        <v>336.0</v>
      </c>
      <c r="K101" s="2">
        <v>317.0</v>
      </c>
      <c r="L101" s="2">
        <v>7.0</v>
      </c>
      <c r="M101" s="4">
        <v>63962.0</v>
      </c>
      <c r="N101" s="2" t="s">
        <v>36</v>
      </c>
      <c r="O101" s="2">
        <v>71.0</v>
      </c>
      <c r="P101" s="2" t="s">
        <v>31</v>
      </c>
      <c r="Q101" s="2" t="s">
        <v>32</v>
      </c>
      <c r="R101" s="2">
        <v>38.0</v>
      </c>
      <c r="T101" s="2" t="s">
        <v>47</v>
      </c>
      <c r="U101" s="2" t="b">
        <v>0</v>
      </c>
      <c r="V101" s="5">
        <v>0.0088</v>
      </c>
      <c r="W101" s="5">
        <v>0.0221</v>
      </c>
      <c r="X101" s="5">
        <v>1.93E-4</v>
      </c>
      <c r="Y101" s="2">
        <v>201.7728707</v>
      </c>
      <c r="AA101" s="2" t="s">
        <v>33</v>
      </c>
    </row>
    <row r="102">
      <c r="A102" s="2">
        <v>1461.0</v>
      </c>
      <c r="B102" s="2" t="s">
        <v>337</v>
      </c>
      <c r="C102" s="2" t="s">
        <v>7</v>
      </c>
      <c r="D102" s="2" t="s">
        <v>338</v>
      </c>
      <c r="E102" s="2" t="s">
        <v>339</v>
      </c>
      <c r="F102" s="6">
        <v>45674.708333333336</v>
      </c>
      <c r="G102" s="2">
        <v>44941.0</v>
      </c>
      <c r="H102" s="2">
        <v>44941.0</v>
      </c>
      <c r="I102" s="2">
        <v>36220.0</v>
      </c>
      <c r="J102" s="2">
        <v>254.0</v>
      </c>
      <c r="K102" s="2">
        <v>238.0</v>
      </c>
      <c r="L102" s="2">
        <v>3.0</v>
      </c>
      <c r="M102" s="4">
        <v>26185.0</v>
      </c>
      <c r="N102" s="2" t="s">
        <v>36</v>
      </c>
      <c r="O102" s="2">
        <v>71.0</v>
      </c>
      <c r="P102" s="2" t="s">
        <v>31</v>
      </c>
      <c r="Q102" s="2" t="s">
        <v>32</v>
      </c>
      <c r="R102" s="2">
        <v>35.0</v>
      </c>
      <c r="U102" s="2" t="b">
        <v>0</v>
      </c>
      <c r="V102" s="5">
        <v>0.0066</v>
      </c>
      <c r="W102" s="5">
        <v>0.0126</v>
      </c>
      <c r="X102" s="5">
        <v>8.3E-5</v>
      </c>
      <c r="Y102" s="2">
        <v>110.0210084</v>
      </c>
      <c r="AA102" s="2" t="s">
        <v>33</v>
      </c>
    </row>
    <row r="103">
      <c r="A103" s="2">
        <v>1460.0</v>
      </c>
      <c r="B103" s="2" t="s">
        <v>340</v>
      </c>
      <c r="C103" s="2" t="s">
        <v>7</v>
      </c>
      <c r="D103" s="2" t="s">
        <v>341</v>
      </c>
      <c r="E103" s="2" t="s">
        <v>342</v>
      </c>
      <c r="F103" s="6">
        <v>45674.708333333336</v>
      </c>
      <c r="G103" s="2">
        <v>56577.0</v>
      </c>
      <c r="H103" s="2">
        <v>56577.0</v>
      </c>
      <c r="I103" s="2">
        <v>48456.0</v>
      </c>
      <c r="J103" s="2">
        <v>231.0</v>
      </c>
      <c r="K103" s="2">
        <v>224.0</v>
      </c>
      <c r="L103" s="2">
        <v>5.0</v>
      </c>
      <c r="M103" s="4">
        <v>14380.0</v>
      </c>
      <c r="N103" s="2" t="s">
        <v>30</v>
      </c>
      <c r="O103" s="2">
        <v>70.0</v>
      </c>
      <c r="P103" s="2" t="s">
        <v>31</v>
      </c>
      <c r="Q103" s="2" t="s">
        <v>32</v>
      </c>
      <c r="R103" s="2">
        <v>26.0</v>
      </c>
      <c r="U103" s="2" t="b">
        <v>0</v>
      </c>
      <c r="V103" s="5">
        <v>0.0046</v>
      </c>
      <c r="W103" s="5">
        <v>0.0223</v>
      </c>
      <c r="X103" s="5">
        <v>1.03E-4</v>
      </c>
      <c r="Y103" s="2">
        <v>64.19642857</v>
      </c>
      <c r="Z103" s="2">
        <v>3620.0</v>
      </c>
      <c r="AA103" s="2" t="s">
        <v>33</v>
      </c>
    </row>
    <row r="104">
      <c r="A104" s="2">
        <v>1463.0</v>
      </c>
      <c r="B104" s="2" t="s">
        <v>343</v>
      </c>
      <c r="C104" s="2" t="s">
        <v>7</v>
      </c>
      <c r="D104" s="2" t="s">
        <v>344</v>
      </c>
      <c r="E104" s="2" t="s">
        <v>345</v>
      </c>
      <c r="F104" s="6">
        <v>45675.458333333336</v>
      </c>
      <c r="G104" s="2">
        <v>45010.0</v>
      </c>
      <c r="H104" s="2">
        <v>45010.0</v>
      </c>
      <c r="I104" s="2">
        <v>35922.0</v>
      </c>
      <c r="J104" s="2">
        <v>273.0</v>
      </c>
      <c r="K104" s="2">
        <v>266.0</v>
      </c>
      <c r="L104" s="2">
        <v>7.0</v>
      </c>
      <c r="M104" s="4">
        <v>30360.0</v>
      </c>
      <c r="N104" s="2" t="s">
        <v>36</v>
      </c>
      <c r="O104" s="2">
        <v>71.0</v>
      </c>
      <c r="P104" s="2" t="s">
        <v>31</v>
      </c>
      <c r="Q104" s="2" t="s">
        <v>32</v>
      </c>
      <c r="R104" s="2">
        <v>27.0</v>
      </c>
      <c r="T104" s="2" t="s">
        <v>58</v>
      </c>
      <c r="U104" s="2" t="b">
        <v>0</v>
      </c>
      <c r="V104" s="5">
        <v>0.0074</v>
      </c>
      <c r="W104" s="5">
        <v>0.0263</v>
      </c>
      <c r="X104" s="5">
        <v>1.95E-4</v>
      </c>
      <c r="Y104" s="2">
        <v>114.1353383</v>
      </c>
      <c r="AA104" s="2" t="s">
        <v>33</v>
      </c>
    </row>
    <row r="105">
      <c r="A105" s="2">
        <v>1462.0</v>
      </c>
      <c r="B105" s="2" t="s">
        <v>346</v>
      </c>
      <c r="C105" s="2" t="s">
        <v>7</v>
      </c>
      <c r="D105" s="2" t="s">
        <v>347</v>
      </c>
      <c r="E105" s="2" t="s">
        <v>348</v>
      </c>
      <c r="F105" s="6">
        <v>45675.458333333336</v>
      </c>
      <c r="G105" s="2">
        <v>56642.0</v>
      </c>
      <c r="H105" s="2">
        <v>56642.0</v>
      </c>
      <c r="I105" s="2">
        <v>48118.0</v>
      </c>
      <c r="J105" s="2">
        <v>347.0</v>
      </c>
      <c r="K105" s="2">
        <v>340.0</v>
      </c>
      <c r="L105" s="2">
        <v>7.0</v>
      </c>
      <c r="M105" s="4">
        <v>12318.0</v>
      </c>
      <c r="N105" s="2" t="s">
        <v>30</v>
      </c>
      <c r="O105" s="2">
        <v>70.0</v>
      </c>
      <c r="P105" s="2" t="s">
        <v>31</v>
      </c>
      <c r="Q105" s="2" t="s">
        <v>32</v>
      </c>
      <c r="R105" s="2">
        <v>36.0</v>
      </c>
      <c r="T105" s="2" t="s">
        <v>47</v>
      </c>
      <c r="U105" s="2" t="b">
        <v>0</v>
      </c>
      <c r="V105" s="5">
        <v>0.0071</v>
      </c>
      <c r="W105" s="5">
        <v>0.0206</v>
      </c>
      <c r="X105" s="5">
        <v>1.45E-4</v>
      </c>
      <c r="Y105" s="2">
        <v>36.22941176</v>
      </c>
      <c r="Z105" s="2">
        <v>3596.0</v>
      </c>
      <c r="AA105" s="2" t="s">
        <v>33</v>
      </c>
    </row>
    <row r="106">
      <c r="A106" s="2">
        <v>1465.0</v>
      </c>
      <c r="B106" s="2" t="s">
        <v>349</v>
      </c>
      <c r="C106" s="2" t="s">
        <v>7</v>
      </c>
      <c r="D106" s="2" t="s">
        <v>350</v>
      </c>
      <c r="E106" s="2" t="s">
        <v>351</v>
      </c>
      <c r="F106" s="6">
        <v>45675.625</v>
      </c>
      <c r="G106" s="2">
        <v>45042.0</v>
      </c>
      <c r="H106" s="2">
        <v>45042.0</v>
      </c>
      <c r="I106" s="2">
        <v>36218.0</v>
      </c>
      <c r="J106" s="2">
        <v>278.0</v>
      </c>
      <c r="K106" s="2">
        <v>271.0</v>
      </c>
      <c r="L106" s="2">
        <v>4.0</v>
      </c>
      <c r="M106" s="4">
        <v>7693.0</v>
      </c>
      <c r="N106" s="2" t="s">
        <v>36</v>
      </c>
      <c r="O106" s="2">
        <v>71.0</v>
      </c>
      <c r="P106" s="2" t="s">
        <v>31</v>
      </c>
      <c r="Q106" s="2" t="s">
        <v>32</v>
      </c>
      <c r="R106" s="2">
        <v>28.0</v>
      </c>
      <c r="T106" s="7" t="str">
        <f>IFERROR(__xludf.DUMMYFUNCTION("AI(""has offer Come X Pay X"",D675)"),"Has offer Come X Pay X")</f>
        <v>Has offer Come X Pay X</v>
      </c>
      <c r="U106" s="2" t="b">
        <v>0</v>
      </c>
      <c r="V106" s="5">
        <v>0.0075</v>
      </c>
      <c r="W106" s="5">
        <v>0.0148</v>
      </c>
      <c r="X106" s="5">
        <v>1.1E-4</v>
      </c>
      <c r="Y106" s="2">
        <v>28.38745387</v>
      </c>
      <c r="AA106" s="2" t="s">
        <v>33</v>
      </c>
    </row>
    <row r="107">
      <c r="A107" s="2">
        <v>1464.0</v>
      </c>
      <c r="B107" s="2" t="s">
        <v>352</v>
      </c>
      <c r="C107" s="2" t="s">
        <v>7</v>
      </c>
      <c r="D107" s="2" t="s">
        <v>353</v>
      </c>
      <c r="E107" s="2" t="s">
        <v>354</v>
      </c>
      <c r="F107" s="6">
        <v>45675.625</v>
      </c>
      <c r="G107" s="2">
        <v>56679.0</v>
      </c>
      <c r="H107" s="2">
        <v>56679.0</v>
      </c>
      <c r="I107" s="2">
        <v>48408.0</v>
      </c>
      <c r="J107" s="2">
        <v>274.0</v>
      </c>
      <c r="K107" s="2">
        <v>270.0</v>
      </c>
      <c r="L107" s="2">
        <v>5.0</v>
      </c>
      <c r="M107" s="4">
        <v>7945.0</v>
      </c>
      <c r="N107" s="2" t="s">
        <v>30</v>
      </c>
      <c r="O107" s="2">
        <v>70.0</v>
      </c>
      <c r="P107" s="2" t="s">
        <v>31</v>
      </c>
      <c r="Q107" s="2" t="s">
        <v>32</v>
      </c>
      <c r="R107" s="2">
        <v>26.0</v>
      </c>
      <c r="U107" s="2" t="b">
        <v>0</v>
      </c>
      <c r="V107" s="5">
        <v>0.0056</v>
      </c>
      <c r="W107" s="5">
        <v>0.0185</v>
      </c>
      <c r="X107" s="5">
        <v>1.03E-4</v>
      </c>
      <c r="Y107" s="2">
        <v>29.42592593</v>
      </c>
      <c r="Z107" s="2">
        <v>928.0</v>
      </c>
      <c r="AA107" s="2" t="s">
        <v>33</v>
      </c>
    </row>
    <row r="108">
      <c r="A108" s="2">
        <v>1467.0</v>
      </c>
      <c r="B108" s="2" t="s">
        <v>355</v>
      </c>
      <c r="C108" s="2" t="s">
        <v>7</v>
      </c>
      <c r="D108" s="2" t="s">
        <v>356</v>
      </c>
      <c r="E108" s="2" t="s">
        <v>357</v>
      </c>
      <c r="F108" s="6">
        <v>45675.708333333336</v>
      </c>
      <c r="G108" s="2">
        <v>45036.0</v>
      </c>
      <c r="H108" s="2">
        <v>45036.0</v>
      </c>
      <c r="I108" s="2">
        <v>36135.0</v>
      </c>
      <c r="J108" s="2">
        <v>293.0</v>
      </c>
      <c r="K108" s="2">
        <v>282.0</v>
      </c>
      <c r="L108" s="2">
        <v>8.0</v>
      </c>
      <c r="M108" s="4">
        <v>18724.0</v>
      </c>
      <c r="N108" s="2" t="s">
        <v>36</v>
      </c>
      <c r="O108" s="2">
        <v>71.0</v>
      </c>
      <c r="P108" s="2" t="s">
        <v>31</v>
      </c>
      <c r="Q108" s="2" t="s">
        <v>32</v>
      </c>
      <c r="R108" s="2">
        <v>38.0</v>
      </c>
      <c r="T108" s="2" t="s">
        <v>162</v>
      </c>
      <c r="U108" s="2" t="b">
        <v>0</v>
      </c>
      <c r="V108" s="5">
        <v>0.0078</v>
      </c>
      <c r="W108" s="5">
        <v>0.0284</v>
      </c>
      <c r="X108" s="5">
        <v>2.21E-4</v>
      </c>
      <c r="Y108" s="2">
        <v>66.39716312</v>
      </c>
      <c r="AA108" s="2" t="s">
        <v>33</v>
      </c>
    </row>
    <row r="109">
      <c r="A109" s="2">
        <v>1466.0</v>
      </c>
      <c r="B109" s="2" t="s">
        <v>358</v>
      </c>
      <c r="C109" s="2" t="s">
        <v>7</v>
      </c>
      <c r="D109" s="2" t="s">
        <v>359</v>
      </c>
      <c r="E109" s="2" t="s">
        <v>360</v>
      </c>
      <c r="F109" s="6">
        <v>45675.708333333336</v>
      </c>
      <c r="G109" s="2">
        <v>56701.0</v>
      </c>
      <c r="H109" s="2">
        <v>56701.0</v>
      </c>
      <c r="I109" s="2">
        <v>48412.0</v>
      </c>
      <c r="J109" s="2">
        <v>265.0</v>
      </c>
      <c r="K109" s="2">
        <v>263.0</v>
      </c>
      <c r="L109" s="2">
        <v>9.0</v>
      </c>
      <c r="M109" s="4">
        <v>28581.0</v>
      </c>
      <c r="N109" s="2" t="s">
        <v>30</v>
      </c>
      <c r="O109" s="2">
        <v>70.0</v>
      </c>
      <c r="P109" s="2" t="s">
        <v>189</v>
      </c>
      <c r="Q109" s="2" t="s">
        <v>32</v>
      </c>
      <c r="R109" s="2">
        <v>44.0</v>
      </c>
      <c r="U109" s="2" t="b">
        <v>0</v>
      </c>
      <c r="V109" s="5">
        <v>0.0054</v>
      </c>
      <c r="W109" s="5">
        <v>0.0342</v>
      </c>
      <c r="X109" s="5">
        <v>1.86E-4</v>
      </c>
      <c r="Y109" s="2">
        <v>108.6730038</v>
      </c>
      <c r="Z109" s="2">
        <v>2909.0</v>
      </c>
      <c r="AA109" s="2" t="s">
        <v>33</v>
      </c>
    </row>
    <row r="110">
      <c r="A110" s="2">
        <v>1469.0</v>
      </c>
      <c r="B110" s="2" t="s">
        <v>361</v>
      </c>
      <c r="C110" s="2" t="s">
        <v>7</v>
      </c>
      <c r="D110" s="2" t="s">
        <v>362</v>
      </c>
      <c r="E110" s="2" t="s">
        <v>363</v>
      </c>
      <c r="F110" s="6">
        <v>45676.458333333336</v>
      </c>
      <c r="G110" s="2">
        <v>45113.0</v>
      </c>
      <c r="H110" s="2">
        <v>45113.0</v>
      </c>
      <c r="I110" s="2">
        <v>35954.0</v>
      </c>
      <c r="J110" s="2">
        <v>246.0</v>
      </c>
      <c r="K110" s="2">
        <v>238.0</v>
      </c>
      <c r="L110" s="2">
        <v>7.0</v>
      </c>
      <c r="M110" s="4">
        <v>43621.0</v>
      </c>
      <c r="N110" s="2" t="s">
        <v>36</v>
      </c>
      <c r="O110" s="2">
        <v>71.0</v>
      </c>
      <c r="P110" s="2" t="s">
        <v>31</v>
      </c>
      <c r="Q110" s="2" t="s">
        <v>32</v>
      </c>
      <c r="R110" s="2">
        <v>40.0</v>
      </c>
      <c r="T110" s="2" t="s">
        <v>47</v>
      </c>
      <c r="U110" s="2" t="b">
        <v>0</v>
      </c>
      <c r="V110" s="5">
        <v>0.0066</v>
      </c>
      <c r="W110" s="5">
        <v>0.0294</v>
      </c>
      <c r="X110" s="5">
        <v>1.95E-4</v>
      </c>
      <c r="Y110" s="2">
        <v>183.2815126</v>
      </c>
      <c r="AA110" s="2" t="s">
        <v>33</v>
      </c>
    </row>
    <row r="111">
      <c r="A111" s="2">
        <v>1468.0</v>
      </c>
      <c r="B111" s="2" t="s">
        <v>364</v>
      </c>
      <c r="C111" s="2" t="s">
        <v>7</v>
      </c>
      <c r="D111" s="2" t="s">
        <v>365</v>
      </c>
      <c r="E111" s="2" t="s">
        <v>366</v>
      </c>
      <c r="F111" s="6">
        <v>45676.458333333336</v>
      </c>
      <c r="G111" s="2">
        <v>56733.0</v>
      </c>
      <c r="H111" s="2">
        <v>56733.0</v>
      </c>
      <c r="I111" s="2">
        <v>48208.0</v>
      </c>
      <c r="J111" s="2">
        <v>248.0</v>
      </c>
      <c r="K111" s="2">
        <v>241.0</v>
      </c>
      <c r="L111" s="2">
        <v>4.0</v>
      </c>
      <c r="M111" s="4">
        <v>22787.0</v>
      </c>
      <c r="N111" s="2" t="s">
        <v>30</v>
      </c>
      <c r="O111" s="2">
        <v>70.0</v>
      </c>
      <c r="P111" s="2" t="s">
        <v>31</v>
      </c>
      <c r="Q111" s="2" t="s">
        <v>32</v>
      </c>
      <c r="R111" s="2">
        <v>23.0</v>
      </c>
      <c r="T111" s="2" t="s">
        <v>47</v>
      </c>
      <c r="U111" s="2" t="b">
        <v>0</v>
      </c>
      <c r="V111" s="5">
        <v>0.005</v>
      </c>
      <c r="W111" s="5">
        <v>0.0166</v>
      </c>
      <c r="X111" s="5">
        <v>8.3E-5</v>
      </c>
      <c r="Y111" s="2">
        <v>94.55186722</v>
      </c>
      <c r="Z111" s="2">
        <v>3629.0</v>
      </c>
      <c r="AA111" s="2" t="s">
        <v>33</v>
      </c>
    </row>
    <row r="112">
      <c r="A112" s="2">
        <v>1471.0</v>
      </c>
      <c r="B112" s="2" t="s">
        <v>367</v>
      </c>
      <c r="C112" s="2" t="s">
        <v>7</v>
      </c>
      <c r="D112" s="2" t="s">
        <v>368</v>
      </c>
      <c r="E112" s="2" t="s">
        <v>369</v>
      </c>
      <c r="F112" s="6">
        <v>45676.625</v>
      </c>
      <c r="G112" s="2">
        <v>45133.0</v>
      </c>
      <c r="H112" s="2">
        <v>45133.0</v>
      </c>
      <c r="I112" s="2">
        <v>36235.0</v>
      </c>
      <c r="J112" s="2">
        <v>274.0</v>
      </c>
      <c r="K112" s="2">
        <v>257.0</v>
      </c>
      <c r="L112" s="2">
        <v>4.0</v>
      </c>
      <c r="M112" s="4">
        <v>15295.0</v>
      </c>
      <c r="N112" s="2" t="s">
        <v>36</v>
      </c>
      <c r="O112" s="2">
        <v>71.0</v>
      </c>
      <c r="P112" s="2" t="s">
        <v>31</v>
      </c>
      <c r="Q112" s="2" t="s">
        <v>32</v>
      </c>
      <c r="R112" s="2">
        <v>24.0</v>
      </c>
      <c r="T112" s="2" t="s">
        <v>143</v>
      </c>
      <c r="U112" s="2" t="b">
        <v>0</v>
      </c>
      <c r="V112" s="5">
        <v>0.0071</v>
      </c>
      <c r="W112" s="5">
        <v>0.0156</v>
      </c>
      <c r="X112" s="5">
        <v>1.1E-4</v>
      </c>
      <c r="Y112" s="2">
        <v>59.51361868</v>
      </c>
      <c r="AA112" s="2" t="s">
        <v>33</v>
      </c>
    </row>
    <row r="113">
      <c r="A113" s="2">
        <v>1470.0</v>
      </c>
      <c r="B113" s="2" t="s">
        <v>370</v>
      </c>
      <c r="C113" s="2" t="s">
        <v>7</v>
      </c>
      <c r="D113" s="2" t="s">
        <v>371</v>
      </c>
      <c r="E113" s="2" t="s">
        <v>372</v>
      </c>
      <c r="F113" s="6">
        <v>45676.625</v>
      </c>
      <c r="G113" s="2">
        <v>56764.0</v>
      </c>
      <c r="H113" s="2">
        <v>56764.0</v>
      </c>
      <c r="I113" s="2">
        <v>48468.0</v>
      </c>
      <c r="J113" s="2">
        <v>344.0</v>
      </c>
      <c r="K113" s="2">
        <v>332.0</v>
      </c>
      <c r="L113" s="2">
        <v>4.0</v>
      </c>
      <c r="M113" s="4">
        <v>22302.0</v>
      </c>
      <c r="N113" s="2" t="s">
        <v>30</v>
      </c>
      <c r="O113" s="2">
        <v>70.0</v>
      </c>
      <c r="P113" s="2" t="s">
        <v>31</v>
      </c>
      <c r="Q113" s="2" t="s">
        <v>32</v>
      </c>
      <c r="R113" s="2">
        <v>25.0</v>
      </c>
      <c r="T113" s="2" t="s">
        <v>58</v>
      </c>
      <c r="U113" s="2" t="b">
        <v>0</v>
      </c>
      <c r="V113" s="5">
        <v>0.0068</v>
      </c>
      <c r="W113" s="5">
        <v>0.012</v>
      </c>
      <c r="X113" s="5">
        <v>8.3E-5</v>
      </c>
      <c r="Y113" s="2">
        <v>67.1746988</v>
      </c>
      <c r="Z113" s="2">
        <v>894.0</v>
      </c>
      <c r="AA113" s="2" t="s">
        <v>33</v>
      </c>
    </row>
    <row r="114">
      <c r="A114" s="2">
        <v>1473.0</v>
      </c>
      <c r="B114" s="2" t="s">
        <v>373</v>
      </c>
      <c r="C114" s="2" t="s">
        <v>7</v>
      </c>
      <c r="D114" s="2" t="s">
        <v>374</v>
      </c>
      <c r="E114" s="2" t="s">
        <v>375</v>
      </c>
      <c r="F114" s="6">
        <v>45676.708333333336</v>
      </c>
      <c r="G114" s="2">
        <v>45149.0</v>
      </c>
      <c r="H114" s="2">
        <v>45149.0</v>
      </c>
      <c r="I114" s="2">
        <v>36275.0</v>
      </c>
      <c r="J114" s="2">
        <v>317.0</v>
      </c>
      <c r="K114" s="2">
        <v>308.0</v>
      </c>
      <c r="L114" s="2">
        <v>3.0</v>
      </c>
      <c r="M114" s="4">
        <v>4076.0</v>
      </c>
      <c r="N114" s="2" t="s">
        <v>36</v>
      </c>
      <c r="O114" s="2">
        <v>71.0</v>
      </c>
      <c r="P114" s="2" t="s">
        <v>31</v>
      </c>
      <c r="Q114" s="2" t="s">
        <v>32</v>
      </c>
      <c r="R114" s="2">
        <v>34.0</v>
      </c>
      <c r="T114" s="2" t="s">
        <v>47</v>
      </c>
      <c r="U114" s="2" t="b">
        <v>0</v>
      </c>
      <c r="V114" s="5">
        <v>0.0085</v>
      </c>
      <c r="W114" s="5">
        <v>0.0097</v>
      </c>
      <c r="X114" s="5">
        <v>8.3E-5</v>
      </c>
      <c r="Y114" s="2">
        <v>13.23376623</v>
      </c>
      <c r="AA114" s="2" t="s">
        <v>33</v>
      </c>
    </row>
    <row r="115">
      <c r="A115" s="2">
        <v>1472.0</v>
      </c>
      <c r="B115" s="2" t="s">
        <v>376</v>
      </c>
      <c r="C115" s="2" t="s">
        <v>7</v>
      </c>
      <c r="D115" s="2" t="s">
        <v>377</v>
      </c>
      <c r="E115" s="2" t="s">
        <v>378</v>
      </c>
      <c r="F115" s="6">
        <v>45676.708333333336</v>
      </c>
      <c r="G115" s="2">
        <v>56801.0</v>
      </c>
      <c r="H115" s="2">
        <v>56801.0</v>
      </c>
      <c r="I115" s="2">
        <v>48532.0</v>
      </c>
      <c r="J115" s="2">
        <v>345.0</v>
      </c>
      <c r="K115" s="2">
        <v>335.0</v>
      </c>
      <c r="L115" s="2">
        <v>6.0</v>
      </c>
      <c r="M115" s="4">
        <v>7663.0</v>
      </c>
      <c r="N115" s="2" t="s">
        <v>30</v>
      </c>
      <c r="O115" s="2">
        <v>70.0</v>
      </c>
      <c r="P115" s="2" t="s">
        <v>31</v>
      </c>
      <c r="Q115" s="2" t="s">
        <v>32</v>
      </c>
      <c r="R115" s="2">
        <v>27.0</v>
      </c>
      <c r="T115" s="2" t="s">
        <v>47</v>
      </c>
      <c r="U115" s="2" t="b">
        <v>0</v>
      </c>
      <c r="V115" s="5">
        <v>0.0069</v>
      </c>
      <c r="W115" s="5">
        <v>0.0179</v>
      </c>
      <c r="X115" s="5">
        <v>1.24E-4</v>
      </c>
      <c r="Y115" s="2">
        <v>22.87462687</v>
      </c>
      <c r="AA115" s="2" t="s">
        <v>33</v>
      </c>
    </row>
    <row r="116">
      <c r="A116" s="2">
        <v>1474.0</v>
      </c>
      <c r="B116" s="2" t="s">
        <v>379</v>
      </c>
      <c r="C116" s="2" t="s">
        <v>7</v>
      </c>
      <c r="D116" s="2" t="s">
        <v>380</v>
      </c>
      <c r="E116" s="2" t="s">
        <v>381</v>
      </c>
      <c r="F116" s="6">
        <v>45677.47083333333</v>
      </c>
      <c r="G116" s="2">
        <v>56815.0</v>
      </c>
      <c r="H116" s="2">
        <v>56815.0</v>
      </c>
      <c r="I116" s="2">
        <v>48421.0</v>
      </c>
      <c r="J116" s="2">
        <v>201.0</v>
      </c>
      <c r="K116" s="2">
        <v>198.0</v>
      </c>
      <c r="L116" s="2">
        <v>1.0</v>
      </c>
      <c r="M116" s="4">
        <v>1098.0</v>
      </c>
      <c r="N116" s="2" t="s">
        <v>30</v>
      </c>
      <c r="O116" s="2">
        <v>70.0</v>
      </c>
      <c r="P116" s="2" t="s">
        <v>31</v>
      </c>
      <c r="Q116" s="2" t="s">
        <v>32</v>
      </c>
      <c r="R116" s="2">
        <v>29.0</v>
      </c>
      <c r="T116" s="2" t="s">
        <v>47</v>
      </c>
      <c r="U116" s="2" t="b">
        <v>0</v>
      </c>
      <c r="V116" s="5">
        <v>0.0041</v>
      </c>
      <c r="W116" s="5">
        <v>0.0051</v>
      </c>
      <c r="X116" s="5">
        <v>2.1E-5</v>
      </c>
      <c r="Y116" s="2">
        <v>5.545454545</v>
      </c>
      <c r="AA116" s="2" t="s">
        <v>33</v>
      </c>
    </row>
    <row r="117">
      <c r="A117" s="2">
        <v>1475.0</v>
      </c>
      <c r="B117" s="2" t="s">
        <v>382</v>
      </c>
      <c r="C117" s="2" t="s">
        <v>7</v>
      </c>
      <c r="D117" s="2" t="s">
        <v>383</v>
      </c>
      <c r="E117" s="2" t="s">
        <v>384</v>
      </c>
      <c r="F117" s="6">
        <v>45677.47152777778</v>
      </c>
      <c r="G117" s="2">
        <v>45218.0</v>
      </c>
      <c r="H117" s="2">
        <v>45218.0</v>
      </c>
      <c r="I117" s="2">
        <v>36160.0</v>
      </c>
      <c r="J117" s="2">
        <v>236.0</v>
      </c>
      <c r="K117" s="2">
        <v>220.0</v>
      </c>
      <c r="L117" s="2">
        <v>2.0</v>
      </c>
      <c r="M117" s="4">
        <v>5579.0</v>
      </c>
      <c r="N117" s="2" t="s">
        <v>36</v>
      </c>
      <c r="O117" s="2">
        <v>71.0</v>
      </c>
      <c r="P117" s="2" t="s">
        <v>31</v>
      </c>
      <c r="Q117" s="2" t="s">
        <v>32</v>
      </c>
      <c r="R117" s="2">
        <v>39.0</v>
      </c>
      <c r="T117" s="2" t="s">
        <v>47</v>
      </c>
      <c r="U117" s="2" t="b">
        <v>0</v>
      </c>
      <c r="V117" s="5">
        <v>0.0061</v>
      </c>
      <c r="W117" s="5">
        <v>0.0091</v>
      </c>
      <c r="X117" s="5">
        <v>5.5E-5</v>
      </c>
      <c r="Y117" s="2">
        <v>25.35909091</v>
      </c>
      <c r="AA117" s="2" t="s">
        <v>33</v>
      </c>
    </row>
    <row r="118">
      <c r="A118" s="2">
        <v>1479.0</v>
      </c>
      <c r="B118" s="2" t="s">
        <v>385</v>
      </c>
      <c r="C118" s="2" t="s">
        <v>7</v>
      </c>
      <c r="D118" s="2" t="s">
        <v>386</v>
      </c>
      <c r="E118" s="2" t="s">
        <v>387</v>
      </c>
      <c r="F118" s="6">
        <v>45677.625</v>
      </c>
      <c r="G118" s="2">
        <v>45214.0</v>
      </c>
      <c r="H118" s="2">
        <v>45214.0</v>
      </c>
      <c r="I118" s="2">
        <v>36343.0</v>
      </c>
      <c r="J118" s="2">
        <v>317.0</v>
      </c>
      <c r="K118" s="2">
        <v>307.0</v>
      </c>
      <c r="L118" s="2">
        <v>4.0</v>
      </c>
      <c r="M118" s="4">
        <v>8430.0</v>
      </c>
      <c r="N118" s="2" t="s">
        <v>36</v>
      </c>
      <c r="O118" s="2">
        <v>71.0</v>
      </c>
      <c r="P118" s="2" t="s">
        <v>31</v>
      </c>
      <c r="Q118" s="2" t="s">
        <v>32</v>
      </c>
      <c r="R118" s="2">
        <v>46.0</v>
      </c>
      <c r="T118" s="2" t="s">
        <v>47</v>
      </c>
      <c r="U118" s="2" t="b">
        <v>0</v>
      </c>
      <c r="V118" s="5">
        <v>0.0084</v>
      </c>
      <c r="W118" s="5">
        <v>0.013</v>
      </c>
      <c r="X118" s="5">
        <v>1.1E-4</v>
      </c>
      <c r="Y118" s="2">
        <v>27.45928339</v>
      </c>
      <c r="AA118" s="2" t="s">
        <v>33</v>
      </c>
    </row>
    <row r="119">
      <c r="A119" s="2">
        <v>1478.0</v>
      </c>
      <c r="B119" s="2" t="s">
        <v>388</v>
      </c>
      <c r="C119" s="2" t="s">
        <v>7</v>
      </c>
      <c r="D119" s="2" t="s">
        <v>389</v>
      </c>
      <c r="E119" s="2" t="s">
        <v>390</v>
      </c>
      <c r="F119" s="6">
        <v>45677.625</v>
      </c>
      <c r="G119" s="2">
        <v>56821.0</v>
      </c>
      <c r="H119" s="2">
        <v>56821.0</v>
      </c>
      <c r="I119" s="2">
        <v>48586.0</v>
      </c>
      <c r="J119" s="2">
        <v>273.0</v>
      </c>
      <c r="K119" s="2">
        <v>265.0</v>
      </c>
      <c r="L119" s="2">
        <v>3.0</v>
      </c>
      <c r="M119" s="4">
        <v>11906.0</v>
      </c>
      <c r="N119" s="2" t="s">
        <v>30</v>
      </c>
      <c r="O119" s="2">
        <v>70.0</v>
      </c>
      <c r="P119" s="2" t="s">
        <v>31</v>
      </c>
      <c r="Q119" s="2" t="s">
        <v>32</v>
      </c>
      <c r="R119" s="2">
        <v>45.0</v>
      </c>
      <c r="T119" s="2" t="s">
        <v>47</v>
      </c>
      <c r="U119" s="2" t="b">
        <v>0</v>
      </c>
      <c r="V119" s="5">
        <v>0.0055</v>
      </c>
      <c r="W119" s="5">
        <v>0.0113</v>
      </c>
      <c r="X119" s="5">
        <v>6.2E-5</v>
      </c>
      <c r="Y119" s="2">
        <v>44.92830189</v>
      </c>
      <c r="Z119" s="2">
        <v>4174.0</v>
      </c>
      <c r="AA119" s="2" t="s">
        <v>33</v>
      </c>
    </row>
    <row r="120">
      <c r="A120" s="2">
        <v>1477.0</v>
      </c>
      <c r="B120" s="2" t="s">
        <v>391</v>
      </c>
      <c r="C120" s="2" t="s">
        <v>7</v>
      </c>
      <c r="D120" s="2" t="s">
        <v>392</v>
      </c>
      <c r="E120" s="2" t="s">
        <v>393</v>
      </c>
      <c r="F120" s="6">
        <v>45677.708333333336</v>
      </c>
      <c r="G120" s="2">
        <v>45224.0</v>
      </c>
      <c r="H120" s="2">
        <v>45224.0</v>
      </c>
      <c r="I120" s="2">
        <v>36306.0</v>
      </c>
      <c r="J120" s="2">
        <v>319.0</v>
      </c>
      <c r="K120" s="2">
        <v>313.0</v>
      </c>
      <c r="L120" s="2">
        <v>3.0</v>
      </c>
      <c r="M120" s="4">
        <v>9406.0</v>
      </c>
      <c r="N120" s="2" t="s">
        <v>36</v>
      </c>
      <c r="O120" s="2">
        <v>71.0</v>
      </c>
      <c r="P120" s="2" t="s">
        <v>31</v>
      </c>
      <c r="Q120" s="2" t="s">
        <v>32</v>
      </c>
      <c r="R120" s="2">
        <v>42.0</v>
      </c>
      <c r="T120" s="2" t="s">
        <v>394</v>
      </c>
      <c r="U120" s="2" t="b">
        <v>0</v>
      </c>
      <c r="V120" s="5">
        <v>0.0086</v>
      </c>
      <c r="W120" s="5">
        <v>0.0096</v>
      </c>
      <c r="X120" s="5">
        <v>8.3E-5</v>
      </c>
      <c r="Y120" s="2">
        <v>30.05111821</v>
      </c>
      <c r="AA120" s="2" t="s">
        <v>33</v>
      </c>
    </row>
    <row r="121">
      <c r="A121" s="2">
        <v>1476.0</v>
      </c>
      <c r="B121" s="2" t="s">
        <v>395</v>
      </c>
      <c r="C121" s="2" t="s">
        <v>7</v>
      </c>
      <c r="D121" s="2" t="s">
        <v>396</v>
      </c>
      <c r="E121" s="2" t="s">
        <v>397</v>
      </c>
      <c r="F121" s="6">
        <v>45677.708333333336</v>
      </c>
      <c r="G121" s="2">
        <v>56853.0</v>
      </c>
      <c r="H121" s="2">
        <v>56853.0</v>
      </c>
      <c r="I121" s="2">
        <v>48584.0</v>
      </c>
      <c r="J121" s="2">
        <v>280.0</v>
      </c>
      <c r="K121" s="2">
        <v>274.0</v>
      </c>
      <c r="L121" s="2">
        <v>2.0</v>
      </c>
      <c r="M121" s="4">
        <v>16744.0</v>
      </c>
      <c r="N121" s="2" t="s">
        <v>30</v>
      </c>
      <c r="O121" s="2">
        <v>70.0</v>
      </c>
      <c r="P121" s="2" t="s">
        <v>31</v>
      </c>
      <c r="Q121" s="2" t="s">
        <v>32</v>
      </c>
      <c r="R121" s="2">
        <v>36.0</v>
      </c>
      <c r="T121" s="2" t="s">
        <v>398</v>
      </c>
      <c r="U121" s="2" t="b">
        <v>0</v>
      </c>
      <c r="V121" s="5">
        <v>0.0056</v>
      </c>
      <c r="W121" s="5">
        <v>0.0073</v>
      </c>
      <c r="X121" s="5">
        <v>4.1E-5</v>
      </c>
      <c r="Y121" s="2">
        <v>61.10948905</v>
      </c>
      <c r="Z121" s="2">
        <v>2681.0</v>
      </c>
      <c r="AA121" s="2" t="s">
        <v>33</v>
      </c>
    </row>
    <row r="122">
      <c r="A122" s="2">
        <v>1480.0</v>
      </c>
      <c r="B122" s="2" t="s">
        <v>399</v>
      </c>
      <c r="C122" s="2" t="s">
        <v>7</v>
      </c>
      <c r="D122" s="2" t="s">
        <v>400</v>
      </c>
      <c r="E122" s="2" t="s">
        <v>401</v>
      </c>
      <c r="F122" s="6">
        <v>45678.46944444445</v>
      </c>
      <c r="G122" s="2">
        <v>56802.0</v>
      </c>
      <c r="H122" s="2">
        <v>56802.0</v>
      </c>
      <c r="I122" s="2">
        <v>48443.0</v>
      </c>
      <c r="J122" s="2">
        <v>478.0</v>
      </c>
      <c r="K122" s="2">
        <v>470.0</v>
      </c>
      <c r="L122" s="2">
        <v>13.0</v>
      </c>
      <c r="M122" s="4">
        <v>27989.0</v>
      </c>
      <c r="N122" s="2" t="s">
        <v>30</v>
      </c>
      <c r="O122" s="2">
        <v>70.0</v>
      </c>
      <c r="P122" s="2" t="s">
        <v>31</v>
      </c>
      <c r="Q122" s="2" t="s">
        <v>32</v>
      </c>
      <c r="R122" s="2">
        <v>37.0</v>
      </c>
      <c r="U122" s="2" t="b">
        <v>0</v>
      </c>
      <c r="V122" s="5">
        <v>0.0097</v>
      </c>
      <c r="W122" s="5">
        <v>0.0277</v>
      </c>
      <c r="X122" s="5">
        <v>2.68E-4</v>
      </c>
      <c r="Y122" s="2">
        <v>59.55106383</v>
      </c>
      <c r="Z122" s="2">
        <v>4405.0</v>
      </c>
      <c r="AA122" s="2" t="s">
        <v>33</v>
      </c>
    </row>
    <row r="123">
      <c r="A123" s="2">
        <v>1481.0</v>
      </c>
      <c r="B123" s="2" t="s">
        <v>402</v>
      </c>
      <c r="C123" s="2" t="s">
        <v>7</v>
      </c>
      <c r="D123" s="2" t="s">
        <v>403</v>
      </c>
      <c r="E123" s="2" t="s">
        <v>404</v>
      </c>
      <c r="F123" s="6">
        <v>45678.470138888886</v>
      </c>
      <c r="G123" s="2">
        <v>43762.0</v>
      </c>
      <c r="H123" s="2">
        <v>43762.0</v>
      </c>
      <c r="I123" s="2">
        <v>34886.0</v>
      </c>
      <c r="J123" s="2">
        <v>359.0</v>
      </c>
      <c r="K123" s="2">
        <v>347.0</v>
      </c>
      <c r="L123" s="2">
        <v>12.0</v>
      </c>
      <c r="M123" s="4">
        <v>35484.0</v>
      </c>
      <c r="N123" s="2" t="s">
        <v>36</v>
      </c>
      <c r="O123" s="2">
        <v>71.0</v>
      </c>
      <c r="P123" s="2" t="s">
        <v>31</v>
      </c>
      <c r="Q123" s="2" t="s">
        <v>32</v>
      </c>
      <c r="R123" s="2">
        <v>36.0</v>
      </c>
      <c r="T123" s="2" t="s">
        <v>405</v>
      </c>
      <c r="U123" s="2" t="b">
        <v>0</v>
      </c>
      <c r="V123" s="5">
        <v>0.0099</v>
      </c>
      <c r="W123" s="5">
        <v>0.0346</v>
      </c>
      <c r="X123" s="5">
        <v>3.44E-4</v>
      </c>
      <c r="Y123" s="2">
        <v>102.259366</v>
      </c>
      <c r="AA123" s="2" t="s">
        <v>33</v>
      </c>
    </row>
    <row r="124">
      <c r="A124" s="2">
        <v>1482.0</v>
      </c>
      <c r="B124" s="2" t="s">
        <v>406</v>
      </c>
      <c r="C124" s="2" t="s">
        <v>7</v>
      </c>
      <c r="D124" s="2" t="s">
        <v>407</v>
      </c>
      <c r="F124" s="6">
        <v>45678.625</v>
      </c>
      <c r="G124" s="2">
        <v>1230.0</v>
      </c>
      <c r="H124" s="2">
        <v>1230.0</v>
      </c>
      <c r="I124" s="2">
        <v>1066.0</v>
      </c>
      <c r="J124" s="2">
        <v>16.0</v>
      </c>
      <c r="K124" s="2">
        <v>15.0</v>
      </c>
      <c r="L124" s="2">
        <v>0.0</v>
      </c>
      <c r="M124" s="2">
        <v>0.0</v>
      </c>
      <c r="N124" s="2" t="s">
        <v>408</v>
      </c>
      <c r="O124" s="2">
        <v>161.0</v>
      </c>
      <c r="P124" s="2" t="s">
        <v>31</v>
      </c>
      <c r="Q124" s="2" t="s">
        <v>32</v>
      </c>
      <c r="R124" s="2">
        <v>40.0</v>
      </c>
      <c r="U124" s="2" t="b">
        <v>0</v>
      </c>
      <c r="V124" s="5">
        <v>0.0141</v>
      </c>
      <c r="W124" s="5">
        <v>0.0</v>
      </c>
      <c r="X124" s="5">
        <v>0.0</v>
      </c>
      <c r="Y124" s="2">
        <v>0.0</v>
      </c>
      <c r="Z124" s="2" t="s">
        <v>307</v>
      </c>
      <c r="AA124" s="2" t="s">
        <v>33</v>
      </c>
    </row>
    <row r="125">
      <c r="A125" s="2">
        <v>1483.0</v>
      </c>
      <c r="B125" s="2" t="s">
        <v>409</v>
      </c>
      <c r="C125" s="2" t="s">
        <v>7</v>
      </c>
      <c r="D125" s="2" t="s">
        <v>410</v>
      </c>
      <c r="F125" s="6">
        <v>45678.625</v>
      </c>
      <c r="G125" s="2">
        <v>792.0</v>
      </c>
      <c r="H125" s="2">
        <v>792.0</v>
      </c>
      <c r="I125" s="2">
        <v>696.0</v>
      </c>
      <c r="J125" s="2">
        <v>3.0</v>
      </c>
      <c r="K125" s="2">
        <v>3.0</v>
      </c>
      <c r="L125" s="2">
        <v>0.0</v>
      </c>
      <c r="M125" s="2">
        <v>0.0</v>
      </c>
      <c r="N125" s="2" t="s">
        <v>411</v>
      </c>
      <c r="O125" s="2">
        <v>162.0</v>
      </c>
      <c r="P125" s="2" t="s">
        <v>31</v>
      </c>
      <c r="Q125" s="2" t="s">
        <v>32</v>
      </c>
      <c r="R125" s="2">
        <v>39.0</v>
      </c>
      <c r="U125" s="2" t="b">
        <v>0</v>
      </c>
      <c r="V125" s="5">
        <v>0.0043</v>
      </c>
      <c r="W125" s="5">
        <v>0.0</v>
      </c>
      <c r="X125" s="5">
        <v>0.0</v>
      </c>
      <c r="Y125" s="2">
        <v>0.0</v>
      </c>
      <c r="AA125" s="2" t="s">
        <v>33</v>
      </c>
    </row>
    <row r="126">
      <c r="A126" s="2">
        <v>1485.0</v>
      </c>
      <c r="B126" s="2" t="s">
        <v>412</v>
      </c>
      <c r="C126" s="2" t="s">
        <v>7</v>
      </c>
      <c r="D126" s="2" t="s">
        <v>413</v>
      </c>
      <c r="E126" s="2" t="s">
        <v>414</v>
      </c>
      <c r="F126" s="6">
        <v>45678.708333333336</v>
      </c>
      <c r="G126" s="2">
        <v>43784.0</v>
      </c>
      <c r="H126" s="2">
        <v>43784.0</v>
      </c>
      <c r="I126" s="2">
        <v>35136.0</v>
      </c>
      <c r="J126" s="2">
        <v>281.0</v>
      </c>
      <c r="K126" s="2">
        <v>269.0</v>
      </c>
      <c r="L126" s="2">
        <v>5.0</v>
      </c>
      <c r="M126" s="4">
        <v>19868.0</v>
      </c>
      <c r="N126" s="2" t="s">
        <v>36</v>
      </c>
      <c r="O126" s="2">
        <v>71.0</v>
      </c>
      <c r="P126" s="2" t="s">
        <v>31</v>
      </c>
      <c r="Q126" s="2" t="s">
        <v>32</v>
      </c>
      <c r="R126" s="2">
        <v>31.0</v>
      </c>
      <c r="T126" s="2" t="s">
        <v>47</v>
      </c>
      <c r="U126" s="2" t="b">
        <v>0</v>
      </c>
      <c r="V126" s="5">
        <v>0.0077</v>
      </c>
      <c r="W126" s="5">
        <v>0.0186</v>
      </c>
      <c r="X126" s="5">
        <v>1.42E-4</v>
      </c>
      <c r="Y126" s="2">
        <v>73.85873606</v>
      </c>
      <c r="AA126" s="2" t="s">
        <v>33</v>
      </c>
    </row>
    <row r="127">
      <c r="A127" s="2">
        <v>1484.0</v>
      </c>
      <c r="B127" s="2" t="s">
        <v>415</v>
      </c>
      <c r="C127" s="2" t="s">
        <v>7</v>
      </c>
      <c r="D127" s="2" t="s">
        <v>416</v>
      </c>
      <c r="E127" s="2" t="s">
        <v>417</v>
      </c>
      <c r="F127" s="6">
        <v>45678.708333333336</v>
      </c>
      <c r="G127" s="2">
        <v>56848.0</v>
      </c>
      <c r="H127" s="2">
        <v>56848.0</v>
      </c>
      <c r="I127" s="2">
        <v>48614.0</v>
      </c>
      <c r="J127" s="2">
        <v>253.0</v>
      </c>
      <c r="K127" s="2">
        <v>247.0</v>
      </c>
      <c r="L127" s="2">
        <v>9.0</v>
      </c>
      <c r="M127" s="4">
        <v>21190.0</v>
      </c>
      <c r="N127" s="2" t="s">
        <v>30</v>
      </c>
      <c r="O127" s="2">
        <v>70.0</v>
      </c>
      <c r="P127" s="2" t="s">
        <v>31</v>
      </c>
      <c r="Q127" s="2" t="s">
        <v>32</v>
      </c>
      <c r="R127" s="2">
        <v>31.0</v>
      </c>
      <c r="U127" s="2" t="b">
        <v>0</v>
      </c>
      <c r="V127" s="5">
        <v>0.0051</v>
      </c>
      <c r="W127" s="5">
        <v>0.0364</v>
      </c>
      <c r="X127" s="5">
        <v>1.85E-4</v>
      </c>
      <c r="Y127" s="2">
        <v>85.78947368</v>
      </c>
      <c r="Z127" s="2">
        <v>4412.0</v>
      </c>
      <c r="AA127" s="2" t="s">
        <v>33</v>
      </c>
    </row>
    <row r="128">
      <c r="A128" s="2">
        <v>1491.0</v>
      </c>
      <c r="B128" s="2" t="s">
        <v>418</v>
      </c>
      <c r="C128" s="2" t="s">
        <v>7</v>
      </c>
      <c r="D128" s="2" t="s">
        <v>170</v>
      </c>
      <c r="E128" s="2" t="s">
        <v>288</v>
      </c>
      <c r="F128" s="6">
        <v>45679.46666666667</v>
      </c>
      <c r="G128" s="2">
        <v>56854.0</v>
      </c>
      <c r="H128" s="2">
        <v>56854.0</v>
      </c>
      <c r="I128" s="2">
        <v>48573.0</v>
      </c>
      <c r="J128" s="2">
        <v>210.0</v>
      </c>
      <c r="K128" s="2">
        <v>202.0</v>
      </c>
      <c r="L128" s="2">
        <v>3.0</v>
      </c>
      <c r="M128" s="4">
        <v>9048.0</v>
      </c>
      <c r="N128" s="2" t="s">
        <v>30</v>
      </c>
      <c r="O128" s="2">
        <v>70.0</v>
      </c>
      <c r="P128" s="2" t="s">
        <v>31</v>
      </c>
      <c r="Q128" s="2" t="s">
        <v>32</v>
      </c>
      <c r="R128" s="2">
        <v>27.0</v>
      </c>
      <c r="U128" s="2" t="b">
        <v>0</v>
      </c>
      <c r="V128" s="5">
        <v>0.0042</v>
      </c>
      <c r="W128" s="5">
        <v>0.0149</v>
      </c>
      <c r="X128" s="5">
        <v>6.2E-5</v>
      </c>
      <c r="Y128" s="2">
        <v>44.79207921</v>
      </c>
      <c r="AA128" s="2" t="s">
        <v>33</v>
      </c>
    </row>
    <row r="129">
      <c r="A129" s="2">
        <v>1492.0</v>
      </c>
      <c r="B129" s="2" t="s">
        <v>419</v>
      </c>
      <c r="C129" s="2" t="s">
        <v>7</v>
      </c>
      <c r="D129" s="2" t="s">
        <v>172</v>
      </c>
      <c r="E129" s="2" t="s">
        <v>290</v>
      </c>
      <c r="F129" s="6">
        <v>45679.47083333333</v>
      </c>
      <c r="G129" s="2">
        <v>43787.0</v>
      </c>
      <c r="H129" s="2">
        <v>43787.0</v>
      </c>
      <c r="I129" s="2">
        <v>34971.0</v>
      </c>
      <c r="J129" s="2">
        <v>251.0</v>
      </c>
      <c r="K129" s="2">
        <v>243.0</v>
      </c>
      <c r="L129" s="2">
        <v>3.0</v>
      </c>
      <c r="M129" s="4">
        <v>7448.0</v>
      </c>
      <c r="N129" s="2" t="s">
        <v>36</v>
      </c>
      <c r="O129" s="2">
        <v>71.0</v>
      </c>
      <c r="P129" s="2" t="s">
        <v>31</v>
      </c>
      <c r="Q129" s="2" t="s">
        <v>32</v>
      </c>
      <c r="R129" s="2">
        <v>24.0</v>
      </c>
      <c r="T129" s="2" t="s">
        <v>47</v>
      </c>
      <c r="U129" s="2" t="b">
        <v>0</v>
      </c>
      <c r="V129" s="5">
        <v>0.0069</v>
      </c>
      <c r="W129" s="5">
        <v>0.0123</v>
      </c>
      <c r="X129" s="5">
        <v>8.6E-5</v>
      </c>
      <c r="Y129" s="2">
        <v>30.65020576</v>
      </c>
      <c r="AA129" s="2" t="s">
        <v>33</v>
      </c>
    </row>
    <row r="130">
      <c r="A130" s="2">
        <v>1498.0</v>
      </c>
      <c r="B130" s="2" t="s">
        <v>420</v>
      </c>
      <c r="C130" s="2" t="s">
        <v>7</v>
      </c>
      <c r="D130" s="2" t="s">
        <v>421</v>
      </c>
      <c r="E130" s="2" t="s">
        <v>422</v>
      </c>
      <c r="F130" s="6">
        <v>45679.513194444444</v>
      </c>
      <c r="G130" s="2">
        <v>2365.0</v>
      </c>
      <c r="H130" s="2">
        <v>2365.0</v>
      </c>
      <c r="I130" s="2">
        <v>1756.0</v>
      </c>
      <c r="J130" s="2">
        <v>28.0</v>
      </c>
      <c r="K130" s="2">
        <v>27.0</v>
      </c>
      <c r="L130" s="2">
        <v>0.0</v>
      </c>
      <c r="M130" s="2">
        <v>0.0</v>
      </c>
      <c r="N130" s="2" t="s">
        <v>423</v>
      </c>
      <c r="O130" s="2">
        <v>119.0</v>
      </c>
      <c r="P130" s="2" t="s">
        <v>31</v>
      </c>
      <c r="Q130" s="2" t="s">
        <v>32</v>
      </c>
      <c r="R130" s="2">
        <v>29.0</v>
      </c>
      <c r="T130" s="2" t="s">
        <v>47</v>
      </c>
      <c r="U130" s="2" t="b">
        <v>0</v>
      </c>
      <c r="V130" s="5">
        <v>0.0154</v>
      </c>
      <c r="W130" s="5">
        <v>0.0</v>
      </c>
      <c r="X130" s="5">
        <v>0.0</v>
      </c>
      <c r="Y130" s="2">
        <v>0.0</v>
      </c>
      <c r="AA130" s="2" t="s">
        <v>423</v>
      </c>
    </row>
    <row r="131">
      <c r="A131" s="2">
        <v>1495.0</v>
      </c>
      <c r="B131" s="2" t="s">
        <v>424</v>
      </c>
      <c r="C131" s="2" t="s">
        <v>7</v>
      </c>
      <c r="D131" s="2" t="s">
        <v>425</v>
      </c>
      <c r="E131" s="2" t="s">
        <v>426</v>
      </c>
      <c r="F131" s="6">
        <v>45679.625</v>
      </c>
      <c r="G131" s="2">
        <v>43731.0</v>
      </c>
      <c r="H131" s="2">
        <v>43731.0</v>
      </c>
      <c r="I131" s="2">
        <v>35132.0</v>
      </c>
      <c r="J131" s="2">
        <v>232.0</v>
      </c>
      <c r="K131" s="2">
        <v>216.0</v>
      </c>
      <c r="L131" s="2">
        <v>3.0</v>
      </c>
      <c r="M131" s="4">
        <v>22976.0</v>
      </c>
      <c r="N131" s="2" t="s">
        <v>36</v>
      </c>
      <c r="O131" s="2">
        <v>71.0</v>
      </c>
      <c r="P131" s="2" t="s">
        <v>31</v>
      </c>
      <c r="Q131" s="2" t="s">
        <v>32</v>
      </c>
      <c r="R131" s="2">
        <v>29.0</v>
      </c>
      <c r="U131" s="2" t="b">
        <v>0</v>
      </c>
      <c r="V131" s="5">
        <v>0.0061</v>
      </c>
      <c r="W131" s="5">
        <v>0.0139</v>
      </c>
      <c r="X131" s="5">
        <v>8.5E-5</v>
      </c>
      <c r="Y131" s="2">
        <v>106.3703704</v>
      </c>
      <c r="AA131" s="2" t="s">
        <v>33</v>
      </c>
    </row>
    <row r="132">
      <c r="A132" s="2">
        <v>1493.0</v>
      </c>
      <c r="B132" s="2" t="s">
        <v>427</v>
      </c>
      <c r="C132" s="2" t="s">
        <v>7</v>
      </c>
      <c r="D132" s="2" t="s">
        <v>428</v>
      </c>
      <c r="E132" s="2" t="s">
        <v>429</v>
      </c>
      <c r="F132" s="6">
        <v>45679.625</v>
      </c>
      <c r="G132" s="2">
        <v>56842.0</v>
      </c>
      <c r="H132" s="2">
        <v>56842.0</v>
      </c>
      <c r="I132" s="2">
        <v>48670.0</v>
      </c>
      <c r="J132" s="2">
        <v>281.0</v>
      </c>
      <c r="K132" s="2">
        <v>272.0</v>
      </c>
      <c r="L132" s="2">
        <v>3.0</v>
      </c>
      <c r="M132" s="4">
        <v>4840.0</v>
      </c>
      <c r="N132" s="2" t="s">
        <v>30</v>
      </c>
      <c r="O132" s="2">
        <v>70.0</v>
      </c>
      <c r="P132" s="2" t="s">
        <v>31</v>
      </c>
      <c r="Q132" s="2" t="s">
        <v>32</v>
      </c>
      <c r="R132" s="2">
        <v>27.0</v>
      </c>
      <c r="T132" s="2" t="s">
        <v>47</v>
      </c>
      <c r="U132" s="2" t="b">
        <v>0</v>
      </c>
      <c r="V132" s="5">
        <v>0.0056</v>
      </c>
      <c r="W132" s="5">
        <v>0.011</v>
      </c>
      <c r="X132" s="5">
        <v>6.2E-5</v>
      </c>
      <c r="Y132" s="2">
        <v>17.79411765</v>
      </c>
      <c r="AA132" s="2" t="s">
        <v>33</v>
      </c>
    </row>
    <row r="133">
      <c r="A133" s="2">
        <v>1499.0</v>
      </c>
      <c r="B133" s="2" t="s">
        <v>430</v>
      </c>
      <c r="C133" s="2" t="s">
        <v>7</v>
      </c>
      <c r="D133" s="2" t="s">
        <v>431</v>
      </c>
      <c r="E133" s="2" t="s">
        <v>432</v>
      </c>
      <c r="F133" s="6">
        <v>45679.625</v>
      </c>
      <c r="G133" s="2">
        <v>2278.0</v>
      </c>
      <c r="H133" s="2">
        <v>2278.0</v>
      </c>
      <c r="I133" s="2">
        <v>1750.0</v>
      </c>
      <c r="J133" s="2">
        <v>21.0</v>
      </c>
      <c r="K133" s="2">
        <v>20.0</v>
      </c>
      <c r="L133" s="2">
        <v>1.0</v>
      </c>
      <c r="M133" s="4">
        <v>1699.0</v>
      </c>
      <c r="N133" s="2" t="s">
        <v>423</v>
      </c>
      <c r="O133" s="2">
        <v>119.0</v>
      </c>
      <c r="P133" s="2" t="s">
        <v>31</v>
      </c>
      <c r="Q133" s="2" t="s">
        <v>32</v>
      </c>
      <c r="R133" s="2">
        <v>38.0</v>
      </c>
      <c r="U133" s="2" t="b">
        <v>0</v>
      </c>
      <c r="V133" s="5">
        <v>0.0114</v>
      </c>
      <c r="W133" s="5">
        <v>0.05</v>
      </c>
      <c r="X133" s="5">
        <v>5.71E-4</v>
      </c>
      <c r="Y133" s="2">
        <v>84.95</v>
      </c>
      <c r="AA133" s="2" t="s">
        <v>423</v>
      </c>
    </row>
    <row r="134">
      <c r="A134" s="2">
        <v>1497.0</v>
      </c>
      <c r="B134" s="2" t="s">
        <v>433</v>
      </c>
      <c r="C134" s="2" t="s">
        <v>7</v>
      </c>
      <c r="D134" s="2" t="s">
        <v>434</v>
      </c>
      <c r="E134" s="2" t="s">
        <v>435</v>
      </c>
      <c r="F134" s="6">
        <v>45679.708333333336</v>
      </c>
      <c r="G134" s="2">
        <v>43719.0</v>
      </c>
      <c r="H134" s="2">
        <v>43719.0</v>
      </c>
      <c r="I134" s="2">
        <v>35137.0</v>
      </c>
      <c r="J134" s="2">
        <v>328.0</v>
      </c>
      <c r="K134" s="2">
        <v>315.0</v>
      </c>
      <c r="L134" s="2">
        <v>5.0</v>
      </c>
      <c r="M134" s="4">
        <v>19682.0</v>
      </c>
      <c r="N134" s="2" t="s">
        <v>36</v>
      </c>
      <c r="O134" s="2">
        <v>71.0</v>
      </c>
      <c r="P134" s="2" t="s">
        <v>31</v>
      </c>
      <c r="Q134" s="2" t="s">
        <v>32</v>
      </c>
      <c r="R134" s="2">
        <v>40.0</v>
      </c>
      <c r="T134" s="2" t="s">
        <v>47</v>
      </c>
      <c r="U134" s="2" t="b">
        <v>0</v>
      </c>
      <c r="V134" s="5">
        <v>0.009</v>
      </c>
      <c r="W134" s="5">
        <v>0.0159</v>
      </c>
      <c r="X134" s="5">
        <v>1.42E-4</v>
      </c>
      <c r="Y134" s="2">
        <v>62.48253968</v>
      </c>
      <c r="AA134" s="2" t="s">
        <v>33</v>
      </c>
    </row>
    <row r="135">
      <c r="A135" s="2">
        <v>1496.0</v>
      </c>
      <c r="B135" s="2" t="s">
        <v>436</v>
      </c>
      <c r="C135" s="2" t="s">
        <v>7</v>
      </c>
      <c r="D135" s="2" t="s">
        <v>434</v>
      </c>
      <c r="E135" s="2" t="s">
        <v>437</v>
      </c>
      <c r="F135" s="6">
        <v>45679.708333333336</v>
      </c>
      <c r="G135" s="2">
        <v>56852.0</v>
      </c>
      <c r="H135" s="2">
        <v>56852.0</v>
      </c>
      <c r="I135" s="2">
        <v>48651.0</v>
      </c>
      <c r="J135" s="2">
        <v>375.0</v>
      </c>
      <c r="K135" s="2">
        <v>365.0</v>
      </c>
      <c r="L135" s="2">
        <v>5.0</v>
      </c>
      <c r="M135" s="4">
        <v>11175.0</v>
      </c>
      <c r="N135" s="2" t="s">
        <v>30</v>
      </c>
      <c r="O135" s="2">
        <v>70.0</v>
      </c>
      <c r="P135" s="2" t="s">
        <v>31</v>
      </c>
      <c r="Q135" s="2" t="s">
        <v>32</v>
      </c>
      <c r="R135" s="2">
        <v>40.0</v>
      </c>
      <c r="U135" s="2" t="b">
        <v>0</v>
      </c>
      <c r="V135" s="5">
        <v>0.0075</v>
      </c>
      <c r="W135" s="5">
        <v>0.0137</v>
      </c>
      <c r="X135" s="5">
        <v>1.03E-4</v>
      </c>
      <c r="Y135" s="2">
        <v>30.61643836</v>
      </c>
      <c r="Z135" s="2" t="s">
        <v>182</v>
      </c>
      <c r="AA135" s="2" t="s">
        <v>33</v>
      </c>
    </row>
    <row r="136">
      <c r="A136" s="2">
        <v>1501.0</v>
      </c>
      <c r="B136" s="2" t="s">
        <v>438</v>
      </c>
      <c r="C136" s="2" t="s">
        <v>7</v>
      </c>
      <c r="D136" s="2" t="s">
        <v>439</v>
      </c>
      <c r="E136" s="2" t="s">
        <v>440</v>
      </c>
      <c r="F136" s="6">
        <v>45680.375</v>
      </c>
      <c r="G136" s="2">
        <v>44094.0</v>
      </c>
      <c r="H136" s="2">
        <v>44094.0</v>
      </c>
      <c r="I136" s="2">
        <v>34721.0</v>
      </c>
      <c r="J136" s="2">
        <v>292.0</v>
      </c>
      <c r="K136" s="2">
        <v>275.0</v>
      </c>
      <c r="L136" s="2">
        <v>4.0</v>
      </c>
      <c r="M136" s="4">
        <v>41166.0</v>
      </c>
      <c r="N136" s="2" t="s">
        <v>36</v>
      </c>
      <c r="O136" s="2">
        <v>71.0</v>
      </c>
      <c r="P136" s="2" t="s">
        <v>31</v>
      </c>
      <c r="Q136" s="2" t="s">
        <v>32</v>
      </c>
      <c r="R136" s="2">
        <v>28.0</v>
      </c>
      <c r="T136" s="2" t="s">
        <v>47</v>
      </c>
      <c r="U136" s="2" t="b">
        <v>0</v>
      </c>
      <c r="V136" s="5">
        <v>0.0079</v>
      </c>
      <c r="W136" s="5">
        <v>0.0145</v>
      </c>
      <c r="X136" s="5">
        <v>1.15E-4</v>
      </c>
      <c r="Y136" s="2">
        <v>149.6945455</v>
      </c>
      <c r="AA136" s="2" t="s">
        <v>33</v>
      </c>
    </row>
    <row r="137">
      <c r="A137" s="2">
        <v>1500.0</v>
      </c>
      <c r="B137" s="2" t="s">
        <v>441</v>
      </c>
      <c r="C137" s="2" t="s">
        <v>7</v>
      </c>
      <c r="D137" s="2" t="s">
        <v>187</v>
      </c>
      <c r="E137" s="2" t="s">
        <v>442</v>
      </c>
      <c r="F137" s="6">
        <v>45680.375</v>
      </c>
      <c r="G137" s="2">
        <v>57127.0</v>
      </c>
      <c r="H137" s="2">
        <v>57127.0</v>
      </c>
      <c r="I137" s="2">
        <v>48231.0</v>
      </c>
      <c r="J137" s="2">
        <v>283.0</v>
      </c>
      <c r="K137" s="2">
        <v>277.0</v>
      </c>
      <c r="L137" s="2">
        <v>6.0</v>
      </c>
      <c r="M137" s="4">
        <v>18916.0</v>
      </c>
      <c r="N137" s="2" t="s">
        <v>30</v>
      </c>
      <c r="O137" s="2">
        <v>70.0</v>
      </c>
      <c r="P137" s="2" t="s">
        <v>31</v>
      </c>
      <c r="Q137" s="2" t="s">
        <v>32</v>
      </c>
      <c r="R137" s="2">
        <v>28.0</v>
      </c>
      <c r="T137" s="2" t="s">
        <v>47</v>
      </c>
      <c r="U137" s="2" t="b">
        <v>0</v>
      </c>
      <c r="V137" s="5">
        <v>0.0057</v>
      </c>
      <c r="W137" s="5">
        <v>0.0217</v>
      </c>
      <c r="X137" s="5">
        <v>1.24E-4</v>
      </c>
      <c r="Y137" s="2">
        <v>68.28880866</v>
      </c>
      <c r="Z137" s="2" t="s">
        <v>182</v>
      </c>
      <c r="AA137" s="2" t="s">
        <v>33</v>
      </c>
    </row>
    <row r="138">
      <c r="A138" s="2">
        <v>1503.0</v>
      </c>
      <c r="B138" s="2" t="s">
        <v>443</v>
      </c>
      <c r="C138" s="2" t="s">
        <v>7</v>
      </c>
      <c r="D138" s="2" t="s">
        <v>444</v>
      </c>
      <c r="E138" s="2" t="s">
        <v>445</v>
      </c>
      <c r="F138" s="6">
        <v>45680.625</v>
      </c>
      <c r="G138" s="2">
        <v>44095.0</v>
      </c>
      <c r="H138" s="2">
        <v>44095.0</v>
      </c>
      <c r="I138" s="2">
        <v>35274.0</v>
      </c>
      <c r="J138" s="2">
        <v>254.0</v>
      </c>
      <c r="K138" s="2">
        <v>246.0</v>
      </c>
      <c r="L138" s="2">
        <v>5.0</v>
      </c>
      <c r="M138" s="4">
        <v>14432.0</v>
      </c>
      <c r="N138" s="2" t="s">
        <v>36</v>
      </c>
      <c r="O138" s="2">
        <v>71.0</v>
      </c>
      <c r="P138" s="2" t="s">
        <v>31</v>
      </c>
      <c r="Q138" s="2" t="s">
        <v>32</v>
      </c>
      <c r="R138" s="2">
        <v>38.0</v>
      </c>
      <c r="U138" s="2" t="b">
        <v>0</v>
      </c>
      <c r="V138" s="5">
        <v>0.007</v>
      </c>
      <c r="W138" s="5">
        <v>0.0203</v>
      </c>
      <c r="X138" s="5">
        <v>1.42E-4</v>
      </c>
      <c r="Y138" s="2">
        <v>58.66666667</v>
      </c>
      <c r="AA138" s="2" t="s">
        <v>33</v>
      </c>
    </row>
    <row r="139">
      <c r="A139" s="2">
        <v>1502.0</v>
      </c>
      <c r="B139" s="2" t="s">
        <v>446</v>
      </c>
      <c r="C139" s="2" t="s">
        <v>7</v>
      </c>
      <c r="D139" s="2" t="s">
        <v>447</v>
      </c>
      <c r="E139" s="2" t="s">
        <v>448</v>
      </c>
      <c r="F139" s="6">
        <v>45680.625</v>
      </c>
      <c r="G139" s="2">
        <v>57148.0</v>
      </c>
      <c r="H139" s="2">
        <v>57148.0</v>
      </c>
      <c r="I139" s="2">
        <v>48763.0</v>
      </c>
      <c r="J139" s="2">
        <v>292.0</v>
      </c>
      <c r="K139" s="2">
        <v>284.0</v>
      </c>
      <c r="L139" s="2">
        <v>2.0</v>
      </c>
      <c r="M139" s="4">
        <v>3546.0</v>
      </c>
      <c r="N139" s="2" t="s">
        <v>30</v>
      </c>
      <c r="O139" s="2">
        <v>70.0</v>
      </c>
      <c r="P139" s="2" t="s">
        <v>31</v>
      </c>
      <c r="Q139" s="2" t="s">
        <v>32</v>
      </c>
      <c r="R139" s="2">
        <v>39.0</v>
      </c>
      <c r="U139" s="2" t="b">
        <v>0</v>
      </c>
      <c r="V139" s="5">
        <v>0.0058</v>
      </c>
      <c r="W139" s="5">
        <v>0.007</v>
      </c>
      <c r="X139" s="5">
        <v>4.1E-5</v>
      </c>
      <c r="Y139" s="2">
        <v>12.48591549</v>
      </c>
      <c r="Z139" s="2">
        <v>5082.0</v>
      </c>
      <c r="AA139" s="2" t="s">
        <v>33</v>
      </c>
    </row>
    <row r="140">
      <c r="A140" s="2">
        <v>1505.0</v>
      </c>
      <c r="B140" s="2" t="s">
        <v>449</v>
      </c>
      <c r="C140" s="2" t="s">
        <v>7</v>
      </c>
      <c r="D140" s="2" t="s">
        <v>450</v>
      </c>
      <c r="E140" s="2" t="s">
        <v>451</v>
      </c>
      <c r="F140" s="6">
        <v>45680.708333333336</v>
      </c>
      <c r="G140" s="2">
        <v>44076.0</v>
      </c>
      <c r="H140" s="2">
        <v>44076.0</v>
      </c>
      <c r="I140" s="2">
        <v>35288.0</v>
      </c>
      <c r="J140" s="2">
        <v>224.0</v>
      </c>
      <c r="K140" s="2">
        <v>219.0</v>
      </c>
      <c r="L140" s="2">
        <v>1.0</v>
      </c>
      <c r="M140" s="4">
        <v>5590.0</v>
      </c>
      <c r="N140" s="2" t="s">
        <v>36</v>
      </c>
      <c r="O140" s="2">
        <v>71.0</v>
      </c>
      <c r="P140" s="2" t="s">
        <v>31</v>
      </c>
      <c r="Q140" s="2" t="s">
        <v>32</v>
      </c>
      <c r="R140" s="2">
        <v>35.0</v>
      </c>
      <c r="T140" s="2" t="s">
        <v>47</v>
      </c>
      <c r="U140" s="2" t="b">
        <v>0</v>
      </c>
      <c r="V140" s="5">
        <v>0.0062</v>
      </c>
      <c r="W140" s="5">
        <v>0.0046</v>
      </c>
      <c r="X140" s="5">
        <v>2.8E-5</v>
      </c>
      <c r="Y140" s="2">
        <v>25.52511416</v>
      </c>
      <c r="AA140" s="2" t="s">
        <v>33</v>
      </c>
    </row>
    <row r="141">
      <c r="A141" s="2">
        <v>1504.0</v>
      </c>
      <c r="B141" s="2" t="s">
        <v>452</v>
      </c>
      <c r="C141" s="2" t="s">
        <v>7</v>
      </c>
      <c r="D141" s="2" t="s">
        <v>453</v>
      </c>
      <c r="E141" s="2" t="s">
        <v>454</v>
      </c>
      <c r="F141" s="6">
        <v>45680.708333333336</v>
      </c>
      <c r="G141" s="2">
        <v>57166.0</v>
      </c>
      <c r="H141" s="2">
        <v>57166.0</v>
      </c>
      <c r="I141" s="2">
        <v>48798.0</v>
      </c>
      <c r="J141" s="2">
        <v>269.0</v>
      </c>
      <c r="K141" s="2">
        <v>265.0</v>
      </c>
      <c r="L141" s="2">
        <v>3.0</v>
      </c>
      <c r="M141" s="4">
        <v>12832.0</v>
      </c>
      <c r="N141" s="2" t="s">
        <v>30</v>
      </c>
      <c r="O141" s="2">
        <v>70.0</v>
      </c>
      <c r="P141" s="2" t="s">
        <v>31</v>
      </c>
      <c r="Q141" s="2" t="s">
        <v>32</v>
      </c>
      <c r="R141" s="2">
        <v>29.0</v>
      </c>
      <c r="T141" s="2" t="s">
        <v>455</v>
      </c>
      <c r="U141" s="2" t="b">
        <v>0</v>
      </c>
      <c r="V141" s="5">
        <v>0.0054</v>
      </c>
      <c r="W141" s="5">
        <v>0.0113</v>
      </c>
      <c r="X141" s="5">
        <v>6.1E-5</v>
      </c>
      <c r="Y141" s="2">
        <v>48.42264151</v>
      </c>
      <c r="AA141" s="2" t="s">
        <v>33</v>
      </c>
    </row>
    <row r="142">
      <c r="A142" s="2">
        <v>1506.0</v>
      </c>
      <c r="B142" s="2" t="s">
        <v>456</v>
      </c>
      <c r="C142" s="2" t="s">
        <v>7</v>
      </c>
      <c r="D142" s="2" t="s">
        <v>457</v>
      </c>
      <c r="E142" s="2" t="s">
        <v>458</v>
      </c>
      <c r="F142" s="6">
        <v>45681.47708333333</v>
      </c>
      <c r="G142" s="2">
        <v>57128.0</v>
      </c>
      <c r="H142" s="2">
        <v>57128.0</v>
      </c>
      <c r="I142" s="2">
        <v>48679.0</v>
      </c>
      <c r="J142" s="2">
        <v>292.0</v>
      </c>
      <c r="K142" s="2">
        <v>289.0</v>
      </c>
      <c r="L142" s="2">
        <v>6.0</v>
      </c>
      <c r="M142" s="4">
        <v>24670.0</v>
      </c>
      <c r="N142" s="2" t="s">
        <v>30</v>
      </c>
      <c r="O142" s="2">
        <v>70.0</v>
      </c>
      <c r="P142" s="2" t="s">
        <v>31</v>
      </c>
      <c r="Q142" s="2" t="s">
        <v>32</v>
      </c>
      <c r="R142" s="2">
        <v>36.0</v>
      </c>
      <c r="U142" s="2" t="b">
        <v>0</v>
      </c>
      <c r="V142" s="5">
        <v>0.0059</v>
      </c>
      <c r="W142" s="5">
        <v>0.0208</v>
      </c>
      <c r="X142" s="5">
        <v>1.23E-4</v>
      </c>
      <c r="Y142" s="2">
        <v>85.3633218</v>
      </c>
      <c r="Z142" s="2">
        <v>1841.0</v>
      </c>
      <c r="AA142" s="2" t="s">
        <v>33</v>
      </c>
    </row>
    <row r="143">
      <c r="A143" s="2">
        <v>1507.0</v>
      </c>
      <c r="B143" s="2" t="s">
        <v>459</v>
      </c>
      <c r="C143" s="2" t="s">
        <v>7</v>
      </c>
      <c r="D143" s="2" t="s">
        <v>460</v>
      </c>
      <c r="E143" s="2" t="s">
        <v>461</v>
      </c>
      <c r="F143" s="6">
        <v>45681.478472222225</v>
      </c>
      <c r="G143" s="2">
        <v>44062.0</v>
      </c>
      <c r="H143" s="2">
        <v>44062.0</v>
      </c>
      <c r="I143" s="2">
        <v>35059.0</v>
      </c>
      <c r="J143" s="2">
        <v>313.0</v>
      </c>
      <c r="K143" s="2">
        <v>299.0</v>
      </c>
      <c r="L143" s="2">
        <v>13.0</v>
      </c>
      <c r="M143" s="4">
        <v>54396.0</v>
      </c>
      <c r="N143" s="2" t="s">
        <v>36</v>
      </c>
      <c r="O143" s="2">
        <v>71.0</v>
      </c>
      <c r="P143" s="2" t="s">
        <v>31</v>
      </c>
      <c r="Q143" s="2" t="s">
        <v>32</v>
      </c>
      <c r="R143" s="2">
        <v>36.0</v>
      </c>
      <c r="U143" s="2" t="b">
        <v>0</v>
      </c>
      <c r="V143" s="5">
        <v>0.0085</v>
      </c>
      <c r="W143" s="5">
        <v>0.0435</v>
      </c>
      <c r="X143" s="5">
        <v>3.71E-4</v>
      </c>
      <c r="Y143" s="2">
        <v>181.9264214</v>
      </c>
      <c r="AA143" s="2" t="s">
        <v>33</v>
      </c>
    </row>
    <row r="144">
      <c r="A144" s="2">
        <v>1508.0</v>
      </c>
      <c r="B144" s="2" t="s">
        <v>462</v>
      </c>
      <c r="C144" s="2" t="s">
        <v>7</v>
      </c>
      <c r="D144" s="2" t="s">
        <v>463</v>
      </c>
      <c r="E144" s="2" t="s">
        <v>464</v>
      </c>
      <c r="F144" s="6">
        <v>45682.61111111111</v>
      </c>
      <c r="G144" s="2">
        <v>57211.0</v>
      </c>
      <c r="H144" s="2">
        <v>57211.0</v>
      </c>
      <c r="I144" s="2">
        <v>48755.0</v>
      </c>
      <c r="J144" s="2">
        <v>263.0</v>
      </c>
      <c r="K144" s="2">
        <v>260.0</v>
      </c>
      <c r="L144" s="2">
        <v>5.0</v>
      </c>
      <c r="M144" s="4">
        <v>16429.0</v>
      </c>
      <c r="N144" s="2" t="s">
        <v>30</v>
      </c>
      <c r="O144" s="2">
        <v>70.0</v>
      </c>
      <c r="P144" s="2" t="s">
        <v>31</v>
      </c>
      <c r="Q144" s="2" t="s">
        <v>32</v>
      </c>
      <c r="R144" s="2">
        <v>34.0</v>
      </c>
      <c r="T144" s="2" t="s">
        <v>47</v>
      </c>
      <c r="U144" s="2" t="b">
        <v>0</v>
      </c>
      <c r="V144" s="5">
        <v>0.0053</v>
      </c>
      <c r="W144" s="5">
        <v>0.0192</v>
      </c>
      <c r="X144" s="5">
        <v>1.03E-4</v>
      </c>
      <c r="Y144" s="2">
        <v>63.18846154</v>
      </c>
      <c r="AA144" s="2" t="s">
        <v>33</v>
      </c>
    </row>
    <row r="145">
      <c r="A145" s="2">
        <v>1509.0</v>
      </c>
      <c r="B145" s="2" t="s">
        <v>465</v>
      </c>
      <c r="C145" s="2" t="s">
        <v>7</v>
      </c>
      <c r="D145" s="2" t="s">
        <v>466</v>
      </c>
      <c r="E145" s="2" t="s">
        <v>467</v>
      </c>
      <c r="F145" s="6">
        <v>45682.625</v>
      </c>
      <c r="G145" s="2">
        <v>44272.0</v>
      </c>
      <c r="H145" s="2">
        <v>44272.0</v>
      </c>
      <c r="I145" s="2">
        <v>35351.0</v>
      </c>
      <c r="J145" s="2">
        <v>241.0</v>
      </c>
      <c r="K145" s="2">
        <v>233.0</v>
      </c>
      <c r="L145" s="2">
        <v>0.0</v>
      </c>
      <c r="M145" s="2">
        <v>0.0</v>
      </c>
      <c r="N145" s="2" t="s">
        <v>36</v>
      </c>
      <c r="O145" s="2">
        <v>71.0</v>
      </c>
      <c r="P145" s="2" t="s">
        <v>31</v>
      </c>
      <c r="Q145" s="2" t="s">
        <v>32</v>
      </c>
      <c r="R145" s="2">
        <v>37.0</v>
      </c>
      <c r="U145" s="2" t="b">
        <v>0</v>
      </c>
      <c r="V145" s="5">
        <v>0.0066</v>
      </c>
      <c r="W145" s="5">
        <v>0.0</v>
      </c>
      <c r="X145" s="5">
        <v>0.0</v>
      </c>
      <c r="Y145" s="2">
        <v>0.0</v>
      </c>
      <c r="AA145" s="2" t="s">
        <v>33</v>
      </c>
    </row>
    <row r="146">
      <c r="A146" s="2">
        <v>1511.0</v>
      </c>
      <c r="B146" s="2" t="s">
        <v>468</v>
      </c>
      <c r="C146" s="2" t="s">
        <v>7</v>
      </c>
      <c r="D146" s="2" t="s">
        <v>469</v>
      </c>
      <c r="E146" s="2" t="s">
        <v>470</v>
      </c>
      <c r="F146" s="6">
        <v>45682.708333333336</v>
      </c>
      <c r="G146" s="2">
        <v>44213.0</v>
      </c>
      <c r="H146" s="2">
        <v>44213.0</v>
      </c>
      <c r="I146" s="2">
        <v>35470.0</v>
      </c>
      <c r="J146" s="2">
        <v>298.0</v>
      </c>
      <c r="K146" s="2">
        <v>284.0</v>
      </c>
      <c r="L146" s="2">
        <v>0.0</v>
      </c>
      <c r="M146" s="2">
        <v>0.0</v>
      </c>
      <c r="N146" s="2" t="s">
        <v>36</v>
      </c>
      <c r="O146" s="2">
        <v>71.0</v>
      </c>
      <c r="P146" s="2" t="s">
        <v>31</v>
      </c>
      <c r="Q146" s="2" t="s">
        <v>32</v>
      </c>
      <c r="R146" s="2">
        <v>33.0</v>
      </c>
      <c r="T146" s="2" t="s">
        <v>47</v>
      </c>
      <c r="U146" s="2" t="b">
        <v>0</v>
      </c>
      <c r="V146" s="5">
        <v>0.008</v>
      </c>
      <c r="W146" s="5">
        <v>0.0</v>
      </c>
      <c r="X146" s="5">
        <v>0.0</v>
      </c>
      <c r="Y146" s="2">
        <v>0.0</v>
      </c>
      <c r="AA146" s="2" t="s">
        <v>33</v>
      </c>
    </row>
    <row r="147">
      <c r="A147" s="2">
        <v>1510.0</v>
      </c>
      <c r="B147" s="2" t="s">
        <v>471</v>
      </c>
      <c r="C147" s="2" t="s">
        <v>7</v>
      </c>
      <c r="D147" s="2" t="s">
        <v>469</v>
      </c>
      <c r="E147" s="2" t="s">
        <v>472</v>
      </c>
      <c r="F147" s="6">
        <v>45682.708333333336</v>
      </c>
      <c r="G147" s="2">
        <v>57207.0</v>
      </c>
      <c r="H147" s="2">
        <v>57207.0</v>
      </c>
      <c r="I147" s="2">
        <v>48891.0</v>
      </c>
      <c r="J147" s="2">
        <v>258.0</v>
      </c>
      <c r="K147" s="2">
        <v>253.0</v>
      </c>
      <c r="L147" s="2">
        <v>5.0</v>
      </c>
      <c r="M147" s="4">
        <v>6475.0</v>
      </c>
      <c r="N147" s="2" t="s">
        <v>30</v>
      </c>
      <c r="O147" s="2">
        <v>70.0</v>
      </c>
      <c r="P147" s="2" t="s">
        <v>31</v>
      </c>
      <c r="Q147" s="2" t="s">
        <v>32</v>
      </c>
      <c r="R147" s="2">
        <v>33.0</v>
      </c>
      <c r="U147" s="2" t="b">
        <v>0</v>
      </c>
      <c r="V147" s="5">
        <v>0.0052</v>
      </c>
      <c r="W147" s="5">
        <v>0.0198</v>
      </c>
      <c r="X147" s="5">
        <v>1.02E-4</v>
      </c>
      <c r="Y147" s="2">
        <v>25.59288538</v>
      </c>
      <c r="Z147" s="2">
        <v>3649.0</v>
      </c>
      <c r="AA147" s="2" t="s">
        <v>33</v>
      </c>
    </row>
    <row r="148">
      <c r="A148" s="2">
        <v>1512.0</v>
      </c>
      <c r="B148" s="2" t="s">
        <v>473</v>
      </c>
      <c r="C148" s="2" t="s">
        <v>7</v>
      </c>
      <c r="D148" s="2" t="s">
        <v>474</v>
      </c>
      <c r="E148" s="2" t="s">
        <v>475</v>
      </c>
      <c r="F148" s="6">
        <v>45684.47083333333</v>
      </c>
      <c r="G148" s="2">
        <v>56241.0</v>
      </c>
      <c r="H148" s="2">
        <v>56241.0</v>
      </c>
      <c r="I148" s="2">
        <v>47698.0</v>
      </c>
      <c r="J148" s="2">
        <v>218.0</v>
      </c>
      <c r="K148" s="2">
        <v>208.0</v>
      </c>
      <c r="L148" s="2">
        <v>3.0</v>
      </c>
      <c r="M148" s="4">
        <v>4533.0</v>
      </c>
      <c r="N148" s="2" t="s">
        <v>30</v>
      </c>
      <c r="O148" s="2">
        <v>70.0</v>
      </c>
      <c r="P148" s="2" t="s">
        <v>31</v>
      </c>
      <c r="Q148" s="2" t="s">
        <v>32</v>
      </c>
      <c r="R148" s="2">
        <v>35.0</v>
      </c>
      <c r="U148" s="2" t="b">
        <v>0</v>
      </c>
      <c r="V148" s="5">
        <v>0.0044</v>
      </c>
      <c r="W148" s="5">
        <v>0.0144</v>
      </c>
      <c r="X148" s="5">
        <v>6.3E-5</v>
      </c>
      <c r="Y148" s="2">
        <v>21.79326923</v>
      </c>
      <c r="AA148" s="2" t="s">
        <v>33</v>
      </c>
    </row>
    <row r="149">
      <c r="A149" s="2">
        <v>1513.0</v>
      </c>
      <c r="B149" s="2" t="s">
        <v>476</v>
      </c>
      <c r="C149" s="2" t="s">
        <v>7</v>
      </c>
      <c r="D149" s="2" t="s">
        <v>477</v>
      </c>
      <c r="E149" s="2" t="s">
        <v>478</v>
      </c>
      <c r="F149" s="6">
        <v>45684.47222222222</v>
      </c>
      <c r="G149" s="2">
        <v>44207.0</v>
      </c>
      <c r="H149" s="2">
        <v>44207.0</v>
      </c>
      <c r="I149" s="2">
        <v>35068.0</v>
      </c>
      <c r="J149" s="2">
        <v>265.0</v>
      </c>
      <c r="K149" s="2">
        <v>250.0</v>
      </c>
      <c r="L149" s="2">
        <v>3.0</v>
      </c>
      <c r="M149" s="4">
        <v>8561.0</v>
      </c>
      <c r="N149" s="2" t="s">
        <v>36</v>
      </c>
      <c r="O149" s="2">
        <v>71.0</v>
      </c>
      <c r="P149" s="2" t="s">
        <v>31</v>
      </c>
      <c r="Q149" s="2" t="s">
        <v>32</v>
      </c>
      <c r="R149" s="2">
        <v>48.0</v>
      </c>
      <c r="T149" s="2" t="s">
        <v>47</v>
      </c>
      <c r="U149" s="2" t="b">
        <v>0</v>
      </c>
      <c r="V149" s="5">
        <v>0.0071</v>
      </c>
      <c r="W149" s="5">
        <v>0.012</v>
      </c>
      <c r="X149" s="5">
        <v>8.6E-5</v>
      </c>
      <c r="Y149" s="2">
        <v>34.244</v>
      </c>
      <c r="AA149" s="2" t="s">
        <v>33</v>
      </c>
    </row>
    <row r="150">
      <c r="A150" s="2">
        <v>1514.0</v>
      </c>
      <c r="B150" s="2" t="s">
        <v>479</v>
      </c>
      <c r="C150" s="2" t="s">
        <v>7</v>
      </c>
      <c r="D150" s="2" t="s">
        <v>480</v>
      </c>
      <c r="E150" s="2" t="s">
        <v>481</v>
      </c>
      <c r="F150" s="6">
        <v>45684.65277777778</v>
      </c>
      <c r="G150" s="2">
        <v>56235.0</v>
      </c>
      <c r="H150" s="2">
        <v>56235.0</v>
      </c>
      <c r="I150" s="2">
        <v>47913.0</v>
      </c>
      <c r="J150" s="2">
        <v>353.0</v>
      </c>
      <c r="K150" s="2">
        <v>349.0</v>
      </c>
      <c r="L150" s="2">
        <v>4.0</v>
      </c>
      <c r="M150" s="4">
        <v>13662.0</v>
      </c>
      <c r="N150" s="2" t="s">
        <v>30</v>
      </c>
      <c r="O150" s="2">
        <v>70.0</v>
      </c>
      <c r="P150" s="2" t="s">
        <v>31</v>
      </c>
      <c r="Q150" s="2" t="s">
        <v>32</v>
      </c>
      <c r="R150" s="2">
        <v>38.0</v>
      </c>
      <c r="T150" s="2" t="s">
        <v>47</v>
      </c>
      <c r="U150" s="2" t="b">
        <v>0</v>
      </c>
      <c r="V150" s="5">
        <v>0.0073</v>
      </c>
      <c r="W150" s="5">
        <v>0.0115</v>
      </c>
      <c r="X150" s="5">
        <v>8.3E-5</v>
      </c>
      <c r="Y150" s="2">
        <v>39.14613181</v>
      </c>
      <c r="Z150" s="2" t="s">
        <v>482</v>
      </c>
      <c r="AA150" s="2" t="s">
        <v>33</v>
      </c>
    </row>
    <row r="151">
      <c r="A151" s="2">
        <v>1515.0</v>
      </c>
      <c r="B151" s="2" t="s">
        <v>483</v>
      </c>
      <c r="C151" s="2" t="s">
        <v>7</v>
      </c>
      <c r="D151" s="2" t="s">
        <v>484</v>
      </c>
      <c r="E151" s="2" t="s">
        <v>485</v>
      </c>
      <c r="F151" s="6">
        <v>45684.654861111114</v>
      </c>
      <c r="G151" s="2">
        <v>44113.0</v>
      </c>
      <c r="H151" s="2">
        <v>44113.0</v>
      </c>
      <c r="I151" s="2">
        <v>35385.0</v>
      </c>
      <c r="J151" s="2">
        <v>291.0</v>
      </c>
      <c r="K151" s="2">
        <v>280.0</v>
      </c>
      <c r="L151" s="2">
        <v>7.0</v>
      </c>
      <c r="M151" s="4">
        <v>32530.0</v>
      </c>
      <c r="N151" s="2" t="s">
        <v>36</v>
      </c>
      <c r="O151" s="2">
        <v>71.0</v>
      </c>
      <c r="P151" s="2" t="s">
        <v>31</v>
      </c>
      <c r="Q151" s="2" t="s">
        <v>32</v>
      </c>
      <c r="R151" s="2">
        <v>46.0</v>
      </c>
      <c r="U151" s="2" t="b">
        <v>0</v>
      </c>
      <c r="V151" s="5">
        <v>0.0079</v>
      </c>
      <c r="W151" s="5">
        <v>0.025</v>
      </c>
      <c r="X151" s="5">
        <v>1.98E-4</v>
      </c>
      <c r="Y151" s="2">
        <v>116.1785714</v>
      </c>
      <c r="AA151" s="2" t="s">
        <v>33</v>
      </c>
    </row>
    <row r="152">
      <c r="A152" s="2">
        <v>1517.0</v>
      </c>
      <c r="B152" s="2" t="s">
        <v>486</v>
      </c>
      <c r="C152" s="2" t="s">
        <v>7</v>
      </c>
      <c r="D152" s="2" t="s">
        <v>487</v>
      </c>
      <c r="E152" s="2" t="s">
        <v>488</v>
      </c>
      <c r="F152" s="6">
        <v>45684.708333333336</v>
      </c>
      <c r="G152" s="2">
        <v>44094.0</v>
      </c>
      <c r="H152" s="2">
        <v>44094.0</v>
      </c>
      <c r="I152" s="2">
        <v>35403.0</v>
      </c>
      <c r="J152" s="2">
        <v>321.0</v>
      </c>
      <c r="K152" s="2">
        <v>310.0</v>
      </c>
      <c r="L152" s="2">
        <v>5.0</v>
      </c>
      <c r="M152" s="4">
        <v>15778.0</v>
      </c>
      <c r="N152" s="2" t="s">
        <v>36</v>
      </c>
      <c r="O152" s="2">
        <v>71.0</v>
      </c>
      <c r="P152" s="2" t="s">
        <v>31</v>
      </c>
      <c r="Q152" s="2" t="s">
        <v>32</v>
      </c>
      <c r="R152" s="2">
        <v>29.0</v>
      </c>
      <c r="T152" s="2" t="s">
        <v>47</v>
      </c>
      <c r="U152" s="2" t="b">
        <v>0</v>
      </c>
      <c r="V152" s="5">
        <v>0.0088</v>
      </c>
      <c r="W152" s="5">
        <v>0.0161</v>
      </c>
      <c r="X152" s="5">
        <v>1.41E-4</v>
      </c>
      <c r="Y152" s="2">
        <v>50.89677419</v>
      </c>
      <c r="AA152" s="2" t="s">
        <v>33</v>
      </c>
    </row>
    <row r="153">
      <c r="A153" s="2">
        <v>1516.0</v>
      </c>
      <c r="B153" s="2" t="s">
        <v>489</v>
      </c>
      <c r="C153" s="2" t="s">
        <v>7</v>
      </c>
      <c r="D153" s="2" t="s">
        <v>490</v>
      </c>
      <c r="E153" s="2" t="s">
        <v>491</v>
      </c>
      <c r="F153" s="6">
        <v>45684.708333333336</v>
      </c>
      <c r="G153" s="2">
        <v>56263.0</v>
      </c>
      <c r="H153" s="2">
        <v>56263.0</v>
      </c>
      <c r="I153" s="2">
        <v>47936.0</v>
      </c>
      <c r="J153" s="2">
        <v>334.0</v>
      </c>
      <c r="K153" s="2">
        <v>327.0</v>
      </c>
      <c r="L153" s="2">
        <v>8.0</v>
      </c>
      <c r="M153" s="4">
        <v>33805.0</v>
      </c>
      <c r="N153" s="2" t="s">
        <v>30</v>
      </c>
      <c r="O153" s="2">
        <v>70.0</v>
      </c>
      <c r="P153" s="2" t="s">
        <v>31</v>
      </c>
      <c r="Q153" s="2" t="s">
        <v>32</v>
      </c>
      <c r="R153" s="2">
        <v>27.0</v>
      </c>
      <c r="T153" s="2" t="s">
        <v>47</v>
      </c>
      <c r="U153" s="2" t="b">
        <v>0</v>
      </c>
      <c r="V153" s="5">
        <v>0.0068</v>
      </c>
      <c r="W153" s="5">
        <v>0.0245</v>
      </c>
      <c r="X153" s="5">
        <v>1.67E-4</v>
      </c>
      <c r="Y153" s="2">
        <v>103.3792049</v>
      </c>
      <c r="Z153" s="2">
        <v>875.0</v>
      </c>
      <c r="AA153" s="2" t="s">
        <v>33</v>
      </c>
    </row>
    <row r="154">
      <c r="A154" s="2">
        <v>1518.0</v>
      </c>
      <c r="B154" s="2" t="s">
        <v>492</v>
      </c>
      <c r="C154" s="2" t="s">
        <v>7</v>
      </c>
      <c r="D154" s="2" t="s">
        <v>493</v>
      </c>
      <c r="E154" s="2" t="s">
        <v>494</v>
      </c>
      <c r="F154" s="6">
        <v>45685.50208333333</v>
      </c>
      <c r="G154" s="2">
        <v>56453.0</v>
      </c>
      <c r="H154" s="2">
        <v>56453.0</v>
      </c>
      <c r="I154" s="2">
        <v>47990.0</v>
      </c>
      <c r="J154" s="2">
        <v>196.0</v>
      </c>
      <c r="K154" s="2">
        <v>194.0</v>
      </c>
      <c r="L154" s="2">
        <v>3.0</v>
      </c>
      <c r="M154" s="4">
        <v>7078.0</v>
      </c>
      <c r="N154" s="2" t="s">
        <v>30</v>
      </c>
      <c r="O154" s="2">
        <v>70.0</v>
      </c>
      <c r="P154" s="2" t="s">
        <v>31</v>
      </c>
      <c r="Q154" s="2" t="s">
        <v>32</v>
      </c>
      <c r="R154" s="2">
        <v>31.0</v>
      </c>
      <c r="U154" s="2" t="b">
        <v>0</v>
      </c>
      <c r="V154" s="5">
        <v>0.004</v>
      </c>
      <c r="W154" s="5">
        <v>0.0155</v>
      </c>
      <c r="X154" s="5">
        <v>6.3E-5</v>
      </c>
      <c r="Y154" s="2">
        <v>36.48453608</v>
      </c>
      <c r="AA154" s="2" t="s">
        <v>33</v>
      </c>
    </row>
    <row r="155">
      <c r="A155" s="2">
        <v>1519.0</v>
      </c>
      <c r="B155" s="2" t="s">
        <v>495</v>
      </c>
      <c r="C155" s="2" t="s">
        <v>7</v>
      </c>
      <c r="D155" s="2" t="s">
        <v>496</v>
      </c>
      <c r="E155" s="2" t="s">
        <v>497</v>
      </c>
      <c r="F155" s="6">
        <v>45685.50347222222</v>
      </c>
      <c r="G155" s="2">
        <v>44275.0</v>
      </c>
      <c r="H155" s="2">
        <v>44275.0</v>
      </c>
      <c r="I155" s="2">
        <v>35248.0</v>
      </c>
      <c r="J155" s="2">
        <v>217.0</v>
      </c>
      <c r="K155" s="2">
        <v>207.0</v>
      </c>
      <c r="L155" s="2">
        <v>2.0</v>
      </c>
      <c r="M155" s="4">
        <v>31690.0</v>
      </c>
      <c r="N155" s="2" t="s">
        <v>36</v>
      </c>
      <c r="O155" s="2">
        <v>71.0</v>
      </c>
      <c r="P155" s="2" t="s">
        <v>31</v>
      </c>
      <c r="Q155" s="2" t="s">
        <v>32</v>
      </c>
      <c r="R155" s="2">
        <v>35.0</v>
      </c>
      <c r="U155" s="2" t="b">
        <v>0</v>
      </c>
      <c r="V155" s="5">
        <v>0.0059</v>
      </c>
      <c r="W155" s="5">
        <v>0.0097</v>
      </c>
      <c r="X155" s="5">
        <v>5.7E-5</v>
      </c>
      <c r="Y155" s="2">
        <v>153.0917874</v>
      </c>
      <c r="AA155" s="2" t="s">
        <v>33</v>
      </c>
    </row>
    <row r="156">
      <c r="A156" s="2">
        <v>1521.0</v>
      </c>
      <c r="B156" s="2" t="s">
        <v>498</v>
      </c>
      <c r="C156" s="2" t="s">
        <v>7</v>
      </c>
      <c r="D156" s="2" t="s">
        <v>499</v>
      </c>
      <c r="E156" s="2" t="s">
        <v>500</v>
      </c>
      <c r="F156" s="6">
        <v>45685.625</v>
      </c>
      <c r="G156" s="2">
        <v>44280.0</v>
      </c>
      <c r="H156" s="2">
        <v>44280.0</v>
      </c>
      <c r="I156" s="2">
        <v>35480.0</v>
      </c>
      <c r="J156" s="2">
        <v>261.0</v>
      </c>
      <c r="K156" s="2">
        <v>248.0</v>
      </c>
      <c r="L156" s="2">
        <v>4.0</v>
      </c>
      <c r="M156" s="4">
        <v>5055.0</v>
      </c>
      <c r="N156" s="2" t="s">
        <v>36</v>
      </c>
      <c r="O156" s="2">
        <v>71.0</v>
      </c>
      <c r="P156" s="2" t="s">
        <v>31</v>
      </c>
      <c r="Q156" s="2" t="s">
        <v>32</v>
      </c>
      <c r="R156" s="2">
        <v>47.0</v>
      </c>
      <c r="U156" s="2" t="b">
        <v>0</v>
      </c>
      <c r="V156" s="5">
        <v>0.007</v>
      </c>
      <c r="W156" s="5">
        <v>0.0161</v>
      </c>
      <c r="X156" s="5">
        <v>1.13E-4</v>
      </c>
      <c r="Y156" s="2">
        <v>20.38306452</v>
      </c>
      <c r="AA156" s="2" t="s">
        <v>33</v>
      </c>
    </row>
    <row r="157">
      <c r="A157" s="2">
        <v>1520.0</v>
      </c>
      <c r="B157" s="2" t="s">
        <v>501</v>
      </c>
      <c r="C157" s="2" t="s">
        <v>7</v>
      </c>
      <c r="D157" s="2" t="s">
        <v>502</v>
      </c>
      <c r="E157" s="2" t="s">
        <v>503</v>
      </c>
      <c r="F157" s="6">
        <v>45685.625</v>
      </c>
      <c r="G157" s="2">
        <v>56490.0</v>
      </c>
      <c r="H157" s="2">
        <v>56490.0</v>
      </c>
      <c r="I157" s="2">
        <v>48068.0</v>
      </c>
      <c r="J157" s="2">
        <v>203.0</v>
      </c>
      <c r="K157" s="2">
        <v>198.0</v>
      </c>
      <c r="L157" s="2">
        <v>7.0</v>
      </c>
      <c r="M157" s="4">
        <v>15321.0</v>
      </c>
      <c r="N157" s="2" t="s">
        <v>30</v>
      </c>
      <c r="O157" s="2">
        <v>70.0</v>
      </c>
      <c r="P157" s="2" t="s">
        <v>31</v>
      </c>
      <c r="Q157" s="2" t="s">
        <v>32</v>
      </c>
      <c r="R157" s="2">
        <v>31.0</v>
      </c>
      <c r="U157" s="2" t="b">
        <v>0</v>
      </c>
      <c r="V157" s="5">
        <v>0.0041</v>
      </c>
      <c r="W157" s="5">
        <v>0.0354</v>
      </c>
      <c r="X157" s="5">
        <v>1.46E-4</v>
      </c>
      <c r="Y157" s="2">
        <v>77.37878788</v>
      </c>
      <c r="Z157" s="2">
        <v>5196.0</v>
      </c>
      <c r="AA157" s="2" t="s">
        <v>33</v>
      </c>
    </row>
    <row r="158">
      <c r="A158" s="2">
        <v>1523.0</v>
      </c>
      <c r="B158" s="2" t="s">
        <v>504</v>
      </c>
      <c r="C158" s="2" t="s">
        <v>7</v>
      </c>
      <c r="D158" s="2" t="s">
        <v>505</v>
      </c>
      <c r="E158" s="2" t="s">
        <v>506</v>
      </c>
      <c r="F158" s="6">
        <v>45685.708333333336</v>
      </c>
      <c r="G158" s="2">
        <v>44332.0</v>
      </c>
      <c r="H158" s="2">
        <v>44332.0</v>
      </c>
      <c r="I158" s="2">
        <v>35534.0</v>
      </c>
      <c r="J158" s="2">
        <v>262.0</v>
      </c>
      <c r="K158" s="2">
        <v>256.0</v>
      </c>
      <c r="L158" s="2">
        <v>2.0</v>
      </c>
      <c r="M158" s="4">
        <v>12618.0</v>
      </c>
      <c r="N158" s="2" t="s">
        <v>36</v>
      </c>
      <c r="O158" s="2">
        <v>71.0</v>
      </c>
      <c r="P158" s="2" t="s">
        <v>31</v>
      </c>
      <c r="Q158" s="2" t="s">
        <v>32</v>
      </c>
      <c r="R158" s="2">
        <v>47.0</v>
      </c>
      <c r="T158" s="2" t="s">
        <v>47</v>
      </c>
      <c r="U158" s="2" t="b">
        <v>0</v>
      </c>
      <c r="V158" s="5">
        <v>0.0072</v>
      </c>
      <c r="W158" s="5">
        <v>0.0078</v>
      </c>
      <c r="X158" s="5">
        <v>5.6E-5</v>
      </c>
      <c r="Y158" s="2">
        <v>49.2890625</v>
      </c>
      <c r="AA158" s="2" t="s">
        <v>33</v>
      </c>
    </row>
    <row r="159">
      <c r="A159" s="2">
        <v>1522.0</v>
      </c>
      <c r="B159" s="2" t="s">
        <v>507</v>
      </c>
      <c r="C159" s="2" t="s">
        <v>7</v>
      </c>
      <c r="D159" s="2" t="s">
        <v>508</v>
      </c>
      <c r="E159" s="2" t="s">
        <v>509</v>
      </c>
      <c r="F159" s="6">
        <v>45685.708333333336</v>
      </c>
      <c r="G159" s="2">
        <v>56534.0</v>
      </c>
      <c r="H159" s="2">
        <v>56534.0</v>
      </c>
      <c r="I159" s="2">
        <v>48157.0</v>
      </c>
      <c r="J159" s="2">
        <v>295.0</v>
      </c>
      <c r="K159" s="2">
        <v>290.0</v>
      </c>
      <c r="L159" s="2">
        <v>9.0</v>
      </c>
      <c r="M159" s="4">
        <v>23564.0</v>
      </c>
      <c r="N159" s="2" t="s">
        <v>30</v>
      </c>
      <c r="O159" s="2">
        <v>70.0</v>
      </c>
      <c r="P159" s="2" t="s">
        <v>31</v>
      </c>
      <c r="Q159" s="2" t="s">
        <v>32</v>
      </c>
      <c r="R159" s="2">
        <v>44.0</v>
      </c>
      <c r="T159" s="2" t="s">
        <v>47</v>
      </c>
      <c r="U159" s="2" t="b">
        <v>0</v>
      </c>
      <c r="V159" s="5">
        <v>0.006</v>
      </c>
      <c r="W159" s="5">
        <v>0.031</v>
      </c>
      <c r="X159" s="5">
        <v>1.87E-4</v>
      </c>
      <c r="Y159" s="2">
        <v>81.25517241</v>
      </c>
      <c r="Z159" s="2" t="s">
        <v>510</v>
      </c>
      <c r="AA159" s="2" t="s">
        <v>33</v>
      </c>
    </row>
    <row r="160">
      <c r="A160" s="2">
        <v>1524.0</v>
      </c>
      <c r="B160" s="2" t="s">
        <v>511</v>
      </c>
      <c r="C160" s="2" t="s">
        <v>7</v>
      </c>
      <c r="D160" s="2" t="s">
        <v>512</v>
      </c>
      <c r="E160" s="2" t="s">
        <v>513</v>
      </c>
      <c r="F160" s="6">
        <v>45686.45347222222</v>
      </c>
      <c r="G160" s="2">
        <v>56669.0</v>
      </c>
      <c r="H160" s="2">
        <v>56669.0</v>
      </c>
      <c r="I160" s="2">
        <v>48056.0</v>
      </c>
      <c r="J160" s="2">
        <v>210.0</v>
      </c>
      <c r="K160" s="2">
        <v>208.0</v>
      </c>
      <c r="L160" s="2">
        <v>3.0</v>
      </c>
      <c r="M160" s="4">
        <v>9733.0</v>
      </c>
      <c r="N160" s="2" t="s">
        <v>30</v>
      </c>
      <c r="O160" s="2">
        <v>70.0</v>
      </c>
      <c r="P160" s="2" t="s">
        <v>31</v>
      </c>
      <c r="Q160" s="2" t="s">
        <v>32</v>
      </c>
      <c r="R160" s="2">
        <v>29.0</v>
      </c>
      <c r="U160" s="2" t="b">
        <v>0</v>
      </c>
      <c r="V160" s="5">
        <v>0.0043</v>
      </c>
      <c r="W160" s="5">
        <v>0.0144</v>
      </c>
      <c r="X160" s="5">
        <v>6.2E-5</v>
      </c>
      <c r="Y160" s="2">
        <v>46.79326923</v>
      </c>
      <c r="AA160" s="2" t="s">
        <v>33</v>
      </c>
    </row>
    <row r="161">
      <c r="A161" s="2">
        <v>1525.0</v>
      </c>
      <c r="B161" s="2" t="s">
        <v>514</v>
      </c>
      <c r="C161" s="2" t="s">
        <v>7</v>
      </c>
      <c r="D161" s="2" t="s">
        <v>515</v>
      </c>
      <c r="E161" s="2" t="s">
        <v>516</v>
      </c>
      <c r="F161" s="6">
        <v>45686.45486111111</v>
      </c>
      <c r="G161" s="2">
        <v>44462.0</v>
      </c>
      <c r="H161" s="2">
        <v>44462.0</v>
      </c>
      <c r="I161" s="2">
        <v>35320.0</v>
      </c>
      <c r="J161" s="2">
        <v>255.0</v>
      </c>
      <c r="K161" s="2">
        <v>248.0</v>
      </c>
      <c r="L161" s="2">
        <v>8.0</v>
      </c>
      <c r="M161" s="4">
        <v>35863.0</v>
      </c>
      <c r="N161" s="2" t="s">
        <v>36</v>
      </c>
      <c r="O161" s="2">
        <v>71.0</v>
      </c>
      <c r="P161" s="2" t="s">
        <v>31</v>
      </c>
      <c r="Q161" s="2" t="s">
        <v>32</v>
      </c>
      <c r="R161" s="2">
        <v>25.0</v>
      </c>
      <c r="T161" s="2" t="s">
        <v>47</v>
      </c>
      <c r="U161" s="2" t="b">
        <v>0</v>
      </c>
      <c r="V161" s="5">
        <v>0.007</v>
      </c>
      <c r="W161" s="5">
        <v>0.0323</v>
      </c>
      <c r="X161" s="5">
        <v>2.27E-4</v>
      </c>
      <c r="Y161" s="2">
        <v>144.608871</v>
      </c>
      <c r="AA161" s="2" t="s">
        <v>33</v>
      </c>
    </row>
    <row r="162">
      <c r="A162" s="2">
        <v>1527.0</v>
      </c>
      <c r="B162" s="2" t="s">
        <v>517</v>
      </c>
      <c r="C162" s="2" t="s">
        <v>7</v>
      </c>
      <c r="D162" s="2" t="s">
        <v>172</v>
      </c>
      <c r="E162" s="2" t="s">
        <v>290</v>
      </c>
      <c r="F162" s="6">
        <v>45686.625</v>
      </c>
      <c r="G162" s="2">
        <v>44479.0</v>
      </c>
      <c r="H162" s="2">
        <v>44479.0</v>
      </c>
      <c r="I162" s="2">
        <v>35617.0</v>
      </c>
      <c r="J162" s="2">
        <v>192.0</v>
      </c>
      <c r="K162" s="2">
        <v>183.0</v>
      </c>
      <c r="L162" s="2">
        <v>5.0</v>
      </c>
      <c r="M162" s="4">
        <v>16073.0</v>
      </c>
      <c r="N162" s="2" t="s">
        <v>36</v>
      </c>
      <c r="O162" s="2">
        <v>71.0</v>
      </c>
      <c r="P162" s="2" t="s">
        <v>189</v>
      </c>
      <c r="Q162" s="2" t="s">
        <v>32</v>
      </c>
      <c r="R162" s="2">
        <v>24.0</v>
      </c>
      <c r="T162" s="2" t="s">
        <v>47</v>
      </c>
      <c r="U162" s="2" t="b">
        <v>0</v>
      </c>
      <c r="V162" s="5">
        <v>0.0051</v>
      </c>
      <c r="W162" s="5">
        <v>0.0273</v>
      </c>
      <c r="X162" s="5">
        <v>1.4E-4</v>
      </c>
      <c r="Y162" s="2">
        <v>87.83060109</v>
      </c>
      <c r="AA162" s="2" t="s">
        <v>33</v>
      </c>
    </row>
    <row r="163">
      <c r="A163" s="2">
        <v>1526.0</v>
      </c>
      <c r="B163" s="2" t="s">
        <v>518</v>
      </c>
      <c r="C163" s="2" t="s">
        <v>7</v>
      </c>
      <c r="D163" s="2" t="s">
        <v>170</v>
      </c>
      <c r="E163" s="2" t="s">
        <v>288</v>
      </c>
      <c r="F163" s="6">
        <v>45686.625</v>
      </c>
      <c r="G163" s="2">
        <v>56757.0</v>
      </c>
      <c r="H163" s="2">
        <v>56757.0</v>
      </c>
      <c r="I163" s="2">
        <v>48414.0</v>
      </c>
      <c r="J163" s="2">
        <v>223.0</v>
      </c>
      <c r="K163" s="2">
        <v>217.0</v>
      </c>
      <c r="L163" s="2">
        <v>3.0</v>
      </c>
      <c r="M163" s="4">
        <v>8485.0</v>
      </c>
      <c r="N163" s="2" t="s">
        <v>30</v>
      </c>
      <c r="O163" s="2">
        <v>70.0</v>
      </c>
      <c r="P163" s="2" t="s">
        <v>31</v>
      </c>
      <c r="Q163" s="2" t="s">
        <v>32</v>
      </c>
      <c r="R163" s="2">
        <v>27.0</v>
      </c>
      <c r="T163" s="2" t="s">
        <v>47</v>
      </c>
      <c r="U163" s="2" t="b">
        <v>0</v>
      </c>
      <c r="V163" s="5">
        <v>0.0045</v>
      </c>
      <c r="W163" s="5">
        <v>0.0138</v>
      </c>
      <c r="X163" s="5">
        <v>6.2E-5</v>
      </c>
      <c r="Y163" s="2">
        <v>39.10138249</v>
      </c>
      <c r="AA163" s="2" t="s">
        <v>33</v>
      </c>
    </row>
    <row r="164">
      <c r="A164" s="2">
        <v>1529.0</v>
      </c>
      <c r="B164" s="2" t="s">
        <v>519</v>
      </c>
      <c r="C164" s="2" t="s">
        <v>7</v>
      </c>
      <c r="D164" s="2" t="s">
        <v>520</v>
      </c>
      <c r="E164" s="2" t="s">
        <v>521</v>
      </c>
      <c r="F164" s="6">
        <v>45686.708333333336</v>
      </c>
      <c r="G164" s="2">
        <v>44509.0</v>
      </c>
      <c r="H164" s="2">
        <v>44509.0</v>
      </c>
      <c r="I164" s="2">
        <v>35686.0</v>
      </c>
      <c r="J164" s="2">
        <v>287.0</v>
      </c>
      <c r="K164" s="2">
        <v>278.0</v>
      </c>
      <c r="L164" s="2">
        <v>10.0</v>
      </c>
      <c r="M164" s="4">
        <v>46762.0</v>
      </c>
      <c r="N164" s="2" t="s">
        <v>36</v>
      </c>
      <c r="O164" s="2">
        <v>71.0</v>
      </c>
      <c r="P164" s="2" t="s">
        <v>189</v>
      </c>
      <c r="Q164" s="2" t="s">
        <v>32</v>
      </c>
      <c r="R164" s="2">
        <v>35.0</v>
      </c>
      <c r="T164" s="2" t="s">
        <v>143</v>
      </c>
      <c r="U164" s="2" t="b">
        <v>0</v>
      </c>
      <c r="V164" s="5">
        <v>0.0078</v>
      </c>
      <c r="W164" s="5">
        <v>0.036</v>
      </c>
      <c r="X164" s="5">
        <v>2.8E-4</v>
      </c>
      <c r="Y164" s="2">
        <v>168.2086331</v>
      </c>
      <c r="AA164" s="2" t="s">
        <v>33</v>
      </c>
    </row>
    <row r="165">
      <c r="A165" s="2">
        <v>1528.0</v>
      </c>
      <c r="B165" s="2" t="s">
        <v>522</v>
      </c>
      <c r="C165" s="2" t="s">
        <v>7</v>
      </c>
      <c r="D165" s="2" t="s">
        <v>523</v>
      </c>
      <c r="E165" s="2" t="s">
        <v>524</v>
      </c>
      <c r="F165" s="6">
        <v>45686.708333333336</v>
      </c>
      <c r="G165" s="2">
        <v>56808.0</v>
      </c>
      <c r="H165" s="2">
        <v>56808.0</v>
      </c>
      <c r="I165" s="2">
        <v>48426.0</v>
      </c>
      <c r="J165" s="2">
        <v>358.0</v>
      </c>
      <c r="K165" s="2">
        <v>355.0</v>
      </c>
      <c r="L165" s="2">
        <v>7.0</v>
      </c>
      <c r="M165" s="4">
        <v>17276.0</v>
      </c>
      <c r="N165" s="2" t="s">
        <v>30</v>
      </c>
      <c r="O165" s="2">
        <v>70.0</v>
      </c>
      <c r="P165" s="2" t="s">
        <v>189</v>
      </c>
      <c r="Q165" s="2" t="s">
        <v>32</v>
      </c>
      <c r="R165" s="2">
        <v>32.0</v>
      </c>
      <c r="T165" s="2" t="s">
        <v>143</v>
      </c>
      <c r="U165" s="2" t="b">
        <v>0</v>
      </c>
      <c r="V165" s="5">
        <v>0.0073</v>
      </c>
      <c r="W165" s="5">
        <v>0.0197</v>
      </c>
      <c r="X165" s="5">
        <v>1.45E-4</v>
      </c>
      <c r="Y165" s="2">
        <v>48.66478873</v>
      </c>
      <c r="AA165" s="2" t="s">
        <v>33</v>
      </c>
    </row>
    <row r="166">
      <c r="A166" s="2">
        <v>1530.0</v>
      </c>
      <c r="B166" s="2" t="s">
        <v>525</v>
      </c>
      <c r="C166" s="2" t="s">
        <v>7</v>
      </c>
      <c r="D166" s="2" t="s">
        <v>526</v>
      </c>
      <c r="E166" s="2" t="s">
        <v>527</v>
      </c>
      <c r="F166" s="6">
        <v>45687.45763888889</v>
      </c>
      <c r="G166" s="2">
        <v>56949.0</v>
      </c>
      <c r="H166" s="2">
        <v>56949.0</v>
      </c>
      <c r="I166" s="2">
        <v>48339.0</v>
      </c>
      <c r="J166" s="2">
        <v>196.0</v>
      </c>
      <c r="K166" s="2">
        <v>191.0</v>
      </c>
      <c r="L166" s="2">
        <v>5.0</v>
      </c>
      <c r="M166" s="4">
        <v>34981.0</v>
      </c>
      <c r="N166" s="2" t="s">
        <v>30</v>
      </c>
      <c r="O166" s="2">
        <v>70.0</v>
      </c>
      <c r="P166" s="2" t="s">
        <v>189</v>
      </c>
      <c r="Q166" s="2" t="s">
        <v>32</v>
      </c>
      <c r="R166" s="2">
        <v>32.0</v>
      </c>
      <c r="U166" s="2" t="b">
        <v>0</v>
      </c>
      <c r="V166" s="5">
        <v>0.004</v>
      </c>
      <c r="W166" s="5">
        <v>0.0262</v>
      </c>
      <c r="X166" s="5">
        <v>1.03E-4</v>
      </c>
      <c r="Y166" s="2">
        <v>183.1465969</v>
      </c>
      <c r="AA166" s="2" t="s">
        <v>33</v>
      </c>
    </row>
    <row r="167">
      <c r="A167" s="2">
        <v>1531.0</v>
      </c>
      <c r="B167" s="2" t="s">
        <v>528</v>
      </c>
      <c r="C167" s="2" t="s">
        <v>7</v>
      </c>
      <c r="D167" s="2" t="s">
        <v>529</v>
      </c>
      <c r="E167" s="2" t="s">
        <v>530</v>
      </c>
      <c r="F167" s="6">
        <v>45687.459027777775</v>
      </c>
      <c r="G167" s="2">
        <v>44611.0</v>
      </c>
      <c r="H167" s="2">
        <v>44611.0</v>
      </c>
      <c r="I167" s="2">
        <v>35436.0</v>
      </c>
      <c r="J167" s="2">
        <v>239.0</v>
      </c>
      <c r="K167" s="2">
        <v>232.0</v>
      </c>
      <c r="L167" s="2">
        <v>8.0</v>
      </c>
      <c r="M167" s="4">
        <v>19119.0</v>
      </c>
      <c r="N167" s="2" t="s">
        <v>36</v>
      </c>
      <c r="O167" s="2">
        <v>71.0</v>
      </c>
      <c r="P167" s="2" t="s">
        <v>189</v>
      </c>
      <c r="Q167" s="2" t="s">
        <v>32</v>
      </c>
      <c r="R167" s="2">
        <v>30.0</v>
      </c>
      <c r="T167" s="2" t="s">
        <v>47</v>
      </c>
      <c r="U167" s="2" t="b">
        <v>0</v>
      </c>
      <c r="V167" s="5">
        <v>0.0065</v>
      </c>
      <c r="W167" s="5">
        <v>0.0345</v>
      </c>
      <c r="X167" s="5">
        <v>2.26E-4</v>
      </c>
      <c r="Y167" s="2">
        <v>82.40948276</v>
      </c>
      <c r="AA167" s="2" t="s">
        <v>33</v>
      </c>
    </row>
    <row r="168">
      <c r="A168" s="2">
        <v>1533.0</v>
      </c>
      <c r="B168" s="2" t="s">
        <v>531</v>
      </c>
      <c r="C168" s="2" t="s">
        <v>7</v>
      </c>
      <c r="D168" s="2" t="s">
        <v>532</v>
      </c>
      <c r="E168" s="2" t="s">
        <v>533</v>
      </c>
      <c r="F168" s="6">
        <v>45687.625</v>
      </c>
      <c r="G168" s="2">
        <v>44623.0</v>
      </c>
      <c r="H168" s="2">
        <v>44623.0</v>
      </c>
      <c r="I168" s="2">
        <v>35707.0</v>
      </c>
      <c r="J168" s="2">
        <v>248.0</v>
      </c>
      <c r="K168" s="2">
        <v>240.0</v>
      </c>
      <c r="L168" s="2">
        <v>5.0</v>
      </c>
      <c r="M168" s="4">
        <v>28303.0</v>
      </c>
      <c r="N168" s="2" t="s">
        <v>36</v>
      </c>
      <c r="O168" s="2">
        <v>71.0</v>
      </c>
      <c r="P168" s="2" t="s">
        <v>189</v>
      </c>
      <c r="Q168" s="2" t="s">
        <v>32</v>
      </c>
      <c r="R168" s="2">
        <v>28.0</v>
      </c>
      <c r="U168" s="2" t="b">
        <v>0</v>
      </c>
      <c r="V168" s="5">
        <v>0.0067</v>
      </c>
      <c r="W168" s="5">
        <v>0.0208</v>
      </c>
      <c r="X168" s="5">
        <v>1.4E-4</v>
      </c>
      <c r="Y168" s="2">
        <v>117.9291667</v>
      </c>
      <c r="AA168" s="2" t="s">
        <v>33</v>
      </c>
    </row>
    <row r="169">
      <c r="A169" s="2">
        <v>1532.0</v>
      </c>
      <c r="B169" s="2" t="s">
        <v>534</v>
      </c>
      <c r="C169" s="2" t="s">
        <v>7</v>
      </c>
      <c r="D169" s="2" t="s">
        <v>535</v>
      </c>
      <c r="E169" s="2" t="s">
        <v>536</v>
      </c>
      <c r="F169" s="6">
        <v>45687.625</v>
      </c>
      <c r="G169" s="2">
        <v>57031.0</v>
      </c>
      <c r="H169" s="2">
        <v>57031.0</v>
      </c>
      <c r="I169" s="2">
        <v>48578.0</v>
      </c>
      <c r="J169" s="2">
        <v>318.0</v>
      </c>
      <c r="K169" s="2">
        <v>315.0</v>
      </c>
      <c r="L169" s="2">
        <v>5.0</v>
      </c>
      <c r="M169" s="4">
        <v>22566.0</v>
      </c>
      <c r="N169" s="2" t="s">
        <v>30</v>
      </c>
      <c r="O169" s="2">
        <v>70.0</v>
      </c>
      <c r="P169" s="2" t="s">
        <v>189</v>
      </c>
      <c r="Q169" s="2" t="s">
        <v>32</v>
      </c>
      <c r="R169" s="2">
        <v>29.0</v>
      </c>
      <c r="T169" s="7" t="str">
        <f>IFERROR(__xludf.DUMMYFUNCTION("AI(""has offer Come X Pay X"",D169)"),"Come 4 Pay 3")</f>
        <v>Come 4 Pay 3</v>
      </c>
      <c r="U169" s="2" t="b">
        <v>0</v>
      </c>
      <c r="V169" s="5">
        <v>0.0065</v>
      </c>
      <c r="W169" s="5">
        <v>0.0159</v>
      </c>
      <c r="X169" s="5">
        <v>1.03E-4</v>
      </c>
      <c r="Y169" s="2">
        <v>71.63809524</v>
      </c>
      <c r="Z169" s="2">
        <v>1003.0</v>
      </c>
      <c r="AA169" s="2" t="s">
        <v>33</v>
      </c>
    </row>
    <row r="170">
      <c r="A170" s="2">
        <v>1535.0</v>
      </c>
      <c r="B170" s="2" t="s">
        <v>537</v>
      </c>
      <c r="C170" s="2" t="s">
        <v>7</v>
      </c>
      <c r="D170" s="2" t="s">
        <v>538</v>
      </c>
      <c r="E170" s="2" t="s">
        <v>539</v>
      </c>
      <c r="F170" s="6">
        <v>45687.708333333336</v>
      </c>
      <c r="G170" s="2">
        <v>44624.0</v>
      </c>
      <c r="H170" s="2">
        <v>44624.0</v>
      </c>
      <c r="I170" s="2">
        <v>35724.0</v>
      </c>
      <c r="J170" s="2">
        <v>295.0</v>
      </c>
      <c r="K170" s="2">
        <v>284.0</v>
      </c>
      <c r="L170" s="2">
        <v>7.0</v>
      </c>
      <c r="M170" s="4">
        <v>19452.0</v>
      </c>
      <c r="N170" s="2" t="s">
        <v>36</v>
      </c>
      <c r="O170" s="2">
        <v>71.0</v>
      </c>
      <c r="P170" s="2" t="s">
        <v>31</v>
      </c>
      <c r="Q170" s="2" t="s">
        <v>32</v>
      </c>
      <c r="R170" s="2">
        <v>43.0</v>
      </c>
      <c r="T170" s="2" t="s">
        <v>47</v>
      </c>
      <c r="U170" s="2" t="b">
        <v>0</v>
      </c>
      <c r="V170" s="5">
        <v>0.0079</v>
      </c>
      <c r="W170" s="5">
        <v>0.0246</v>
      </c>
      <c r="X170" s="5">
        <v>1.96E-4</v>
      </c>
      <c r="Y170" s="2">
        <v>68.49295775</v>
      </c>
      <c r="AA170" s="2" t="s">
        <v>33</v>
      </c>
    </row>
    <row r="171">
      <c r="A171" s="2">
        <v>1534.0</v>
      </c>
      <c r="B171" s="2" t="s">
        <v>540</v>
      </c>
      <c r="C171" s="2" t="s">
        <v>7</v>
      </c>
      <c r="D171" s="2" t="s">
        <v>541</v>
      </c>
      <c r="E171" s="2" t="s">
        <v>542</v>
      </c>
      <c r="F171" s="6">
        <v>45687.708333333336</v>
      </c>
      <c r="G171" s="2">
        <v>57085.0</v>
      </c>
      <c r="H171" s="2">
        <v>57085.0</v>
      </c>
      <c r="I171" s="2">
        <v>48628.0</v>
      </c>
      <c r="J171" s="2">
        <v>279.0</v>
      </c>
      <c r="K171" s="2">
        <v>272.0</v>
      </c>
      <c r="L171" s="2">
        <v>6.0</v>
      </c>
      <c r="M171" s="4">
        <v>12368.0</v>
      </c>
      <c r="N171" s="2" t="s">
        <v>30</v>
      </c>
      <c r="O171" s="2">
        <v>70.0</v>
      </c>
      <c r="P171" s="2" t="s">
        <v>31</v>
      </c>
      <c r="Q171" s="2" t="s">
        <v>32</v>
      </c>
      <c r="R171" s="2">
        <v>41.0</v>
      </c>
      <c r="T171" s="7" t="str">
        <f>IFERROR(__xludf.DUMMYFUNCTION("AI(""has offer Come X Pay X"",D171)"),"No")</f>
        <v>No</v>
      </c>
      <c r="U171" s="2" t="b">
        <v>0</v>
      </c>
      <c r="V171" s="5">
        <v>0.0056</v>
      </c>
      <c r="W171" s="5">
        <v>0.0221</v>
      </c>
      <c r="X171" s="5">
        <v>1.23E-4</v>
      </c>
      <c r="Y171" s="2">
        <v>45.47058824</v>
      </c>
      <c r="AA171" s="2" t="s">
        <v>33</v>
      </c>
    </row>
    <row r="172">
      <c r="A172" s="2">
        <v>1536.0</v>
      </c>
      <c r="B172" s="2" t="s">
        <v>543</v>
      </c>
      <c r="C172" s="2" t="s">
        <v>7</v>
      </c>
      <c r="D172" s="2" t="s">
        <v>544</v>
      </c>
      <c r="E172" s="2" t="s">
        <v>545</v>
      </c>
      <c r="F172" s="6">
        <v>45688.47986111111</v>
      </c>
      <c r="G172" s="2">
        <v>57200.0</v>
      </c>
      <c r="H172" s="2">
        <v>57200.0</v>
      </c>
      <c r="I172" s="2">
        <v>48564.0</v>
      </c>
      <c r="J172" s="2">
        <v>356.0</v>
      </c>
      <c r="K172" s="2">
        <v>348.0</v>
      </c>
      <c r="L172" s="2">
        <v>7.0</v>
      </c>
      <c r="M172" s="4">
        <v>24481.0</v>
      </c>
      <c r="N172" s="2" t="s">
        <v>30</v>
      </c>
      <c r="O172" s="2">
        <v>70.0</v>
      </c>
      <c r="P172" s="2" t="s">
        <v>189</v>
      </c>
      <c r="Q172" s="2" t="s">
        <v>32</v>
      </c>
      <c r="R172" s="2">
        <v>45.0</v>
      </c>
      <c r="U172" s="2" t="b">
        <v>0</v>
      </c>
      <c r="V172" s="5">
        <v>0.0072</v>
      </c>
      <c r="W172" s="5">
        <v>0.0201</v>
      </c>
      <c r="X172" s="5">
        <v>1.44E-4</v>
      </c>
      <c r="Y172" s="2">
        <v>70.34770115</v>
      </c>
      <c r="Z172" s="2">
        <v>3005.0</v>
      </c>
      <c r="AA172" s="2" t="s">
        <v>33</v>
      </c>
    </row>
    <row r="173">
      <c r="A173" s="2">
        <v>1537.0</v>
      </c>
      <c r="B173" s="2" t="s">
        <v>546</v>
      </c>
      <c r="C173" s="2" t="s">
        <v>7</v>
      </c>
      <c r="D173" s="2" t="s">
        <v>547</v>
      </c>
      <c r="E173" s="2" t="s">
        <v>548</v>
      </c>
      <c r="F173" s="6">
        <v>45688.48125</v>
      </c>
      <c r="G173" s="2">
        <v>44724.0</v>
      </c>
      <c r="H173" s="2">
        <v>44724.0</v>
      </c>
      <c r="I173" s="2">
        <v>35529.0</v>
      </c>
      <c r="J173" s="2">
        <v>254.0</v>
      </c>
      <c r="K173" s="2">
        <v>240.0</v>
      </c>
      <c r="L173" s="2">
        <v>0.0</v>
      </c>
      <c r="M173" s="2">
        <v>0.0</v>
      </c>
      <c r="N173" s="2" t="s">
        <v>36</v>
      </c>
      <c r="O173" s="2">
        <v>71.0</v>
      </c>
      <c r="P173" s="2" t="s">
        <v>189</v>
      </c>
      <c r="Q173" s="2" t="s">
        <v>32</v>
      </c>
      <c r="R173" s="2">
        <v>59.0</v>
      </c>
      <c r="U173" s="2" t="b">
        <v>0</v>
      </c>
      <c r="V173" s="5">
        <v>0.0068</v>
      </c>
      <c r="W173" s="5">
        <v>0.0</v>
      </c>
      <c r="X173" s="5">
        <v>0.0</v>
      </c>
      <c r="Y173" s="2">
        <v>0.0</v>
      </c>
      <c r="AA173" s="2" t="s">
        <v>33</v>
      </c>
    </row>
    <row r="174">
      <c r="A174" s="2">
        <v>1538.0</v>
      </c>
      <c r="B174" s="2" t="s">
        <v>549</v>
      </c>
      <c r="C174" s="2" t="s">
        <v>7</v>
      </c>
      <c r="D174" s="2" t="s">
        <v>550</v>
      </c>
      <c r="E174" s="2" t="s">
        <v>551</v>
      </c>
      <c r="F174" s="6">
        <v>45688.62291666667</v>
      </c>
      <c r="G174" s="2">
        <v>57217.0</v>
      </c>
      <c r="H174" s="2">
        <v>57217.0</v>
      </c>
      <c r="I174" s="2">
        <v>48576.0</v>
      </c>
      <c r="J174" s="2">
        <v>346.0</v>
      </c>
      <c r="K174" s="2">
        <v>343.0</v>
      </c>
      <c r="L174" s="2">
        <v>11.0</v>
      </c>
      <c r="M174" s="4">
        <v>38213.0</v>
      </c>
      <c r="N174" s="2" t="s">
        <v>30</v>
      </c>
      <c r="O174" s="2">
        <v>70.0</v>
      </c>
      <c r="P174" s="2" t="s">
        <v>189</v>
      </c>
      <c r="Q174" s="2" t="s">
        <v>32</v>
      </c>
      <c r="R174" s="2">
        <v>30.0</v>
      </c>
      <c r="T174" s="2" t="s">
        <v>162</v>
      </c>
      <c r="U174" s="2" t="b">
        <v>0</v>
      </c>
      <c r="V174" s="5">
        <v>0.0071</v>
      </c>
      <c r="W174" s="5">
        <v>0.0321</v>
      </c>
      <c r="X174" s="5">
        <v>2.26E-4</v>
      </c>
      <c r="Y174" s="2">
        <v>111.4081633</v>
      </c>
      <c r="Z174" s="2">
        <v>4413.0</v>
      </c>
      <c r="AA174" s="2" t="s">
        <v>33</v>
      </c>
    </row>
    <row r="175">
      <c r="A175" s="2">
        <v>1539.0</v>
      </c>
      <c r="B175" s="2" t="s">
        <v>552</v>
      </c>
      <c r="C175" s="2" t="s">
        <v>7</v>
      </c>
      <c r="D175" s="2" t="s">
        <v>553</v>
      </c>
      <c r="E175" s="2" t="s">
        <v>554</v>
      </c>
      <c r="F175" s="6">
        <v>45688.62430555555</v>
      </c>
      <c r="G175" s="2">
        <v>44716.0</v>
      </c>
      <c r="H175" s="2">
        <v>44716.0</v>
      </c>
      <c r="I175" s="2">
        <v>35665.0</v>
      </c>
      <c r="J175" s="2">
        <v>340.0</v>
      </c>
      <c r="K175" s="2">
        <v>336.0</v>
      </c>
      <c r="L175" s="2">
        <v>5.0</v>
      </c>
      <c r="M175" s="4">
        <v>10657.0</v>
      </c>
      <c r="N175" s="2" t="s">
        <v>36</v>
      </c>
      <c r="O175" s="2">
        <v>71.0</v>
      </c>
      <c r="P175" s="2" t="s">
        <v>189</v>
      </c>
      <c r="Q175" s="2" t="s">
        <v>32</v>
      </c>
      <c r="R175" s="2">
        <v>29.0</v>
      </c>
      <c r="T175" s="2" t="s">
        <v>555</v>
      </c>
      <c r="U175" s="2" t="b">
        <v>0</v>
      </c>
      <c r="V175" s="5">
        <v>0.0094</v>
      </c>
      <c r="W175" s="5">
        <v>0.0149</v>
      </c>
      <c r="X175" s="5">
        <v>1.4E-4</v>
      </c>
      <c r="Y175" s="2">
        <v>31.7172619</v>
      </c>
      <c r="AA175" s="2" t="s">
        <v>33</v>
      </c>
    </row>
    <row r="176">
      <c r="A176" s="2">
        <v>1541.0</v>
      </c>
      <c r="B176" s="2" t="s">
        <v>556</v>
      </c>
      <c r="C176" s="2" t="s">
        <v>7</v>
      </c>
      <c r="D176" s="2" t="s">
        <v>557</v>
      </c>
      <c r="E176" s="2" t="s">
        <v>558</v>
      </c>
      <c r="F176" s="6">
        <v>45688.708333333336</v>
      </c>
      <c r="G176" s="2">
        <v>44723.0</v>
      </c>
      <c r="H176" s="2">
        <v>44723.0</v>
      </c>
      <c r="I176" s="2">
        <v>35783.0</v>
      </c>
      <c r="J176" s="2">
        <v>348.0</v>
      </c>
      <c r="K176" s="2">
        <v>334.0</v>
      </c>
      <c r="L176" s="2">
        <v>10.0</v>
      </c>
      <c r="M176" s="4">
        <v>30374.0</v>
      </c>
      <c r="N176" s="2" t="s">
        <v>36</v>
      </c>
      <c r="O176" s="2">
        <v>71.0</v>
      </c>
      <c r="P176" s="2" t="s">
        <v>189</v>
      </c>
      <c r="Q176" s="2" t="s">
        <v>32</v>
      </c>
      <c r="R176" s="2">
        <v>28.0</v>
      </c>
      <c r="T176" s="2" t="s">
        <v>47</v>
      </c>
      <c r="U176" s="2" t="b">
        <v>0</v>
      </c>
      <c r="V176" s="5">
        <v>0.0093</v>
      </c>
      <c r="W176" s="5">
        <v>0.0299</v>
      </c>
      <c r="X176" s="5">
        <v>2.79E-4</v>
      </c>
      <c r="Y176" s="2">
        <v>90.94011976</v>
      </c>
      <c r="AA176" s="2" t="s">
        <v>33</v>
      </c>
    </row>
    <row r="177">
      <c r="A177" s="2">
        <v>1540.0</v>
      </c>
      <c r="B177" s="2" t="s">
        <v>559</v>
      </c>
      <c r="C177" s="2" t="s">
        <v>7</v>
      </c>
      <c r="D177" s="2" t="s">
        <v>560</v>
      </c>
      <c r="E177" s="2" t="s">
        <v>561</v>
      </c>
      <c r="F177" s="6">
        <v>45688.708333333336</v>
      </c>
      <c r="G177" s="2">
        <v>57253.0</v>
      </c>
      <c r="H177" s="2">
        <v>57253.0</v>
      </c>
      <c r="I177" s="2">
        <v>48701.0</v>
      </c>
      <c r="J177" s="2">
        <v>340.0</v>
      </c>
      <c r="K177" s="2">
        <v>337.0</v>
      </c>
      <c r="L177" s="2">
        <v>4.0</v>
      </c>
      <c r="M177" s="4">
        <v>22136.0</v>
      </c>
      <c r="N177" s="2" t="s">
        <v>30</v>
      </c>
      <c r="O177" s="2">
        <v>70.0</v>
      </c>
      <c r="P177" s="2" t="s">
        <v>189</v>
      </c>
      <c r="Q177" s="2" t="s">
        <v>32</v>
      </c>
      <c r="R177" s="2">
        <v>32.0</v>
      </c>
      <c r="T177" s="2" t="s">
        <v>47</v>
      </c>
      <c r="U177" s="2" t="b">
        <v>0</v>
      </c>
      <c r="V177" s="5">
        <v>0.0069</v>
      </c>
      <c r="W177" s="5">
        <v>0.0119</v>
      </c>
      <c r="X177" s="5">
        <v>8.2E-5</v>
      </c>
      <c r="Y177" s="2">
        <v>65.68545994</v>
      </c>
      <c r="Z177" s="2">
        <v>4456.0</v>
      </c>
      <c r="AA177" s="2" t="s">
        <v>33</v>
      </c>
    </row>
    <row r="178">
      <c r="A178" s="2">
        <v>1543.0</v>
      </c>
      <c r="B178" s="2" t="s">
        <v>562</v>
      </c>
      <c r="C178" s="2" t="s">
        <v>7</v>
      </c>
      <c r="D178" s="2" t="s">
        <v>563</v>
      </c>
      <c r="E178" s="2" t="s">
        <v>564</v>
      </c>
      <c r="F178" s="6">
        <v>45689.458333333336</v>
      </c>
      <c r="G178" s="2">
        <v>44820.0</v>
      </c>
      <c r="H178" s="2">
        <v>44820.0</v>
      </c>
      <c r="I178" s="2">
        <v>35473.0</v>
      </c>
      <c r="J178" s="2">
        <v>222.0</v>
      </c>
      <c r="K178" s="2">
        <v>214.0</v>
      </c>
      <c r="L178" s="2">
        <v>5.0</v>
      </c>
      <c r="M178" s="4">
        <v>16453.0</v>
      </c>
      <c r="N178" s="2" t="s">
        <v>36</v>
      </c>
      <c r="O178" s="2">
        <v>71.0</v>
      </c>
      <c r="P178" s="2" t="s">
        <v>189</v>
      </c>
      <c r="Q178" s="2" t="s">
        <v>32</v>
      </c>
      <c r="R178" s="2">
        <v>34.0</v>
      </c>
      <c r="T178" s="2" t="s">
        <v>47</v>
      </c>
      <c r="U178" s="2" t="b">
        <v>0</v>
      </c>
      <c r="V178" s="5">
        <v>0.006</v>
      </c>
      <c r="W178" s="5">
        <v>0.0234</v>
      </c>
      <c r="X178" s="5">
        <v>1.41E-4</v>
      </c>
      <c r="Y178" s="2">
        <v>76.88317757</v>
      </c>
      <c r="AA178" s="2" t="s">
        <v>33</v>
      </c>
    </row>
    <row r="179">
      <c r="A179" s="2">
        <v>1542.0</v>
      </c>
      <c r="B179" s="2" t="s">
        <v>565</v>
      </c>
      <c r="C179" s="2" t="s">
        <v>7</v>
      </c>
      <c r="D179" s="2" t="s">
        <v>566</v>
      </c>
      <c r="E179" s="2" t="s">
        <v>567</v>
      </c>
      <c r="F179" s="6">
        <v>45689.458333333336</v>
      </c>
      <c r="G179" s="2">
        <v>57392.0</v>
      </c>
      <c r="H179" s="2">
        <v>57392.0</v>
      </c>
      <c r="I179" s="2">
        <v>48512.0</v>
      </c>
      <c r="J179" s="2">
        <v>226.0</v>
      </c>
      <c r="K179" s="2">
        <v>220.0</v>
      </c>
      <c r="L179" s="2">
        <v>5.0</v>
      </c>
      <c r="M179" s="4">
        <v>15302.0</v>
      </c>
      <c r="N179" s="2" t="s">
        <v>30</v>
      </c>
      <c r="O179" s="2">
        <v>70.0</v>
      </c>
      <c r="P179" s="2" t="s">
        <v>189</v>
      </c>
      <c r="Q179" s="2" t="s">
        <v>32</v>
      </c>
      <c r="R179" s="2">
        <v>46.0</v>
      </c>
      <c r="T179" s="2" t="s">
        <v>47</v>
      </c>
      <c r="U179" s="2" t="b">
        <v>0</v>
      </c>
      <c r="V179" s="5">
        <v>0.0045</v>
      </c>
      <c r="W179" s="5">
        <v>0.0227</v>
      </c>
      <c r="X179" s="5">
        <v>1.03E-4</v>
      </c>
      <c r="Y179" s="2">
        <v>69.55454545</v>
      </c>
      <c r="AA179" s="2" t="s">
        <v>33</v>
      </c>
    </row>
    <row r="180">
      <c r="A180" s="2">
        <v>1545.0</v>
      </c>
      <c r="B180" s="2" t="s">
        <v>568</v>
      </c>
      <c r="C180" s="2" t="s">
        <v>7</v>
      </c>
      <c r="D180" s="2" t="s">
        <v>569</v>
      </c>
      <c r="E180" s="2" t="s">
        <v>570</v>
      </c>
      <c r="F180" s="6">
        <v>45689.541666666664</v>
      </c>
      <c r="G180" s="2">
        <v>44799.0</v>
      </c>
      <c r="H180" s="2">
        <v>44799.0</v>
      </c>
      <c r="I180" s="2">
        <v>35676.0</v>
      </c>
      <c r="J180" s="2">
        <v>287.0</v>
      </c>
      <c r="K180" s="2">
        <v>279.0</v>
      </c>
      <c r="L180" s="2">
        <v>5.0</v>
      </c>
      <c r="M180" s="4">
        <v>11517.0</v>
      </c>
      <c r="N180" s="2" t="s">
        <v>36</v>
      </c>
      <c r="O180" s="2">
        <v>71.0</v>
      </c>
      <c r="P180" s="2" t="s">
        <v>31</v>
      </c>
      <c r="Q180" s="2" t="s">
        <v>32</v>
      </c>
      <c r="R180" s="2">
        <v>30.0</v>
      </c>
      <c r="U180" s="2" t="b">
        <v>1</v>
      </c>
      <c r="V180" s="5">
        <v>0.0078</v>
      </c>
      <c r="W180" s="5">
        <v>0.0179</v>
      </c>
      <c r="X180" s="5">
        <v>1.4E-4</v>
      </c>
      <c r="Y180" s="2">
        <v>41.27956989</v>
      </c>
      <c r="AA180" s="2" t="s">
        <v>33</v>
      </c>
    </row>
    <row r="181">
      <c r="A181" s="2">
        <v>1544.0</v>
      </c>
      <c r="B181" s="2" t="s">
        <v>571</v>
      </c>
      <c r="C181" s="2" t="s">
        <v>7</v>
      </c>
      <c r="D181" s="2" t="s">
        <v>572</v>
      </c>
      <c r="E181" s="2" t="s">
        <v>573</v>
      </c>
      <c r="F181" s="6">
        <v>45689.541666666664</v>
      </c>
      <c r="G181" s="2">
        <v>57392.0</v>
      </c>
      <c r="H181" s="2">
        <v>57392.0</v>
      </c>
      <c r="I181" s="2">
        <v>48668.0</v>
      </c>
      <c r="J181" s="2">
        <v>357.0</v>
      </c>
      <c r="K181" s="2">
        <v>351.0</v>
      </c>
      <c r="L181" s="2">
        <v>6.0</v>
      </c>
      <c r="M181" s="4">
        <v>33629.0</v>
      </c>
      <c r="N181" s="2" t="s">
        <v>30</v>
      </c>
      <c r="O181" s="2">
        <v>70.0</v>
      </c>
      <c r="P181" s="2" t="s">
        <v>189</v>
      </c>
      <c r="Q181" s="2" t="s">
        <v>32</v>
      </c>
      <c r="R181" s="2">
        <v>30.0</v>
      </c>
      <c r="U181" s="2" t="b">
        <v>0</v>
      </c>
      <c r="V181" s="5">
        <v>0.0072</v>
      </c>
      <c r="W181" s="5">
        <v>0.0171</v>
      </c>
      <c r="X181" s="5">
        <v>1.23E-4</v>
      </c>
      <c r="Y181" s="2">
        <v>95.80911681</v>
      </c>
      <c r="Z181" s="2">
        <v>5196.0</v>
      </c>
      <c r="AA181" s="2" t="s">
        <v>33</v>
      </c>
    </row>
    <row r="182">
      <c r="A182" s="2">
        <v>1547.0</v>
      </c>
      <c r="B182" s="2" t="s">
        <v>574</v>
      </c>
      <c r="C182" s="2" t="s">
        <v>7</v>
      </c>
      <c r="D182" s="2" t="s">
        <v>575</v>
      </c>
      <c r="E182" s="2" t="s">
        <v>576</v>
      </c>
      <c r="F182" s="6">
        <v>45689.625</v>
      </c>
      <c r="G182" s="2">
        <v>44850.0</v>
      </c>
      <c r="H182" s="2">
        <v>44850.0</v>
      </c>
      <c r="I182" s="2">
        <v>35716.0</v>
      </c>
      <c r="J182" s="2">
        <v>260.0</v>
      </c>
      <c r="K182" s="2">
        <v>247.0</v>
      </c>
      <c r="L182" s="2">
        <v>4.0</v>
      </c>
      <c r="M182" s="4">
        <v>16385.0</v>
      </c>
      <c r="N182" s="2" t="s">
        <v>36</v>
      </c>
      <c r="O182" s="2">
        <v>71.0</v>
      </c>
      <c r="P182" s="2" t="s">
        <v>189</v>
      </c>
      <c r="Q182" s="2" t="s">
        <v>32</v>
      </c>
      <c r="R182" s="2">
        <v>36.0</v>
      </c>
      <c r="U182" s="2" t="b">
        <v>0</v>
      </c>
      <c r="V182" s="5">
        <v>0.0069</v>
      </c>
      <c r="W182" s="5">
        <v>0.0162</v>
      </c>
      <c r="X182" s="5">
        <v>1.12E-4</v>
      </c>
      <c r="Y182" s="2">
        <v>66.33603239</v>
      </c>
      <c r="AA182" s="2" t="s">
        <v>33</v>
      </c>
    </row>
    <row r="183">
      <c r="A183" s="2">
        <v>1546.0</v>
      </c>
      <c r="B183" s="2" t="s">
        <v>577</v>
      </c>
      <c r="C183" s="2" t="s">
        <v>7</v>
      </c>
      <c r="D183" s="2" t="s">
        <v>578</v>
      </c>
      <c r="E183" s="2" t="s">
        <v>579</v>
      </c>
      <c r="F183" s="6">
        <v>45689.625</v>
      </c>
      <c r="G183" s="2">
        <v>57444.0</v>
      </c>
      <c r="H183" s="2">
        <v>57444.0</v>
      </c>
      <c r="I183" s="2">
        <v>48725.0</v>
      </c>
      <c r="J183" s="2">
        <v>251.0</v>
      </c>
      <c r="K183" s="2">
        <v>248.0</v>
      </c>
      <c r="L183" s="2">
        <v>3.0</v>
      </c>
      <c r="M183" s="4">
        <v>7502.0</v>
      </c>
      <c r="N183" s="2" t="s">
        <v>30</v>
      </c>
      <c r="O183" s="2">
        <v>70.0</v>
      </c>
      <c r="P183" s="2" t="s">
        <v>189</v>
      </c>
      <c r="Q183" s="2" t="s">
        <v>32</v>
      </c>
      <c r="R183" s="2">
        <v>39.0</v>
      </c>
      <c r="T183" s="2" t="s">
        <v>47</v>
      </c>
      <c r="U183" s="2" t="b">
        <v>0</v>
      </c>
      <c r="V183" s="5">
        <v>0.0051</v>
      </c>
      <c r="W183" s="5">
        <v>0.0121</v>
      </c>
      <c r="X183" s="5">
        <v>6.2E-5</v>
      </c>
      <c r="Y183" s="2">
        <v>30.25</v>
      </c>
      <c r="Z183" s="2">
        <v>4511.0</v>
      </c>
      <c r="AA183" s="2" t="s">
        <v>33</v>
      </c>
    </row>
    <row r="184">
      <c r="A184" s="2">
        <v>1549.0</v>
      </c>
      <c r="B184" s="2" t="s">
        <v>580</v>
      </c>
      <c r="C184" s="2" t="s">
        <v>7</v>
      </c>
      <c r="D184" s="2" t="s">
        <v>581</v>
      </c>
      <c r="E184" s="2" t="s">
        <v>582</v>
      </c>
      <c r="F184" s="6">
        <v>45690.458333333336</v>
      </c>
      <c r="G184" s="2">
        <v>44924.0</v>
      </c>
      <c r="H184" s="2">
        <v>44924.0</v>
      </c>
      <c r="I184" s="2">
        <v>35449.0</v>
      </c>
      <c r="J184" s="2">
        <v>374.0</v>
      </c>
      <c r="K184" s="2">
        <v>361.0</v>
      </c>
      <c r="L184" s="2">
        <v>8.0</v>
      </c>
      <c r="M184" s="4">
        <v>24730.0</v>
      </c>
      <c r="N184" s="2" t="s">
        <v>36</v>
      </c>
      <c r="O184" s="2">
        <v>71.0</v>
      </c>
      <c r="P184" s="2" t="s">
        <v>189</v>
      </c>
      <c r="Q184" s="2" t="s">
        <v>32</v>
      </c>
      <c r="R184" s="2">
        <v>24.0</v>
      </c>
      <c r="T184" s="2" t="s">
        <v>58</v>
      </c>
      <c r="U184" s="2" t="b">
        <v>1</v>
      </c>
      <c r="V184" s="5">
        <v>0.0102</v>
      </c>
      <c r="W184" s="5">
        <v>0.0222</v>
      </c>
      <c r="X184" s="5">
        <v>2.26E-4</v>
      </c>
      <c r="Y184" s="2">
        <v>68.50415512</v>
      </c>
      <c r="AA184" s="2" t="s">
        <v>33</v>
      </c>
    </row>
    <row r="185">
      <c r="A185" s="2">
        <v>1548.0</v>
      </c>
      <c r="B185" s="2" t="s">
        <v>583</v>
      </c>
      <c r="C185" s="2" t="s">
        <v>7</v>
      </c>
      <c r="D185" s="2" t="s">
        <v>584</v>
      </c>
      <c r="E185" s="2" t="s">
        <v>585</v>
      </c>
      <c r="F185" s="6">
        <v>45690.458333333336</v>
      </c>
      <c r="G185" s="2">
        <v>57569.0</v>
      </c>
      <c r="H185" s="2">
        <v>57569.0</v>
      </c>
      <c r="I185" s="2">
        <v>48551.0</v>
      </c>
      <c r="J185" s="2">
        <v>478.0</v>
      </c>
      <c r="K185" s="2">
        <v>470.0</v>
      </c>
      <c r="L185" s="2">
        <v>12.0</v>
      </c>
      <c r="M185" s="4">
        <v>22085.0</v>
      </c>
      <c r="N185" s="2" t="s">
        <v>30</v>
      </c>
      <c r="O185" s="2">
        <v>70.0</v>
      </c>
      <c r="P185" s="2" t="s">
        <v>189</v>
      </c>
      <c r="Q185" s="2" t="s">
        <v>32</v>
      </c>
      <c r="R185" s="2">
        <v>42.0</v>
      </c>
      <c r="U185" s="2" t="b">
        <v>0</v>
      </c>
      <c r="V185" s="5">
        <v>0.0097</v>
      </c>
      <c r="W185" s="5">
        <v>0.0255</v>
      </c>
      <c r="X185" s="5">
        <v>2.47E-4</v>
      </c>
      <c r="Y185" s="2">
        <v>46.9893617</v>
      </c>
      <c r="AA185" s="2" t="s">
        <v>33</v>
      </c>
    </row>
    <row r="186">
      <c r="A186" s="2">
        <v>1551.0</v>
      </c>
      <c r="B186" s="2" t="s">
        <v>586</v>
      </c>
      <c r="C186" s="2" t="s">
        <v>7</v>
      </c>
      <c r="D186" s="2" t="s">
        <v>587</v>
      </c>
      <c r="E186" s="2" t="s">
        <v>588</v>
      </c>
      <c r="F186" s="6">
        <v>45690.541666666664</v>
      </c>
      <c r="G186" s="2">
        <v>44873.0</v>
      </c>
      <c r="H186" s="2">
        <v>44873.0</v>
      </c>
      <c r="I186" s="2">
        <v>35691.0</v>
      </c>
      <c r="J186" s="2">
        <v>272.0</v>
      </c>
      <c r="K186" s="2">
        <v>259.0</v>
      </c>
      <c r="L186" s="2">
        <v>5.0</v>
      </c>
      <c r="M186" s="4">
        <v>12664.0</v>
      </c>
      <c r="N186" s="2" t="s">
        <v>36</v>
      </c>
      <c r="O186" s="2">
        <v>71.0</v>
      </c>
      <c r="P186" s="2" t="s">
        <v>189</v>
      </c>
      <c r="Q186" s="2" t="s">
        <v>32</v>
      </c>
      <c r="R186" s="2">
        <v>47.0</v>
      </c>
      <c r="U186" s="2" t="b">
        <v>0</v>
      </c>
      <c r="V186" s="5">
        <v>0.0073</v>
      </c>
      <c r="W186" s="5">
        <v>0.0193</v>
      </c>
      <c r="X186" s="5">
        <v>1.4E-4</v>
      </c>
      <c r="Y186" s="2">
        <v>48.8957529</v>
      </c>
      <c r="AA186" s="2" t="s">
        <v>33</v>
      </c>
    </row>
    <row r="187">
      <c r="A187" s="2">
        <v>1550.0</v>
      </c>
      <c r="B187" s="2" t="s">
        <v>589</v>
      </c>
      <c r="C187" s="2" t="s">
        <v>7</v>
      </c>
      <c r="D187" s="2" t="s">
        <v>590</v>
      </c>
      <c r="E187" s="2" t="s">
        <v>591</v>
      </c>
      <c r="F187" s="6">
        <v>45690.541666666664</v>
      </c>
      <c r="G187" s="2">
        <v>57532.0</v>
      </c>
      <c r="H187" s="2">
        <v>57532.0</v>
      </c>
      <c r="I187" s="2">
        <v>48820.0</v>
      </c>
      <c r="J187" s="2">
        <v>313.0</v>
      </c>
      <c r="K187" s="2">
        <v>305.0</v>
      </c>
      <c r="L187" s="2">
        <v>7.0</v>
      </c>
      <c r="M187" s="4">
        <v>30080.0</v>
      </c>
      <c r="N187" s="2" t="s">
        <v>30</v>
      </c>
      <c r="O187" s="2">
        <v>70.0</v>
      </c>
      <c r="P187" s="2" t="s">
        <v>189</v>
      </c>
      <c r="Q187" s="2" t="s">
        <v>32</v>
      </c>
      <c r="R187" s="2">
        <v>51.0</v>
      </c>
      <c r="T187" s="2" t="s">
        <v>592</v>
      </c>
      <c r="U187" s="2" t="b">
        <v>0</v>
      </c>
      <c r="V187" s="5">
        <v>0.0062</v>
      </c>
      <c r="W187" s="5">
        <v>0.023</v>
      </c>
      <c r="X187" s="5">
        <v>1.43E-4</v>
      </c>
      <c r="Y187" s="2">
        <v>98.62295082</v>
      </c>
      <c r="AA187" s="2" t="s">
        <v>33</v>
      </c>
    </row>
    <row r="188">
      <c r="A188" s="2">
        <v>1553.0</v>
      </c>
      <c r="B188" s="2" t="s">
        <v>593</v>
      </c>
      <c r="C188" s="2" t="s">
        <v>7</v>
      </c>
      <c r="D188" s="2" t="s">
        <v>594</v>
      </c>
      <c r="E188" s="2" t="s">
        <v>595</v>
      </c>
      <c r="F188" s="6">
        <v>45690.625</v>
      </c>
      <c r="G188" s="2">
        <v>44892.0</v>
      </c>
      <c r="H188" s="2">
        <v>44892.0</v>
      </c>
      <c r="I188" s="2">
        <v>35731.0</v>
      </c>
      <c r="J188" s="2">
        <v>286.0</v>
      </c>
      <c r="K188" s="2">
        <v>272.0</v>
      </c>
      <c r="L188" s="2">
        <v>3.0</v>
      </c>
      <c r="M188" s="4">
        <v>10196.0</v>
      </c>
      <c r="N188" s="2" t="s">
        <v>36</v>
      </c>
      <c r="O188" s="2">
        <v>71.0</v>
      </c>
      <c r="P188" s="2" t="s">
        <v>189</v>
      </c>
      <c r="Q188" s="2" t="s">
        <v>32</v>
      </c>
      <c r="R188" s="2">
        <v>39.0</v>
      </c>
      <c r="T188" s="2" t="s">
        <v>47</v>
      </c>
      <c r="U188" s="2" t="b">
        <v>0</v>
      </c>
      <c r="V188" s="5">
        <v>0.0076</v>
      </c>
      <c r="W188" s="5">
        <v>0.011</v>
      </c>
      <c r="X188" s="5">
        <v>8.4E-5</v>
      </c>
      <c r="Y188" s="2">
        <v>37.48529412</v>
      </c>
      <c r="AA188" s="2" t="s">
        <v>33</v>
      </c>
    </row>
    <row r="189">
      <c r="A189" s="2">
        <v>1552.0</v>
      </c>
      <c r="B189" s="2" t="s">
        <v>596</v>
      </c>
      <c r="C189" s="2" t="s">
        <v>7</v>
      </c>
      <c r="D189" s="2" t="s">
        <v>597</v>
      </c>
      <c r="E189" s="2" t="s">
        <v>598</v>
      </c>
      <c r="F189" s="6">
        <v>45690.625</v>
      </c>
      <c r="G189" s="2">
        <v>57578.0</v>
      </c>
      <c r="H189" s="2">
        <v>57578.0</v>
      </c>
      <c r="I189" s="2">
        <v>48811.0</v>
      </c>
      <c r="J189" s="2">
        <v>252.0</v>
      </c>
      <c r="K189" s="2">
        <v>249.0</v>
      </c>
      <c r="L189" s="2">
        <v>8.0</v>
      </c>
      <c r="M189" s="4">
        <v>32553.0</v>
      </c>
      <c r="N189" s="2" t="s">
        <v>30</v>
      </c>
      <c r="O189" s="2">
        <v>70.0</v>
      </c>
      <c r="P189" s="2" t="s">
        <v>31</v>
      </c>
      <c r="Q189" s="2" t="s">
        <v>32</v>
      </c>
      <c r="R189" s="2">
        <v>39.0</v>
      </c>
      <c r="T189" s="2" t="s">
        <v>47</v>
      </c>
      <c r="U189" s="2" t="b">
        <v>0</v>
      </c>
      <c r="V189" s="5">
        <v>0.0051</v>
      </c>
      <c r="W189" s="5">
        <v>0.0321</v>
      </c>
      <c r="X189" s="5">
        <v>1.64E-4</v>
      </c>
      <c r="Y189" s="2">
        <v>130.7349398</v>
      </c>
      <c r="AA189" s="2" t="s">
        <v>33</v>
      </c>
    </row>
    <row r="190">
      <c r="A190" s="2">
        <v>1554.0</v>
      </c>
      <c r="B190" s="2" t="s">
        <v>599</v>
      </c>
      <c r="C190" s="2" t="s">
        <v>7</v>
      </c>
      <c r="D190" s="2" t="s">
        <v>600</v>
      </c>
      <c r="E190" s="2" t="s">
        <v>601</v>
      </c>
      <c r="F190" s="6">
        <v>45691.47430555556</v>
      </c>
      <c r="G190" s="2">
        <v>57758.0</v>
      </c>
      <c r="H190" s="2">
        <v>57758.0</v>
      </c>
      <c r="I190" s="2">
        <v>48870.0</v>
      </c>
      <c r="J190" s="2">
        <v>352.0</v>
      </c>
      <c r="K190" s="2">
        <v>344.0</v>
      </c>
      <c r="L190" s="2">
        <v>5.0</v>
      </c>
      <c r="M190" s="4">
        <v>18083.0</v>
      </c>
      <c r="N190" s="2" t="s">
        <v>30</v>
      </c>
      <c r="O190" s="2">
        <v>70.0</v>
      </c>
      <c r="P190" s="2" t="s">
        <v>189</v>
      </c>
      <c r="Q190" s="2" t="s">
        <v>32</v>
      </c>
      <c r="R190" s="2">
        <v>34.0</v>
      </c>
      <c r="U190" s="2" t="b">
        <v>0</v>
      </c>
      <c r="V190" s="5">
        <v>0.007</v>
      </c>
      <c r="W190" s="5">
        <v>0.0145</v>
      </c>
      <c r="X190" s="5">
        <v>1.02E-4</v>
      </c>
      <c r="Y190" s="2">
        <v>52.56686047</v>
      </c>
      <c r="Z190" s="2">
        <v>4763.0</v>
      </c>
      <c r="AA190" s="2" t="s">
        <v>33</v>
      </c>
    </row>
    <row r="191">
      <c r="A191" s="2">
        <v>1555.0</v>
      </c>
      <c r="B191" s="2" t="s">
        <v>602</v>
      </c>
      <c r="C191" s="2" t="s">
        <v>7</v>
      </c>
      <c r="D191" s="2" t="s">
        <v>603</v>
      </c>
      <c r="E191" s="2" t="s">
        <v>604</v>
      </c>
      <c r="F191" s="6">
        <v>45691.475694444445</v>
      </c>
      <c r="G191" s="2">
        <v>45013.0</v>
      </c>
      <c r="H191" s="2">
        <v>45013.0</v>
      </c>
      <c r="I191" s="2">
        <v>35713.0</v>
      </c>
      <c r="J191" s="2">
        <v>291.0</v>
      </c>
      <c r="K191" s="2">
        <v>286.0</v>
      </c>
      <c r="L191" s="2">
        <v>9.0</v>
      </c>
      <c r="M191" s="4">
        <v>28796.0</v>
      </c>
      <c r="N191" s="2" t="s">
        <v>36</v>
      </c>
      <c r="O191" s="2">
        <v>71.0</v>
      </c>
      <c r="P191" s="2" t="s">
        <v>189</v>
      </c>
      <c r="Q191" s="2" t="s">
        <v>32</v>
      </c>
      <c r="R191" s="2">
        <v>49.0</v>
      </c>
      <c r="T191" s="2" t="s">
        <v>47</v>
      </c>
      <c r="U191" s="2" t="b">
        <v>0</v>
      </c>
      <c r="V191" s="5">
        <v>0.008</v>
      </c>
      <c r="W191" s="5">
        <v>0.0315</v>
      </c>
      <c r="X191" s="5">
        <v>2.52E-4</v>
      </c>
      <c r="Y191" s="2">
        <v>100.6853147</v>
      </c>
      <c r="AA191" s="2" t="s">
        <v>33</v>
      </c>
    </row>
    <row r="192">
      <c r="A192" s="2">
        <v>1557.0</v>
      </c>
      <c r="B192" s="2" t="s">
        <v>605</v>
      </c>
      <c r="C192" s="2" t="s">
        <v>7</v>
      </c>
      <c r="D192" s="2" t="s">
        <v>606</v>
      </c>
      <c r="E192" s="2" t="s">
        <v>607</v>
      </c>
      <c r="F192" s="6">
        <v>45691.625</v>
      </c>
      <c r="G192" s="2">
        <v>44991.0</v>
      </c>
      <c r="H192" s="2">
        <v>44991.0</v>
      </c>
      <c r="I192" s="2">
        <v>35924.0</v>
      </c>
      <c r="J192" s="2">
        <v>250.0</v>
      </c>
      <c r="K192" s="2">
        <v>238.0</v>
      </c>
      <c r="L192" s="2">
        <v>5.0</v>
      </c>
      <c r="M192" s="4">
        <v>12721.0</v>
      </c>
      <c r="N192" s="2" t="s">
        <v>36</v>
      </c>
      <c r="O192" s="2">
        <v>71.0</v>
      </c>
      <c r="P192" s="2" t="s">
        <v>189</v>
      </c>
      <c r="Q192" s="2" t="s">
        <v>32</v>
      </c>
      <c r="R192" s="2">
        <v>34.0</v>
      </c>
      <c r="U192" s="2" t="b">
        <v>0</v>
      </c>
      <c r="V192" s="5">
        <v>0.0066</v>
      </c>
      <c r="W192" s="5">
        <v>0.021</v>
      </c>
      <c r="X192" s="5">
        <v>1.39E-4</v>
      </c>
      <c r="Y192" s="2">
        <v>53.44957983</v>
      </c>
      <c r="AA192" s="2" t="s">
        <v>33</v>
      </c>
    </row>
    <row r="193">
      <c r="A193" s="2">
        <v>1556.0</v>
      </c>
      <c r="B193" s="2" t="s">
        <v>608</v>
      </c>
      <c r="C193" s="2" t="s">
        <v>7</v>
      </c>
      <c r="D193" s="2" t="s">
        <v>609</v>
      </c>
      <c r="E193" s="2" t="s">
        <v>610</v>
      </c>
      <c r="F193" s="6">
        <v>45691.625</v>
      </c>
      <c r="G193" s="2">
        <v>57764.0</v>
      </c>
      <c r="H193" s="2">
        <v>57764.0</v>
      </c>
      <c r="I193" s="2">
        <v>49030.0</v>
      </c>
      <c r="J193" s="2">
        <v>262.0</v>
      </c>
      <c r="K193" s="2">
        <v>255.0</v>
      </c>
      <c r="L193" s="2">
        <v>6.0</v>
      </c>
      <c r="M193" s="4">
        <v>18245.0</v>
      </c>
      <c r="N193" s="2" t="s">
        <v>30</v>
      </c>
      <c r="O193" s="2">
        <v>70.0</v>
      </c>
      <c r="P193" s="2" t="s">
        <v>31</v>
      </c>
      <c r="Q193" s="2" t="s">
        <v>32</v>
      </c>
      <c r="R193" s="2">
        <v>38.0</v>
      </c>
      <c r="U193" s="2" t="b">
        <v>0</v>
      </c>
      <c r="V193" s="5">
        <v>0.0052</v>
      </c>
      <c r="W193" s="5">
        <v>0.0235</v>
      </c>
      <c r="X193" s="5">
        <v>1.22E-4</v>
      </c>
      <c r="Y193" s="2">
        <v>71.54901961</v>
      </c>
      <c r="AA193" s="2" t="s">
        <v>33</v>
      </c>
    </row>
    <row r="194">
      <c r="A194" s="2">
        <v>1559.0</v>
      </c>
      <c r="B194" s="2" t="s">
        <v>611</v>
      </c>
      <c r="C194" s="2" t="s">
        <v>7</v>
      </c>
      <c r="D194" s="2" t="s">
        <v>612</v>
      </c>
      <c r="E194" s="2" t="s">
        <v>613</v>
      </c>
      <c r="F194" s="6">
        <v>45691.708333333336</v>
      </c>
      <c r="G194" s="2">
        <v>44994.0</v>
      </c>
      <c r="H194" s="2">
        <v>44994.0</v>
      </c>
      <c r="I194" s="2">
        <v>35940.0</v>
      </c>
      <c r="J194" s="2">
        <v>233.0</v>
      </c>
      <c r="K194" s="2">
        <v>221.0</v>
      </c>
      <c r="L194" s="2">
        <v>5.0</v>
      </c>
      <c r="M194" s="4">
        <v>17728.0</v>
      </c>
      <c r="N194" s="2" t="s">
        <v>36</v>
      </c>
      <c r="O194" s="2">
        <v>71.0</v>
      </c>
      <c r="P194" s="2" t="s">
        <v>189</v>
      </c>
      <c r="Q194" s="2" t="s">
        <v>32</v>
      </c>
      <c r="R194" s="2">
        <v>25.0</v>
      </c>
      <c r="T194" s="2" t="s">
        <v>47</v>
      </c>
      <c r="U194" s="2" t="b">
        <v>0</v>
      </c>
      <c r="V194" s="5">
        <v>0.0061</v>
      </c>
      <c r="W194" s="5">
        <v>0.0226</v>
      </c>
      <c r="X194" s="5">
        <v>1.39E-4</v>
      </c>
      <c r="Y194" s="2">
        <v>80.21719457</v>
      </c>
      <c r="AA194" s="2" t="s">
        <v>33</v>
      </c>
    </row>
    <row r="195">
      <c r="A195" s="2">
        <v>1558.0</v>
      </c>
      <c r="B195" s="2" t="s">
        <v>614</v>
      </c>
      <c r="C195" s="2" t="s">
        <v>7</v>
      </c>
      <c r="D195" s="2" t="s">
        <v>615</v>
      </c>
      <c r="E195" s="2" t="s">
        <v>616</v>
      </c>
      <c r="F195" s="6">
        <v>45691.708333333336</v>
      </c>
      <c r="G195" s="2">
        <v>57783.0</v>
      </c>
      <c r="H195" s="2">
        <v>57783.0</v>
      </c>
      <c r="I195" s="2">
        <v>48998.0</v>
      </c>
      <c r="J195" s="2">
        <v>288.0</v>
      </c>
      <c r="K195" s="2">
        <v>284.0</v>
      </c>
      <c r="L195" s="2">
        <v>4.0</v>
      </c>
      <c r="M195" s="4">
        <v>8800.0</v>
      </c>
      <c r="N195" s="2" t="s">
        <v>30</v>
      </c>
      <c r="O195" s="2">
        <v>70.0</v>
      </c>
      <c r="P195" s="2" t="s">
        <v>189</v>
      </c>
      <c r="Q195" s="2" t="s">
        <v>32</v>
      </c>
      <c r="R195" s="2">
        <v>22.0</v>
      </c>
      <c r="T195" s="2" t="s">
        <v>47</v>
      </c>
      <c r="U195" s="2" t="b">
        <v>0</v>
      </c>
      <c r="V195" s="5">
        <v>0.0058</v>
      </c>
      <c r="W195" s="5">
        <v>0.0141</v>
      </c>
      <c r="X195" s="5">
        <v>8.2E-5</v>
      </c>
      <c r="Y195" s="2">
        <v>30.98591549</v>
      </c>
      <c r="Z195" s="2">
        <v>5304.0</v>
      </c>
      <c r="AA195" s="2" t="s">
        <v>33</v>
      </c>
    </row>
    <row r="196">
      <c r="A196" s="2">
        <v>1560.0</v>
      </c>
      <c r="B196" s="2" t="s">
        <v>617</v>
      </c>
      <c r="C196" s="2" t="s">
        <v>7</v>
      </c>
      <c r="D196" s="2" t="s">
        <v>618</v>
      </c>
      <c r="E196" s="2" t="s">
        <v>619</v>
      </c>
      <c r="F196" s="6">
        <v>45692.49444444444</v>
      </c>
      <c r="G196" s="2">
        <v>57878.0</v>
      </c>
      <c r="H196" s="2">
        <v>57878.0</v>
      </c>
      <c r="I196" s="2">
        <v>49010.0</v>
      </c>
      <c r="J196" s="2">
        <v>449.0</v>
      </c>
      <c r="K196" s="2">
        <v>441.0</v>
      </c>
      <c r="L196" s="2">
        <v>11.0</v>
      </c>
      <c r="M196" s="4">
        <v>30861.0</v>
      </c>
      <c r="N196" s="2" t="s">
        <v>30</v>
      </c>
      <c r="O196" s="2">
        <v>70.0</v>
      </c>
      <c r="P196" s="2" t="s">
        <v>189</v>
      </c>
      <c r="Q196" s="2" t="s">
        <v>32</v>
      </c>
      <c r="R196" s="2">
        <v>30.0</v>
      </c>
      <c r="T196" s="2" t="s">
        <v>58</v>
      </c>
      <c r="U196" s="2" t="b">
        <v>0</v>
      </c>
      <c r="V196" s="5">
        <v>0.009</v>
      </c>
      <c r="W196" s="5">
        <v>0.0249</v>
      </c>
      <c r="X196" s="5">
        <v>2.24E-4</v>
      </c>
      <c r="Y196" s="2">
        <v>69.97959184</v>
      </c>
      <c r="Z196" s="2">
        <v>3596.0</v>
      </c>
      <c r="AA196" s="2" t="s">
        <v>33</v>
      </c>
    </row>
    <row r="197">
      <c r="A197" s="2">
        <v>1561.0</v>
      </c>
      <c r="B197" s="2" t="s">
        <v>620</v>
      </c>
      <c r="C197" s="2" t="s">
        <v>7</v>
      </c>
      <c r="D197" s="2" t="s">
        <v>621</v>
      </c>
      <c r="E197" s="2" t="s">
        <v>622</v>
      </c>
      <c r="F197" s="6">
        <v>45692.495833333334</v>
      </c>
      <c r="G197" s="2">
        <v>45079.0</v>
      </c>
      <c r="H197" s="2">
        <v>45079.0</v>
      </c>
      <c r="I197" s="2">
        <v>35794.0</v>
      </c>
      <c r="J197" s="2">
        <v>289.0</v>
      </c>
      <c r="K197" s="2">
        <v>280.0</v>
      </c>
      <c r="L197" s="2">
        <v>4.0</v>
      </c>
      <c r="M197" s="4">
        <v>6686.0</v>
      </c>
      <c r="N197" s="2" t="s">
        <v>36</v>
      </c>
      <c r="O197" s="2">
        <v>71.0</v>
      </c>
      <c r="P197" s="2" t="s">
        <v>189</v>
      </c>
      <c r="Q197" s="2" t="s">
        <v>32</v>
      </c>
      <c r="R197" s="2">
        <v>32.0</v>
      </c>
      <c r="U197" s="2" t="b">
        <v>1</v>
      </c>
      <c r="V197" s="5">
        <v>0.0078</v>
      </c>
      <c r="W197" s="5">
        <v>0.0143</v>
      </c>
      <c r="X197" s="5">
        <v>1.12E-4</v>
      </c>
      <c r="Y197" s="2">
        <v>23.87857143</v>
      </c>
      <c r="AA197" s="2" t="s">
        <v>33</v>
      </c>
    </row>
    <row r="198">
      <c r="A198" s="2">
        <v>1563.0</v>
      </c>
      <c r="B198" s="2" t="s">
        <v>623</v>
      </c>
      <c r="C198" s="2" t="s">
        <v>7</v>
      </c>
      <c r="D198" s="2" t="s">
        <v>624</v>
      </c>
      <c r="E198" s="2" t="s">
        <v>625</v>
      </c>
      <c r="F198" s="6">
        <v>45692.625</v>
      </c>
      <c r="G198" s="2">
        <v>45047.0</v>
      </c>
      <c r="H198" s="2">
        <v>45047.0</v>
      </c>
      <c r="I198" s="2">
        <v>35929.0</v>
      </c>
      <c r="J198" s="2">
        <v>221.0</v>
      </c>
      <c r="K198" s="2">
        <v>214.0</v>
      </c>
      <c r="L198" s="2">
        <v>2.0</v>
      </c>
      <c r="M198" s="4">
        <v>2987.0</v>
      </c>
      <c r="N198" s="2" t="s">
        <v>36</v>
      </c>
      <c r="O198" s="2">
        <v>71.0</v>
      </c>
      <c r="P198" s="2" t="s">
        <v>31</v>
      </c>
      <c r="Q198" s="2" t="s">
        <v>32</v>
      </c>
      <c r="R198" s="2">
        <v>42.0</v>
      </c>
      <c r="T198" s="2" t="s">
        <v>47</v>
      </c>
      <c r="U198" s="2" t="b">
        <v>0</v>
      </c>
      <c r="V198" s="5">
        <v>0.006</v>
      </c>
      <c r="W198" s="5">
        <v>0.0093</v>
      </c>
      <c r="X198" s="5">
        <v>5.6E-5</v>
      </c>
      <c r="Y198" s="2">
        <v>13.95794393</v>
      </c>
      <c r="AA198" s="2" t="s">
        <v>33</v>
      </c>
    </row>
    <row r="199">
      <c r="A199" s="2">
        <v>1562.0</v>
      </c>
      <c r="B199" s="2" t="s">
        <v>626</v>
      </c>
      <c r="C199" s="2" t="s">
        <v>7</v>
      </c>
      <c r="D199" s="2" t="s">
        <v>627</v>
      </c>
      <c r="E199" s="2" t="s">
        <v>628</v>
      </c>
      <c r="F199" s="6">
        <v>45692.625</v>
      </c>
      <c r="G199" s="2">
        <v>57877.0</v>
      </c>
      <c r="H199" s="2">
        <v>57877.0</v>
      </c>
      <c r="I199" s="2">
        <v>49093.0</v>
      </c>
      <c r="J199" s="2">
        <v>295.0</v>
      </c>
      <c r="K199" s="2">
        <v>288.0</v>
      </c>
      <c r="L199" s="2">
        <v>10.0</v>
      </c>
      <c r="M199" s="4">
        <v>29184.0</v>
      </c>
      <c r="N199" s="2" t="s">
        <v>30</v>
      </c>
      <c r="O199" s="2">
        <v>70.0</v>
      </c>
      <c r="P199" s="2" t="s">
        <v>189</v>
      </c>
      <c r="Q199" s="2" t="s">
        <v>32</v>
      </c>
      <c r="R199" s="2">
        <v>41.0</v>
      </c>
      <c r="U199" s="2" t="b">
        <v>0</v>
      </c>
      <c r="V199" s="5">
        <v>0.0059</v>
      </c>
      <c r="W199" s="5">
        <v>0.0347</v>
      </c>
      <c r="X199" s="5">
        <v>2.04E-4</v>
      </c>
      <c r="Y199" s="2">
        <v>101.3333333</v>
      </c>
      <c r="Z199" s="2">
        <v>4412.0</v>
      </c>
      <c r="AA199" s="2" t="s">
        <v>33</v>
      </c>
    </row>
    <row r="200">
      <c r="A200" s="2">
        <v>1565.0</v>
      </c>
      <c r="B200" s="2" t="s">
        <v>629</v>
      </c>
      <c r="C200" s="2" t="s">
        <v>7</v>
      </c>
      <c r="D200" s="2" t="s">
        <v>630</v>
      </c>
      <c r="E200" s="2" t="s">
        <v>631</v>
      </c>
      <c r="F200" s="6">
        <v>45692.708333333336</v>
      </c>
      <c r="G200" s="2">
        <v>45061.0</v>
      </c>
      <c r="H200" s="2">
        <v>45061.0</v>
      </c>
      <c r="I200" s="2">
        <v>35994.0</v>
      </c>
      <c r="J200" s="2">
        <v>220.0</v>
      </c>
      <c r="K200" s="2">
        <v>209.0</v>
      </c>
      <c r="L200" s="2">
        <v>1.0</v>
      </c>
      <c r="M200" s="4">
        <v>2598.0</v>
      </c>
      <c r="N200" s="2" t="s">
        <v>36</v>
      </c>
      <c r="O200" s="2">
        <v>71.0</v>
      </c>
      <c r="P200" s="2" t="s">
        <v>189</v>
      </c>
      <c r="Q200" s="2" t="s">
        <v>32</v>
      </c>
      <c r="R200" s="2">
        <v>52.0</v>
      </c>
      <c r="U200" s="2" t="b">
        <v>0</v>
      </c>
      <c r="V200" s="5">
        <v>0.0058</v>
      </c>
      <c r="W200" s="5">
        <v>0.0048</v>
      </c>
      <c r="X200" s="5">
        <v>2.8E-5</v>
      </c>
      <c r="Y200" s="2">
        <v>12.43062201</v>
      </c>
      <c r="AA200" s="2" t="s">
        <v>33</v>
      </c>
    </row>
    <row r="201">
      <c r="A201" s="2">
        <v>1564.0</v>
      </c>
      <c r="B201" s="2" t="s">
        <v>632</v>
      </c>
      <c r="C201" s="2" t="s">
        <v>7</v>
      </c>
      <c r="D201" s="2" t="s">
        <v>633</v>
      </c>
      <c r="E201" s="2" t="s">
        <v>634</v>
      </c>
      <c r="F201" s="6">
        <v>45692.708333333336</v>
      </c>
      <c r="G201" s="2">
        <v>57912.0</v>
      </c>
      <c r="H201" s="2">
        <v>57912.0</v>
      </c>
      <c r="I201" s="2">
        <v>49139.0</v>
      </c>
      <c r="J201" s="2">
        <v>271.0</v>
      </c>
      <c r="K201" s="2">
        <v>266.0</v>
      </c>
      <c r="L201" s="2">
        <v>15.0</v>
      </c>
      <c r="M201" s="4">
        <v>57241.0</v>
      </c>
      <c r="N201" s="2" t="s">
        <v>30</v>
      </c>
      <c r="O201" s="2">
        <v>70.0</v>
      </c>
      <c r="P201" s="2" t="s">
        <v>189</v>
      </c>
      <c r="Q201" s="2" t="s">
        <v>32</v>
      </c>
      <c r="R201" s="2">
        <v>45.0</v>
      </c>
      <c r="T201" s="2" t="s">
        <v>47</v>
      </c>
      <c r="U201" s="2" t="b">
        <v>0</v>
      </c>
      <c r="V201" s="5">
        <v>0.0054</v>
      </c>
      <c r="W201" s="5">
        <v>0.0564</v>
      </c>
      <c r="X201" s="5">
        <v>3.05E-4</v>
      </c>
      <c r="Y201" s="2">
        <v>215.1917293</v>
      </c>
      <c r="Z201" s="2">
        <v>712.0</v>
      </c>
      <c r="AA201" s="2" t="s">
        <v>33</v>
      </c>
    </row>
    <row r="202">
      <c r="A202" s="2">
        <v>1566.0</v>
      </c>
      <c r="B202" s="2" t="s">
        <v>635</v>
      </c>
      <c r="C202" s="2" t="s">
        <v>7</v>
      </c>
      <c r="D202" s="2" t="s">
        <v>170</v>
      </c>
      <c r="E202" s="2" t="s">
        <v>288</v>
      </c>
      <c r="F202" s="6">
        <v>45693.47222222222</v>
      </c>
      <c r="G202" s="2">
        <v>57969.0</v>
      </c>
      <c r="H202" s="2">
        <v>57969.0</v>
      </c>
      <c r="I202" s="2">
        <v>49046.0</v>
      </c>
      <c r="J202" s="2">
        <v>213.0</v>
      </c>
      <c r="K202" s="2">
        <v>208.0</v>
      </c>
      <c r="L202" s="2">
        <v>5.0</v>
      </c>
      <c r="M202" s="4">
        <v>10473.0</v>
      </c>
      <c r="N202" s="2" t="s">
        <v>30</v>
      </c>
      <c r="O202" s="2">
        <v>70.0</v>
      </c>
      <c r="P202" s="2" t="s">
        <v>189</v>
      </c>
      <c r="Q202" s="2" t="s">
        <v>32</v>
      </c>
      <c r="R202" s="2">
        <v>27.0</v>
      </c>
      <c r="T202" s="2" t="s">
        <v>47</v>
      </c>
      <c r="U202" s="2" t="b">
        <v>0</v>
      </c>
      <c r="V202" s="5">
        <v>0.0042</v>
      </c>
      <c r="W202" s="5">
        <v>0.024</v>
      </c>
      <c r="X202" s="5">
        <v>1.02E-4</v>
      </c>
      <c r="Y202" s="2">
        <v>50.35096154</v>
      </c>
      <c r="AA202" s="2" t="s">
        <v>33</v>
      </c>
    </row>
    <row r="203">
      <c r="A203" s="2">
        <v>1567.0</v>
      </c>
      <c r="B203" s="2" t="s">
        <v>636</v>
      </c>
      <c r="C203" s="2" t="s">
        <v>7</v>
      </c>
      <c r="D203" s="2" t="s">
        <v>172</v>
      </c>
      <c r="E203" s="2" t="s">
        <v>290</v>
      </c>
      <c r="F203" s="6">
        <v>45693.47430555556</v>
      </c>
      <c r="G203" s="2">
        <v>45096.0</v>
      </c>
      <c r="H203" s="2">
        <v>45096.0</v>
      </c>
      <c r="I203" s="2">
        <v>35715.0</v>
      </c>
      <c r="J203" s="2">
        <v>236.0</v>
      </c>
      <c r="K203" s="2">
        <v>226.0</v>
      </c>
      <c r="L203" s="2">
        <v>5.0</v>
      </c>
      <c r="M203" s="4">
        <v>42887.0</v>
      </c>
      <c r="N203" s="2" t="s">
        <v>36</v>
      </c>
      <c r="O203" s="2">
        <v>71.0</v>
      </c>
      <c r="P203" s="2" t="s">
        <v>189</v>
      </c>
      <c r="Q203" s="2" t="s">
        <v>32</v>
      </c>
      <c r="R203" s="2">
        <v>24.0</v>
      </c>
      <c r="T203" s="2" t="s">
        <v>47</v>
      </c>
      <c r="U203" s="2" t="b">
        <v>0</v>
      </c>
      <c r="V203" s="5">
        <v>0.0063</v>
      </c>
      <c r="W203" s="5">
        <v>0.0221</v>
      </c>
      <c r="X203" s="5">
        <v>1.4E-4</v>
      </c>
      <c r="Y203" s="2">
        <v>189.7654867</v>
      </c>
      <c r="AA203" s="2" t="s">
        <v>33</v>
      </c>
    </row>
    <row r="204">
      <c r="A204" s="2">
        <v>1568.0</v>
      </c>
      <c r="B204" s="2" t="s">
        <v>637</v>
      </c>
      <c r="C204" s="2" t="s">
        <v>7</v>
      </c>
      <c r="D204" s="2" t="s">
        <v>638</v>
      </c>
      <c r="E204" s="2" t="s">
        <v>639</v>
      </c>
      <c r="F204" s="6">
        <v>45693.49097222222</v>
      </c>
      <c r="G204" s="2">
        <v>2221.0</v>
      </c>
      <c r="H204" s="2">
        <v>2221.0</v>
      </c>
      <c r="I204" s="2">
        <v>1773.0</v>
      </c>
      <c r="J204" s="2">
        <v>31.0</v>
      </c>
      <c r="K204" s="2">
        <v>29.0</v>
      </c>
      <c r="L204" s="2">
        <v>0.0</v>
      </c>
      <c r="M204" s="2">
        <v>0.0</v>
      </c>
      <c r="N204" s="2" t="s">
        <v>423</v>
      </c>
      <c r="O204" s="2">
        <v>119.0</v>
      </c>
      <c r="P204" s="2" t="s">
        <v>31</v>
      </c>
      <c r="Q204" s="2" t="s">
        <v>32</v>
      </c>
      <c r="R204" s="2">
        <v>42.0</v>
      </c>
      <c r="T204" s="7" t="str">
        <f>IFERROR(__xludf.DUMMYFUNCTION("AI(""has offer Come X Pay X"",D204)"),"has offer Come X Pay X")</f>
        <v>has offer Come X Pay X</v>
      </c>
      <c r="U204" s="2" t="b">
        <v>0</v>
      </c>
      <c r="V204" s="5">
        <v>0.0164</v>
      </c>
      <c r="W204" s="5">
        <v>0.0</v>
      </c>
      <c r="X204" s="5">
        <v>0.0</v>
      </c>
      <c r="Y204" s="2">
        <v>0.0</v>
      </c>
      <c r="AA204" s="2" t="s">
        <v>423</v>
      </c>
    </row>
    <row r="205">
      <c r="A205" s="2">
        <v>1569.0</v>
      </c>
      <c r="B205" s="2" t="s">
        <v>640</v>
      </c>
      <c r="C205" s="2" t="s">
        <v>7</v>
      </c>
      <c r="D205" s="2" t="s">
        <v>641</v>
      </c>
      <c r="E205" s="2" t="s">
        <v>642</v>
      </c>
      <c r="F205" s="6">
        <v>45693.63333333333</v>
      </c>
      <c r="G205" s="2">
        <v>57988.0</v>
      </c>
      <c r="H205" s="2">
        <v>57988.0</v>
      </c>
      <c r="I205" s="2">
        <v>49145.0</v>
      </c>
      <c r="J205" s="2">
        <v>251.0</v>
      </c>
      <c r="K205" s="2">
        <v>247.0</v>
      </c>
      <c r="L205" s="2">
        <v>5.0</v>
      </c>
      <c r="M205" s="4">
        <v>13340.0</v>
      </c>
      <c r="N205" s="2" t="s">
        <v>30</v>
      </c>
      <c r="O205" s="2">
        <v>70.0</v>
      </c>
      <c r="P205" s="2" t="s">
        <v>189</v>
      </c>
      <c r="Q205" s="2" t="s">
        <v>32</v>
      </c>
      <c r="R205" s="2">
        <v>48.0</v>
      </c>
      <c r="T205" s="2" t="s">
        <v>47</v>
      </c>
      <c r="U205" s="2" t="b">
        <v>0</v>
      </c>
      <c r="V205" s="5">
        <v>0.005</v>
      </c>
      <c r="W205" s="5">
        <v>0.0202</v>
      </c>
      <c r="X205" s="5">
        <v>1.02E-4</v>
      </c>
      <c r="Y205" s="2">
        <v>54.00809717</v>
      </c>
      <c r="AA205" s="2" t="s">
        <v>33</v>
      </c>
    </row>
    <row r="206">
      <c r="A206" s="2">
        <v>1570.0</v>
      </c>
      <c r="B206" s="2" t="s">
        <v>643</v>
      </c>
      <c r="C206" s="2" t="s">
        <v>7</v>
      </c>
      <c r="D206" s="2" t="s">
        <v>644</v>
      </c>
      <c r="E206" s="2" t="s">
        <v>645</v>
      </c>
      <c r="F206" s="6">
        <v>45693.64722222222</v>
      </c>
      <c r="G206" s="2">
        <v>45088.0</v>
      </c>
      <c r="H206" s="2">
        <v>45088.0</v>
      </c>
      <c r="I206" s="2">
        <v>35726.0</v>
      </c>
      <c r="J206" s="2">
        <v>273.0</v>
      </c>
      <c r="K206" s="2">
        <v>262.0</v>
      </c>
      <c r="L206" s="2">
        <v>4.0</v>
      </c>
      <c r="M206" s="4">
        <v>10140.0</v>
      </c>
      <c r="N206" s="2" t="s">
        <v>36</v>
      </c>
      <c r="O206" s="2">
        <v>71.0</v>
      </c>
      <c r="P206" s="2" t="s">
        <v>189</v>
      </c>
      <c r="Q206" s="2" t="s">
        <v>32</v>
      </c>
      <c r="R206" s="2">
        <v>48.0</v>
      </c>
      <c r="T206" s="7" t="str">
        <f>IFERROR(__xludf.DUMMYFUNCTION("AI(""has offer Come X Pay X"",D206)"),"has offer Come X Pay X")</f>
        <v>has offer Come X Pay X</v>
      </c>
      <c r="U206" s="2" t="b">
        <v>0</v>
      </c>
      <c r="V206" s="5">
        <v>0.0073</v>
      </c>
      <c r="W206" s="5">
        <v>0.0153</v>
      </c>
      <c r="X206" s="5">
        <v>1.12E-4</v>
      </c>
      <c r="Y206" s="2">
        <v>38.70229008</v>
      </c>
      <c r="AA206" s="2" t="s">
        <v>33</v>
      </c>
    </row>
    <row r="207">
      <c r="A207" s="2">
        <v>1572.0</v>
      </c>
      <c r="B207" s="2" t="s">
        <v>646</v>
      </c>
      <c r="C207" s="2" t="s">
        <v>7</v>
      </c>
      <c r="D207" s="2" t="s">
        <v>647</v>
      </c>
      <c r="E207" s="2" t="s">
        <v>648</v>
      </c>
      <c r="F207" s="6">
        <v>45693.708333333336</v>
      </c>
      <c r="G207" s="2">
        <v>45083.0</v>
      </c>
      <c r="H207" s="2">
        <v>45083.0</v>
      </c>
      <c r="I207" s="2">
        <v>35976.0</v>
      </c>
      <c r="J207" s="2">
        <v>256.0</v>
      </c>
      <c r="K207" s="2">
        <v>245.0</v>
      </c>
      <c r="L207" s="2">
        <v>9.0</v>
      </c>
      <c r="M207" s="4">
        <v>28321.0</v>
      </c>
      <c r="N207" s="2" t="s">
        <v>36</v>
      </c>
      <c r="O207" s="2">
        <v>71.0</v>
      </c>
      <c r="P207" s="2" t="s">
        <v>31</v>
      </c>
      <c r="Q207" s="2" t="s">
        <v>32</v>
      </c>
      <c r="R207" s="2">
        <v>38.0</v>
      </c>
      <c r="U207" s="2" t="b">
        <v>0</v>
      </c>
      <c r="V207" s="5">
        <v>0.0068</v>
      </c>
      <c r="W207" s="5">
        <v>0.0367</v>
      </c>
      <c r="X207" s="5">
        <v>2.5E-4</v>
      </c>
      <c r="Y207" s="2">
        <v>115.5959184</v>
      </c>
      <c r="AA207" s="2" t="s">
        <v>33</v>
      </c>
    </row>
    <row r="208">
      <c r="A208" s="2">
        <v>1571.0</v>
      </c>
      <c r="B208" s="2" t="s">
        <v>649</v>
      </c>
      <c r="C208" s="2" t="s">
        <v>7</v>
      </c>
      <c r="D208" s="2" t="s">
        <v>650</v>
      </c>
      <c r="E208" s="2" t="s">
        <v>651</v>
      </c>
      <c r="F208" s="6">
        <v>45693.708333333336</v>
      </c>
      <c r="G208" s="2">
        <v>58007.0</v>
      </c>
      <c r="H208" s="2">
        <v>58007.0</v>
      </c>
      <c r="I208" s="2">
        <v>49180.0</v>
      </c>
      <c r="J208" s="2">
        <v>272.0</v>
      </c>
      <c r="K208" s="2">
        <v>263.0</v>
      </c>
      <c r="L208" s="2">
        <v>7.0</v>
      </c>
      <c r="M208" s="4">
        <v>32102.0</v>
      </c>
      <c r="N208" s="2" t="s">
        <v>30</v>
      </c>
      <c r="O208" s="2">
        <v>70.0</v>
      </c>
      <c r="P208" s="2" t="s">
        <v>189</v>
      </c>
      <c r="Q208" s="2" t="s">
        <v>32</v>
      </c>
      <c r="R208" s="2">
        <v>42.0</v>
      </c>
      <c r="U208" s="2" t="b">
        <v>0</v>
      </c>
      <c r="V208" s="5">
        <v>0.0053</v>
      </c>
      <c r="W208" s="5">
        <v>0.0266</v>
      </c>
      <c r="X208" s="5">
        <v>1.42E-4</v>
      </c>
      <c r="Y208" s="2">
        <v>122.0608365</v>
      </c>
      <c r="AA208" s="2" t="s">
        <v>33</v>
      </c>
    </row>
    <row r="209">
      <c r="A209" s="2">
        <v>1573.0</v>
      </c>
      <c r="B209" s="2" t="s">
        <v>652</v>
      </c>
      <c r="C209" s="2" t="s">
        <v>7</v>
      </c>
      <c r="D209" s="2" t="s">
        <v>653</v>
      </c>
      <c r="E209" s="2" t="s">
        <v>654</v>
      </c>
      <c r="F209" s="6">
        <v>45694.4875</v>
      </c>
      <c r="G209" s="2">
        <v>58066.0</v>
      </c>
      <c r="H209" s="2">
        <v>58066.0</v>
      </c>
      <c r="I209" s="2">
        <v>49173.0</v>
      </c>
      <c r="J209" s="2">
        <v>330.0</v>
      </c>
      <c r="K209" s="2">
        <v>319.0</v>
      </c>
      <c r="L209" s="2">
        <v>5.0</v>
      </c>
      <c r="M209" s="4">
        <v>19330.0</v>
      </c>
      <c r="N209" s="2" t="s">
        <v>30</v>
      </c>
      <c r="O209" s="2">
        <v>70.0</v>
      </c>
      <c r="P209" s="2" t="s">
        <v>189</v>
      </c>
      <c r="Q209" s="2" t="s">
        <v>32</v>
      </c>
      <c r="R209" s="2">
        <v>29.0</v>
      </c>
      <c r="T209" s="2" t="s">
        <v>47</v>
      </c>
      <c r="U209" s="2" t="b">
        <v>0</v>
      </c>
      <c r="V209" s="5">
        <v>0.0065</v>
      </c>
      <c r="W209" s="5">
        <v>0.0157</v>
      </c>
      <c r="X209" s="5">
        <v>1.02E-4</v>
      </c>
      <c r="Y209" s="2">
        <v>60.59561129</v>
      </c>
      <c r="Z209" s="2">
        <v>3166.0</v>
      </c>
      <c r="AA209" s="2" t="s">
        <v>33</v>
      </c>
    </row>
    <row r="210">
      <c r="A210" s="2">
        <v>1574.0</v>
      </c>
      <c r="B210" s="2" t="s">
        <v>655</v>
      </c>
      <c r="C210" s="2" t="s">
        <v>7</v>
      </c>
      <c r="D210" s="2" t="s">
        <v>656</v>
      </c>
      <c r="E210" s="2" t="s">
        <v>657</v>
      </c>
      <c r="F210" s="6">
        <v>45694.489583333336</v>
      </c>
      <c r="G210" s="2">
        <v>45129.0</v>
      </c>
      <c r="H210" s="2">
        <v>45129.0</v>
      </c>
      <c r="I210" s="2">
        <v>35810.0</v>
      </c>
      <c r="J210" s="2">
        <v>299.0</v>
      </c>
      <c r="K210" s="2">
        <v>291.0</v>
      </c>
      <c r="L210" s="2">
        <v>7.0</v>
      </c>
      <c r="M210" s="4">
        <v>19691.0</v>
      </c>
      <c r="N210" s="2" t="s">
        <v>36</v>
      </c>
      <c r="O210" s="2">
        <v>71.0</v>
      </c>
      <c r="P210" s="2" t="s">
        <v>189</v>
      </c>
      <c r="Q210" s="2" t="s">
        <v>32</v>
      </c>
      <c r="R210" s="2">
        <v>40.0</v>
      </c>
      <c r="T210" s="2" t="s">
        <v>162</v>
      </c>
      <c r="U210" s="2" t="b">
        <v>0</v>
      </c>
      <c r="V210" s="5">
        <v>0.0081</v>
      </c>
      <c r="W210" s="5">
        <v>0.0241</v>
      </c>
      <c r="X210" s="5">
        <v>1.95E-4</v>
      </c>
      <c r="Y210" s="2">
        <v>67.66666667</v>
      </c>
      <c r="AA210" s="2" t="s">
        <v>33</v>
      </c>
    </row>
    <row r="211">
      <c r="A211" s="2">
        <v>1576.0</v>
      </c>
      <c r="B211" s="2" t="s">
        <v>658</v>
      </c>
      <c r="C211" s="2" t="s">
        <v>7</v>
      </c>
      <c r="D211" s="2" t="s">
        <v>659</v>
      </c>
      <c r="E211" s="2" t="s">
        <v>660</v>
      </c>
      <c r="F211" s="6">
        <v>45694.625</v>
      </c>
      <c r="G211" s="2">
        <v>45124.0</v>
      </c>
      <c r="H211" s="2">
        <v>45124.0</v>
      </c>
      <c r="I211" s="2">
        <v>36018.0</v>
      </c>
      <c r="J211" s="2">
        <v>292.0</v>
      </c>
      <c r="K211" s="2">
        <v>282.0</v>
      </c>
      <c r="L211" s="2">
        <v>5.0</v>
      </c>
      <c r="M211" s="4">
        <v>22272.0</v>
      </c>
      <c r="N211" s="2" t="s">
        <v>36</v>
      </c>
      <c r="O211" s="2">
        <v>71.0</v>
      </c>
      <c r="P211" s="2" t="s">
        <v>189</v>
      </c>
      <c r="Q211" s="2" t="s">
        <v>32</v>
      </c>
      <c r="R211" s="2">
        <v>35.0</v>
      </c>
      <c r="T211" s="2" t="s">
        <v>58</v>
      </c>
      <c r="U211" s="2" t="b">
        <v>1</v>
      </c>
      <c r="V211" s="5">
        <v>0.0078</v>
      </c>
      <c r="W211" s="5">
        <v>0.0177</v>
      </c>
      <c r="X211" s="5">
        <v>1.39E-4</v>
      </c>
      <c r="Y211" s="2">
        <v>78.9787234</v>
      </c>
      <c r="AA211" s="2" t="s">
        <v>33</v>
      </c>
    </row>
    <row r="212">
      <c r="A212" s="2">
        <v>1575.0</v>
      </c>
      <c r="B212" s="2" t="s">
        <v>661</v>
      </c>
      <c r="C212" s="2" t="s">
        <v>7</v>
      </c>
      <c r="D212" s="2" t="s">
        <v>662</v>
      </c>
      <c r="E212" s="2" t="s">
        <v>663</v>
      </c>
      <c r="F212" s="6">
        <v>45694.625</v>
      </c>
      <c r="G212" s="2">
        <v>58083.0</v>
      </c>
      <c r="H212" s="2">
        <v>58083.0</v>
      </c>
      <c r="I212" s="2">
        <v>49262.0</v>
      </c>
      <c r="J212" s="2">
        <v>480.0</v>
      </c>
      <c r="K212" s="2">
        <v>476.0</v>
      </c>
      <c r="L212" s="2">
        <v>8.0</v>
      </c>
      <c r="M212" s="4">
        <v>17847.0</v>
      </c>
      <c r="N212" s="2" t="s">
        <v>30</v>
      </c>
      <c r="O212" s="2">
        <v>70.0</v>
      </c>
      <c r="P212" s="2" t="s">
        <v>189</v>
      </c>
      <c r="Q212" s="2" t="s">
        <v>32</v>
      </c>
      <c r="R212" s="2">
        <v>34.0</v>
      </c>
      <c r="T212" s="2" t="s">
        <v>58</v>
      </c>
      <c r="U212" s="2" t="b">
        <v>0</v>
      </c>
      <c r="V212" s="5">
        <v>0.0097</v>
      </c>
      <c r="W212" s="5">
        <v>0.0168</v>
      </c>
      <c r="X212" s="5">
        <v>1.62E-4</v>
      </c>
      <c r="Y212" s="2">
        <v>37.49369748</v>
      </c>
      <c r="Z212" s="2">
        <v>5046.0</v>
      </c>
      <c r="AA212" s="2" t="s">
        <v>33</v>
      </c>
    </row>
    <row r="213">
      <c r="A213" s="2">
        <v>1578.0</v>
      </c>
      <c r="B213" s="2" t="s">
        <v>664</v>
      </c>
      <c r="C213" s="2" t="s">
        <v>7</v>
      </c>
      <c r="D213" s="2" t="s">
        <v>665</v>
      </c>
      <c r="E213" s="2" t="s">
        <v>666</v>
      </c>
      <c r="F213" s="6">
        <v>45694.708333333336</v>
      </c>
      <c r="G213" s="2">
        <v>45126.0</v>
      </c>
      <c r="H213" s="2">
        <v>45126.0</v>
      </c>
      <c r="I213" s="2">
        <v>36002.0</v>
      </c>
      <c r="J213" s="2">
        <v>274.0</v>
      </c>
      <c r="K213" s="2">
        <v>268.0</v>
      </c>
      <c r="L213" s="2">
        <v>5.0</v>
      </c>
      <c r="M213" s="4">
        <v>8085.0</v>
      </c>
      <c r="N213" s="2" t="s">
        <v>36</v>
      </c>
      <c r="O213" s="2">
        <v>71.0</v>
      </c>
      <c r="P213" s="2" t="s">
        <v>189</v>
      </c>
      <c r="Q213" s="2" t="s">
        <v>32</v>
      </c>
      <c r="R213" s="2">
        <v>50.0</v>
      </c>
      <c r="U213" s="2" t="b">
        <v>0</v>
      </c>
      <c r="V213" s="5">
        <v>0.0074</v>
      </c>
      <c r="W213" s="5">
        <v>0.0187</v>
      </c>
      <c r="X213" s="5">
        <v>1.39E-4</v>
      </c>
      <c r="Y213" s="2">
        <v>30.16791045</v>
      </c>
      <c r="AA213" s="2" t="s">
        <v>33</v>
      </c>
    </row>
    <row r="214">
      <c r="A214" s="2">
        <v>1577.0</v>
      </c>
      <c r="B214" s="2" t="s">
        <v>667</v>
      </c>
      <c r="C214" s="2" t="s">
        <v>7</v>
      </c>
      <c r="D214" s="2" t="s">
        <v>668</v>
      </c>
      <c r="E214" s="2" t="s">
        <v>669</v>
      </c>
      <c r="F214" s="6">
        <v>45694.708333333336</v>
      </c>
      <c r="G214" s="2">
        <v>58096.0</v>
      </c>
      <c r="H214" s="2">
        <v>58096.0</v>
      </c>
      <c r="I214" s="2">
        <v>49235.0</v>
      </c>
      <c r="J214" s="2">
        <v>340.0</v>
      </c>
      <c r="K214" s="2">
        <v>335.0</v>
      </c>
      <c r="L214" s="2">
        <v>6.0</v>
      </c>
      <c r="M214" s="4">
        <v>13818.0</v>
      </c>
      <c r="N214" s="2" t="s">
        <v>30</v>
      </c>
      <c r="O214" s="2">
        <v>70.0</v>
      </c>
      <c r="P214" s="2" t="s">
        <v>189</v>
      </c>
      <c r="Q214" s="2" t="s">
        <v>32</v>
      </c>
      <c r="R214" s="2">
        <v>50.0</v>
      </c>
      <c r="T214" s="2" t="s">
        <v>47</v>
      </c>
      <c r="U214" s="2" t="b">
        <v>0</v>
      </c>
      <c r="V214" s="5">
        <v>0.0068</v>
      </c>
      <c r="W214" s="5">
        <v>0.0179</v>
      </c>
      <c r="X214" s="5">
        <v>1.22E-4</v>
      </c>
      <c r="Y214" s="2">
        <v>41.24776119</v>
      </c>
      <c r="AA214" s="2" t="s">
        <v>33</v>
      </c>
    </row>
    <row r="215">
      <c r="A215" s="2">
        <v>1580.0</v>
      </c>
      <c r="B215" s="2" t="s">
        <v>670</v>
      </c>
      <c r="C215" s="2" t="s">
        <v>7</v>
      </c>
      <c r="D215" s="2" t="s">
        <v>671</v>
      </c>
      <c r="E215" s="2" t="s">
        <v>672</v>
      </c>
      <c r="F215" s="6">
        <v>45695.625</v>
      </c>
      <c r="G215" s="2">
        <v>45289.0</v>
      </c>
      <c r="H215" s="2">
        <v>45289.0</v>
      </c>
      <c r="I215" s="2">
        <v>36064.0</v>
      </c>
      <c r="J215" s="2">
        <v>257.0</v>
      </c>
      <c r="K215" s="2">
        <v>249.0</v>
      </c>
      <c r="L215" s="2">
        <v>8.0</v>
      </c>
      <c r="M215" s="4">
        <v>33892.0</v>
      </c>
      <c r="N215" s="2" t="s">
        <v>36</v>
      </c>
      <c r="O215" s="2">
        <v>71.0</v>
      </c>
      <c r="P215" s="2" t="s">
        <v>31</v>
      </c>
      <c r="Q215" s="2" t="s">
        <v>32</v>
      </c>
      <c r="R215" s="2">
        <v>46.0</v>
      </c>
      <c r="U215" s="2" t="b">
        <v>0</v>
      </c>
      <c r="V215" s="5">
        <v>0.0069</v>
      </c>
      <c r="W215" s="5">
        <v>0.0321</v>
      </c>
      <c r="X215" s="5">
        <v>2.22E-4</v>
      </c>
      <c r="Y215" s="2">
        <v>136.1124498</v>
      </c>
      <c r="AA215" s="2" t="s">
        <v>33</v>
      </c>
    </row>
    <row r="216">
      <c r="A216" s="2">
        <v>1579.0</v>
      </c>
      <c r="B216" s="2" t="s">
        <v>673</v>
      </c>
      <c r="C216" s="2" t="s">
        <v>7</v>
      </c>
      <c r="D216" s="2" t="s">
        <v>674</v>
      </c>
      <c r="E216" s="2" t="s">
        <v>675</v>
      </c>
      <c r="F216" s="6">
        <v>45695.625</v>
      </c>
      <c r="G216" s="2">
        <v>58250.0</v>
      </c>
      <c r="H216" s="2">
        <v>58250.0</v>
      </c>
      <c r="I216" s="2">
        <v>49330.0</v>
      </c>
      <c r="J216" s="2">
        <v>256.0</v>
      </c>
      <c r="K216" s="2">
        <v>252.0</v>
      </c>
      <c r="L216" s="2">
        <v>9.0</v>
      </c>
      <c r="M216" s="4">
        <v>19394.0</v>
      </c>
      <c r="N216" s="2" t="s">
        <v>30</v>
      </c>
      <c r="O216" s="2">
        <v>70.0</v>
      </c>
      <c r="P216" s="2" t="s">
        <v>189</v>
      </c>
      <c r="Q216" s="2" t="s">
        <v>32</v>
      </c>
      <c r="R216" s="2">
        <v>42.0</v>
      </c>
      <c r="T216" s="2" t="s">
        <v>47</v>
      </c>
      <c r="U216" s="2" t="b">
        <v>0</v>
      </c>
      <c r="V216" s="5">
        <v>0.0051</v>
      </c>
      <c r="W216" s="5">
        <v>0.0357</v>
      </c>
      <c r="X216" s="5">
        <v>1.82E-4</v>
      </c>
      <c r="Y216" s="2">
        <v>76.96031746</v>
      </c>
      <c r="AA216" s="2" t="s">
        <v>33</v>
      </c>
    </row>
    <row r="217">
      <c r="A217" s="2">
        <v>1582.0</v>
      </c>
      <c r="B217" s="2" t="s">
        <v>676</v>
      </c>
      <c r="C217" s="2" t="s">
        <v>7</v>
      </c>
      <c r="D217" s="2" t="s">
        <v>677</v>
      </c>
      <c r="E217" s="2" t="s">
        <v>678</v>
      </c>
      <c r="F217" s="6">
        <v>45695.708333333336</v>
      </c>
      <c r="G217" s="2">
        <v>45226.0</v>
      </c>
      <c r="H217" s="2">
        <v>45226.0</v>
      </c>
      <c r="I217" s="2">
        <v>36107.0</v>
      </c>
      <c r="J217" s="2">
        <v>284.0</v>
      </c>
      <c r="K217" s="2">
        <v>270.0</v>
      </c>
      <c r="L217" s="2">
        <v>7.0</v>
      </c>
      <c r="M217" s="4">
        <v>19587.0</v>
      </c>
      <c r="N217" s="2" t="s">
        <v>36</v>
      </c>
      <c r="O217" s="2">
        <v>71.0</v>
      </c>
      <c r="P217" s="2" t="s">
        <v>189</v>
      </c>
      <c r="Q217" s="2" t="s">
        <v>32</v>
      </c>
      <c r="R217" s="2">
        <v>51.0</v>
      </c>
      <c r="T217" s="7" t="str">
        <f>IFERROR(__xludf.DUMMYFUNCTION("AI(""has offer Come X Pay X"",D217)"),"No")</f>
        <v>No</v>
      </c>
      <c r="U217" s="2" t="b">
        <v>0</v>
      </c>
      <c r="V217" s="5">
        <v>0.0075</v>
      </c>
      <c r="W217" s="5">
        <v>0.0259</v>
      </c>
      <c r="X217" s="5">
        <v>1.94E-4</v>
      </c>
      <c r="Y217" s="2">
        <v>72.54444444</v>
      </c>
      <c r="AA217" s="2" t="s">
        <v>33</v>
      </c>
    </row>
    <row r="218">
      <c r="A218" s="2">
        <v>1581.0</v>
      </c>
      <c r="B218" s="2" t="s">
        <v>679</v>
      </c>
      <c r="C218" s="2" t="s">
        <v>7</v>
      </c>
      <c r="D218" s="2" t="s">
        <v>680</v>
      </c>
      <c r="E218" s="2" t="s">
        <v>681</v>
      </c>
      <c r="F218" s="6">
        <v>45695.708333333336</v>
      </c>
      <c r="G218" s="2">
        <v>58219.0</v>
      </c>
      <c r="H218" s="2">
        <v>58219.0</v>
      </c>
      <c r="I218" s="2">
        <v>49263.0</v>
      </c>
      <c r="J218" s="2">
        <v>245.0</v>
      </c>
      <c r="K218" s="2">
        <v>237.0</v>
      </c>
      <c r="L218" s="2">
        <v>8.0</v>
      </c>
      <c r="M218" s="4">
        <v>26735.0</v>
      </c>
      <c r="N218" s="2" t="s">
        <v>30</v>
      </c>
      <c r="O218" s="2">
        <v>70.0</v>
      </c>
      <c r="P218" s="2" t="s">
        <v>189</v>
      </c>
      <c r="Q218" s="2" t="s">
        <v>32</v>
      </c>
      <c r="R218" s="2">
        <v>45.0</v>
      </c>
      <c r="T218" s="2" t="s">
        <v>47</v>
      </c>
      <c r="U218" s="2" t="b">
        <v>0</v>
      </c>
      <c r="V218" s="5">
        <v>0.0048</v>
      </c>
      <c r="W218" s="5">
        <v>0.0338</v>
      </c>
      <c r="X218" s="5">
        <v>1.62E-4</v>
      </c>
      <c r="Y218" s="2">
        <v>112.8059072</v>
      </c>
      <c r="Z218" s="2">
        <v>1856.0</v>
      </c>
      <c r="AA218" s="2" t="s">
        <v>33</v>
      </c>
    </row>
    <row r="219">
      <c r="A219" s="2">
        <v>1584.0</v>
      </c>
      <c r="B219" s="2" t="s">
        <v>682</v>
      </c>
      <c r="C219" s="2" t="s">
        <v>7</v>
      </c>
      <c r="D219" s="2" t="s">
        <v>683</v>
      </c>
      <c r="E219" s="2" t="s">
        <v>684</v>
      </c>
      <c r="F219" s="6">
        <v>45695.791666666664</v>
      </c>
      <c r="G219" s="2">
        <v>45251.0</v>
      </c>
      <c r="H219" s="2">
        <v>45251.0</v>
      </c>
      <c r="I219" s="2">
        <v>36091.0</v>
      </c>
      <c r="J219" s="2">
        <v>229.0</v>
      </c>
      <c r="K219" s="2">
        <v>219.0</v>
      </c>
      <c r="L219" s="2">
        <v>5.0</v>
      </c>
      <c r="M219" s="4">
        <v>8320.0</v>
      </c>
      <c r="N219" s="2" t="s">
        <v>36</v>
      </c>
      <c r="O219" s="2">
        <v>71.0</v>
      </c>
      <c r="P219" s="2" t="s">
        <v>189</v>
      </c>
      <c r="Q219" s="2" t="s">
        <v>32</v>
      </c>
      <c r="R219" s="2">
        <v>41.0</v>
      </c>
      <c r="T219" s="7" t="str">
        <f>IFERROR(__xludf.DUMMYFUNCTION("AI(""has offer Come X Pay X"",D219)"),"Has Offer Come X Pay X")</f>
        <v>Has Offer Come X Pay X</v>
      </c>
      <c r="U219" s="2" t="b">
        <v>0</v>
      </c>
      <c r="V219" s="5">
        <v>0.0061</v>
      </c>
      <c r="W219" s="5">
        <v>0.0228</v>
      </c>
      <c r="X219" s="5">
        <v>1.39E-4</v>
      </c>
      <c r="Y219" s="2">
        <v>37.99086758</v>
      </c>
      <c r="AA219" s="2" t="s">
        <v>33</v>
      </c>
    </row>
    <row r="220">
      <c r="A220" s="2">
        <v>1583.0</v>
      </c>
      <c r="B220" s="2" t="s">
        <v>685</v>
      </c>
      <c r="C220" s="2" t="s">
        <v>7</v>
      </c>
      <c r="D220" s="2" t="s">
        <v>686</v>
      </c>
      <c r="E220" s="2" t="s">
        <v>687</v>
      </c>
      <c r="F220" s="6">
        <v>45695.791666666664</v>
      </c>
      <c r="G220" s="2">
        <v>58252.0</v>
      </c>
      <c r="H220" s="2">
        <v>58252.0</v>
      </c>
      <c r="I220" s="2">
        <v>49331.0</v>
      </c>
      <c r="J220" s="2">
        <v>275.0</v>
      </c>
      <c r="K220" s="2">
        <v>268.0</v>
      </c>
      <c r="L220" s="2">
        <v>1.0</v>
      </c>
      <c r="M220" s="4">
        <v>3498.0</v>
      </c>
      <c r="N220" s="2" t="s">
        <v>30</v>
      </c>
      <c r="O220" s="2">
        <v>70.0</v>
      </c>
      <c r="P220" s="2" t="s">
        <v>189</v>
      </c>
      <c r="Q220" s="2" t="s">
        <v>32</v>
      </c>
      <c r="R220" s="2">
        <v>44.0</v>
      </c>
      <c r="T220" s="2" t="s">
        <v>47</v>
      </c>
      <c r="U220" s="2" t="b">
        <v>0</v>
      </c>
      <c r="V220" s="5">
        <v>0.0054</v>
      </c>
      <c r="W220" s="5">
        <v>0.0037</v>
      </c>
      <c r="X220" s="5">
        <v>2.0E-5</v>
      </c>
      <c r="Y220" s="2">
        <v>13.05223881</v>
      </c>
      <c r="AA220" s="2" t="s">
        <v>33</v>
      </c>
    </row>
    <row r="221">
      <c r="A221" s="2">
        <v>1586.0</v>
      </c>
      <c r="B221" s="2" t="s">
        <v>688</v>
      </c>
      <c r="C221" s="2" t="s">
        <v>7</v>
      </c>
      <c r="D221" s="2" t="s">
        <v>689</v>
      </c>
      <c r="E221" s="2" t="s">
        <v>690</v>
      </c>
      <c r="F221" s="6">
        <v>45696.458333333336</v>
      </c>
      <c r="G221" s="2">
        <v>45261.0</v>
      </c>
      <c r="H221" s="2">
        <v>45261.0</v>
      </c>
      <c r="I221" s="2">
        <v>35713.0</v>
      </c>
      <c r="J221" s="2">
        <v>223.0</v>
      </c>
      <c r="K221" s="2">
        <v>214.0</v>
      </c>
      <c r="L221" s="2">
        <v>6.0</v>
      </c>
      <c r="M221" s="4">
        <v>35832.0</v>
      </c>
      <c r="N221" s="2" t="s">
        <v>36</v>
      </c>
      <c r="O221" s="2">
        <v>71.0</v>
      </c>
      <c r="P221" s="2" t="s">
        <v>189</v>
      </c>
      <c r="Q221" s="2" t="s">
        <v>32</v>
      </c>
      <c r="R221" s="2">
        <v>52.0</v>
      </c>
      <c r="T221" s="2" t="s">
        <v>162</v>
      </c>
      <c r="U221" s="2" t="b">
        <v>0</v>
      </c>
      <c r="V221" s="5">
        <v>0.006</v>
      </c>
      <c r="W221" s="5">
        <v>0.028</v>
      </c>
      <c r="X221" s="5">
        <v>1.68E-4</v>
      </c>
      <c r="Y221" s="2">
        <v>167.4392523</v>
      </c>
      <c r="AA221" s="2" t="s">
        <v>33</v>
      </c>
    </row>
    <row r="222">
      <c r="A222" s="2">
        <v>1585.0</v>
      </c>
      <c r="B222" s="2" t="s">
        <v>691</v>
      </c>
      <c r="C222" s="2" t="s">
        <v>7</v>
      </c>
      <c r="D222" s="2" t="s">
        <v>692</v>
      </c>
      <c r="E222" s="2" t="s">
        <v>693</v>
      </c>
      <c r="F222" s="6">
        <v>45696.458333333336</v>
      </c>
      <c r="G222" s="2">
        <v>58259.0</v>
      </c>
      <c r="H222" s="2">
        <v>58259.0</v>
      </c>
      <c r="I222" s="2">
        <v>49067.0</v>
      </c>
      <c r="J222" s="2">
        <v>237.0</v>
      </c>
      <c r="K222" s="2">
        <v>232.0</v>
      </c>
      <c r="L222" s="2">
        <v>3.0</v>
      </c>
      <c r="M222" s="4">
        <v>4215.0</v>
      </c>
      <c r="N222" s="2" t="s">
        <v>30</v>
      </c>
      <c r="O222" s="2">
        <v>70.0</v>
      </c>
      <c r="P222" s="2" t="s">
        <v>189</v>
      </c>
      <c r="Q222" s="2" t="s">
        <v>32</v>
      </c>
      <c r="R222" s="2">
        <v>54.0</v>
      </c>
      <c r="U222" s="2" t="b">
        <v>0</v>
      </c>
      <c r="V222" s="5">
        <v>0.0047</v>
      </c>
      <c r="W222" s="5">
        <v>0.0129</v>
      </c>
      <c r="X222" s="5">
        <v>6.1E-5</v>
      </c>
      <c r="Y222" s="2">
        <v>18.16810345</v>
      </c>
      <c r="Z222" s="2">
        <v>2506.0</v>
      </c>
      <c r="AA222" s="2" t="s">
        <v>33</v>
      </c>
    </row>
    <row r="223">
      <c r="A223" s="2">
        <v>1588.0</v>
      </c>
      <c r="B223" s="2" t="s">
        <v>694</v>
      </c>
      <c r="C223" s="2" t="s">
        <v>7</v>
      </c>
      <c r="D223" s="2" t="s">
        <v>695</v>
      </c>
      <c r="E223" s="2" t="s">
        <v>696</v>
      </c>
      <c r="F223" s="6">
        <v>45696.541666666664</v>
      </c>
      <c r="G223" s="2">
        <v>45228.0</v>
      </c>
      <c r="H223" s="2">
        <v>45228.0</v>
      </c>
      <c r="I223" s="2">
        <v>35385.0</v>
      </c>
      <c r="J223" s="2">
        <v>152.0</v>
      </c>
      <c r="K223" s="2">
        <v>147.0</v>
      </c>
      <c r="L223" s="2">
        <v>3.0</v>
      </c>
      <c r="M223" s="4">
        <v>11974.0</v>
      </c>
      <c r="N223" s="2" t="s">
        <v>36</v>
      </c>
      <c r="O223" s="2">
        <v>71.0</v>
      </c>
      <c r="P223" s="2" t="s">
        <v>31</v>
      </c>
      <c r="Q223" s="2" t="s">
        <v>32</v>
      </c>
      <c r="R223" s="2">
        <v>52.0</v>
      </c>
      <c r="T223" s="2" t="s">
        <v>47</v>
      </c>
      <c r="U223" s="2" t="b">
        <v>0</v>
      </c>
      <c r="V223" s="5">
        <v>0.0042</v>
      </c>
      <c r="W223" s="5">
        <v>0.0204</v>
      </c>
      <c r="X223" s="5">
        <v>8.5E-5</v>
      </c>
      <c r="Y223" s="2">
        <v>81.45578231</v>
      </c>
      <c r="AA223" s="2" t="s">
        <v>33</v>
      </c>
    </row>
    <row r="224">
      <c r="A224" s="2">
        <v>1587.0</v>
      </c>
      <c r="B224" s="2" t="s">
        <v>697</v>
      </c>
      <c r="C224" s="2" t="s">
        <v>7</v>
      </c>
      <c r="D224" s="2" t="s">
        <v>698</v>
      </c>
      <c r="E224" s="2" t="s">
        <v>699</v>
      </c>
      <c r="F224" s="6">
        <v>45696.541666666664</v>
      </c>
      <c r="G224" s="2">
        <v>58271.0</v>
      </c>
      <c r="H224" s="2">
        <v>58271.0</v>
      </c>
      <c r="I224" s="2">
        <v>49269.0</v>
      </c>
      <c r="J224" s="2">
        <v>240.0</v>
      </c>
      <c r="K224" s="2">
        <v>236.0</v>
      </c>
      <c r="L224" s="2">
        <v>6.0</v>
      </c>
      <c r="M224" s="4">
        <v>17922.0</v>
      </c>
      <c r="N224" s="2" t="s">
        <v>30</v>
      </c>
      <c r="O224" s="2">
        <v>70.0</v>
      </c>
      <c r="P224" s="2" t="s">
        <v>31</v>
      </c>
      <c r="Q224" s="2" t="s">
        <v>32</v>
      </c>
      <c r="R224" s="2">
        <v>51.0</v>
      </c>
      <c r="U224" s="2" t="b">
        <v>0</v>
      </c>
      <c r="V224" s="5">
        <v>0.0048</v>
      </c>
      <c r="W224" s="5">
        <v>0.0254</v>
      </c>
      <c r="X224" s="5">
        <v>1.22E-4</v>
      </c>
      <c r="Y224" s="2">
        <v>75.94067797</v>
      </c>
      <c r="Z224" s="2">
        <v>2536.0</v>
      </c>
      <c r="AA224" s="2" t="s">
        <v>33</v>
      </c>
    </row>
    <row r="225">
      <c r="A225" s="2">
        <v>1591.0</v>
      </c>
      <c r="B225" s="2" t="s">
        <v>700</v>
      </c>
      <c r="C225" s="2" t="s">
        <v>7</v>
      </c>
      <c r="D225" s="2" t="s">
        <v>701</v>
      </c>
      <c r="E225" s="2" t="s">
        <v>702</v>
      </c>
      <c r="F225" s="6">
        <v>45696.625</v>
      </c>
      <c r="G225" s="2">
        <v>45259.0</v>
      </c>
      <c r="H225" s="2">
        <v>45259.0</v>
      </c>
      <c r="I225" s="2">
        <v>35944.0</v>
      </c>
      <c r="J225" s="2">
        <v>273.0</v>
      </c>
      <c r="K225" s="2">
        <v>261.0</v>
      </c>
      <c r="L225" s="2">
        <v>6.0</v>
      </c>
      <c r="M225" s="4">
        <v>37943.0</v>
      </c>
      <c r="N225" s="2" t="s">
        <v>36</v>
      </c>
      <c r="O225" s="2">
        <v>71.0</v>
      </c>
      <c r="P225" s="2" t="s">
        <v>189</v>
      </c>
      <c r="Q225" s="2" t="s">
        <v>32</v>
      </c>
      <c r="R225" s="2">
        <v>37.0</v>
      </c>
      <c r="U225" s="2" t="b">
        <v>0</v>
      </c>
      <c r="V225" s="5">
        <v>0.0073</v>
      </c>
      <c r="W225" s="5">
        <v>0.023</v>
      </c>
      <c r="X225" s="5">
        <v>1.67E-4</v>
      </c>
      <c r="Y225" s="2">
        <v>145.3754789</v>
      </c>
      <c r="AA225" s="2" t="s">
        <v>33</v>
      </c>
    </row>
    <row r="226">
      <c r="A226" s="2">
        <v>1590.0</v>
      </c>
      <c r="B226" s="2" t="s">
        <v>703</v>
      </c>
      <c r="C226" s="2" t="s">
        <v>7</v>
      </c>
      <c r="D226" s="2" t="s">
        <v>704</v>
      </c>
      <c r="E226" s="2" t="s">
        <v>705</v>
      </c>
      <c r="F226" s="6">
        <v>45696.625</v>
      </c>
      <c r="G226" s="2">
        <v>103541.0</v>
      </c>
      <c r="H226" s="2">
        <v>103541.0</v>
      </c>
      <c r="I226" s="2">
        <v>85091.0</v>
      </c>
      <c r="J226" s="2">
        <v>402.0</v>
      </c>
      <c r="K226" s="2">
        <v>398.0</v>
      </c>
      <c r="L226" s="2">
        <v>16.0</v>
      </c>
      <c r="M226" s="4">
        <v>43291.0</v>
      </c>
      <c r="N226" s="2" t="s">
        <v>30</v>
      </c>
      <c r="O226" s="2">
        <v>70.0</v>
      </c>
      <c r="P226" s="2" t="s">
        <v>189</v>
      </c>
      <c r="Q226" s="2" t="s">
        <v>32</v>
      </c>
      <c r="R226" s="2">
        <v>46.0</v>
      </c>
      <c r="U226" s="2" t="b">
        <v>0</v>
      </c>
      <c r="V226" s="5">
        <v>0.0047</v>
      </c>
      <c r="W226" s="5">
        <v>0.0402</v>
      </c>
      <c r="X226" s="5">
        <v>1.88E-4</v>
      </c>
      <c r="Y226" s="2">
        <v>108.7713568</v>
      </c>
      <c r="Z226" s="2">
        <v>1003.0</v>
      </c>
      <c r="AA226" s="2" t="s">
        <v>33</v>
      </c>
    </row>
    <row r="227">
      <c r="A227" s="2">
        <v>1593.0</v>
      </c>
      <c r="B227" s="2" t="s">
        <v>706</v>
      </c>
      <c r="C227" s="2" t="s">
        <v>7</v>
      </c>
      <c r="D227" s="2" t="s">
        <v>707</v>
      </c>
      <c r="E227" s="2" t="s">
        <v>708</v>
      </c>
      <c r="F227" s="6">
        <v>45697.458333333336</v>
      </c>
      <c r="G227" s="2">
        <v>45324.0</v>
      </c>
      <c r="H227" s="2">
        <v>45324.0</v>
      </c>
      <c r="I227" s="2">
        <v>35659.0</v>
      </c>
      <c r="J227" s="2">
        <v>234.0</v>
      </c>
      <c r="K227" s="2">
        <v>227.0</v>
      </c>
      <c r="L227" s="2">
        <v>8.0</v>
      </c>
      <c r="M227" s="4">
        <v>29976.0</v>
      </c>
      <c r="N227" s="2" t="s">
        <v>36</v>
      </c>
      <c r="O227" s="2">
        <v>71.0</v>
      </c>
      <c r="P227" s="2" t="s">
        <v>31</v>
      </c>
      <c r="Q227" s="2" t="s">
        <v>32</v>
      </c>
      <c r="R227" s="2">
        <v>46.0</v>
      </c>
      <c r="U227" s="2" t="b">
        <v>0</v>
      </c>
      <c r="V227" s="5">
        <v>0.0064</v>
      </c>
      <c r="W227" s="5">
        <v>0.0352</v>
      </c>
      <c r="X227" s="5">
        <v>2.24E-4</v>
      </c>
      <c r="Y227" s="2">
        <v>132.0528634</v>
      </c>
      <c r="AA227" s="2" t="s">
        <v>33</v>
      </c>
    </row>
    <row r="228">
      <c r="A228" s="2">
        <v>1592.0</v>
      </c>
      <c r="B228" s="2" t="s">
        <v>709</v>
      </c>
      <c r="C228" s="2" t="s">
        <v>7</v>
      </c>
      <c r="D228" s="2" t="s">
        <v>710</v>
      </c>
      <c r="E228" s="2" t="s">
        <v>711</v>
      </c>
      <c r="F228" s="6">
        <v>45697.458333333336</v>
      </c>
      <c r="G228" s="2">
        <v>58432.0</v>
      </c>
      <c r="H228" s="2">
        <v>58432.0</v>
      </c>
      <c r="I228" s="2">
        <v>49137.0</v>
      </c>
      <c r="J228" s="2">
        <v>233.0</v>
      </c>
      <c r="K228" s="2">
        <v>226.0</v>
      </c>
      <c r="L228" s="2">
        <v>5.0</v>
      </c>
      <c r="M228" s="4">
        <v>17315.0</v>
      </c>
      <c r="N228" s="2" t="s">
        <v>30</v>
      </c>
      <c r="O228" s="2">
        <v>70.0</v>
      </c>
      <c r="P228" s="2" t="s">
        <v>31</v>
      </c>
      <c r="Q228" s="2" t="s">
        <v>32</v>
      </c>
      <c r="R228" s="2">
        <v>37.0</v>
      </c>
      <c r="T228" s="2" t="s">
        <v>47</v>
      </c>
      <c r="U228" s="2" t="b">
        <v>0</v>
      </c>
      <c r="V228" s="5">
        <v>0.0046</v>
      </c>
      <c r="W228" s="5">
        <v>0.0221</v>
      </c>
      <c r="X228" s="5">
        <v>1.02E-4</v>
      </c>
      <c r="Y228" s="2">
        <v>76.61504425</v>
      </c>
      <c r="AA228" s="2" t="s">
        <v>33</v>
      </c>
    </row>
    <row r="229">
      <c r="A229" s="2">
        <v>1595.0</v>
      </c>
      <c r="B229" s="2" t="s">
        <v>712</v>
      </c>
      <c r="C229" s="2" t="s">
        <v>7</v>
      </c>
      <c r="D229" s="2" t="s">
        <v>713</v>
      </c>
      <c r="E229" s="2" t="s">
        <v>714</v>
      </c>
      <c r="F229" s="6">
        <v>45697.541666666664</v>
      </c>
      <c r="G229" s="2">
        <v>45278.0</v>
      </c>
      <c r="H229" s="2">
        <v>45278.0</v>
      </c>
      <c r="I229" s="2">
        <v>35845.0</v>
      </c>
      <c r="J229" s="2">
        <v>194.0</v>
      </c>
      <c r="K229" s="2">
        <v>189.0</v>
      </c>
      <c r="L229" s="2">
        <v>2.0</v>
      </c>
      <c r="M229" s="4">
        <v>9972.0</v>
      </c>
      <c r="N229" s="2" t="s">
        <v>36</v>
      </c>
      <c r="O229" s="2">
        <v>71.0</v>
      </c>
      <c r="P229" s="2" t="s">
        <v>189</v>
      </c>
      <c r="Q229" s="2" t="s">
        <v>32</v>
      </c>
      <c r="R229" s="2">
        <v>30.0</v>
      </c>
      <c r="T229" s="2" t="s">
        <v>715</v>
      </c>
      <c r="U229" s="2" t="b">
        <v>0</v>
      </c>
      <c r="V229" s="5">
        <v>0.0053</v>
      </c>
      <c r="W229" s="5">
        <v>0.0106</v>
      </c>
      <c r="X229" s="5">
        <v>5.6E-5</v>
      </c>
      <c r="Y229" s="2">
        <v>52.76190476</v>
      </c>
      <c r="AA229" s="2" t="s">
        <v>33</v>
      </c>
    </row>
    <row r="230">
      <c r="A230" s="2">
        <v>1594.0</v>
      </c>
      <c r="B230" s="2" t="s">
        <v>716</v>
      </c>
      <c r="C230" s="2" t="s">
        <v>7</v>
      </c>
      <c r="D230" s="2" t="s">
        <v>717</v>
      </c>
      <c r="E230" s="2" t="s">
        <v>718</v>
      </c>
      <c r="F230" s="6">
        <v>45697.541666666664</v>
      </c>
      <c r="G230" s="2">
        <v>58414.0</v>
      </c>
      <c r="H230" s="2">
        <v>58414.0</v>
      </c>
      <c r="I230" s="2">
        <v>49360.0</v>
      </c>
      <c r="J230" s="2">
        <v>227.0</v>
      </c>
      <c r="K230" s="2">
        <v>222.0</v>
      </c>
      <c r="L230" s="2">
        <v>7.0</v>
      </c>
      <c r="M230" s="4">
        <v>19798.0</v>
      </c>
      <c r="N230" s="2" t="s">
        <v>30</v>
      </c>
      <c r="O230" s="2">
        <v>70.0</v>
      </c>
      <c r="P230" s="2" t="s">
        <v>189</v>
      </c>
      <c r="Q230" s="2" t="s">
        <v>32</v>
      </c>
      <c r="R230" s="2">
        <v>39.0</v>
      </c>
      <c r="T230" s="2" t="s">
        <v>719</v>
      </c>
      <c r="U230" s="2" t="b">
        <v>0</v>
      </c>
      <c r="V230" s="5">
        <v>0.0045</v>
      </c>
      <c r="W230" s="5">
        <v>0.0315</v>
      </c>
      <c r="X230" s="5">
        <v>1.42E-4</v>
      </c>
      <c r="Y230" s="2">
        <v>89.18018018</v>
      </c>
      <c r="AA230" s="2" t="s">
        <v>33</v>
      </c>
    </row>
    <row r="231">
      <c r="A231" s="2">
        <v>1597.0</v>
      </c>
      <c r="B231" s="2" t="s">
        <v>720</v>
      </c>
      <c r="C231" s="2" t="s">
        <v>7</v>
      </c>
      <c r="D231" s="2" t="s">
        <v>721</v>
      </c>
      <c r="E231" s="2" t="s">
        <v>722</v>
      </c>
      <c r="F231" s="6">
        <v>45697.625</v>
      </c>
      <c r="G231" s="2">
        <v>45296.0</v>
      </c>
      <c r="H231" s="2">
        <v>45296.0</v>
      </c>
      <c r="I231" s="2">
        <v>35871.0</v>
      </c>
      <c r="J231" s="2">
        <v>253.0</v>
      </c>
      <c r="K231" s="2">
        <v>243.0</v>
      </c>
      <c r="L231" s="2">
        <v>4.0</v>
      </c>
      <c r="M231" s="4">
        <v>12077.0</v>
      </c>
      <c r="N231" s="2" t="s">
        <v>36</v>
      </c>
      <c r="O231" s="2">
        <v>71.0</v>
      </c>
      <c r="P231" s="2" t="s">
        <v>189</v>
      </c>
      <c r="Q231" s="2" t="s">
        <v>32</v>
      </c>
      <c r="R231" s="2">
        <v>48.0</v>
      </c>
      <c r="T231" s="2" t="s">
        <v>47</v>
      </c>
      <c r="U231" s="2" t="b">
        <v>0</v>
      </c>
      <c r="V231" s="5">
        <v>0.0068</v>
      </c>
      <c r="W231" s="5">
        <v>0.0165</v>
      </c>
      <c r="X231" s="5">
        <v>1.12E-4</v>
      </c>
      <c r="Y231" s="2">
        <v>49.69958848</v>
      </c>
      <c r="AA231" s="2" t="s">
        <v>33</v>
      </c>
    </row>
    <row r="232">
      <c r="A232" s="2">
        <v>1596.0</v>
      </c>
      <c r="B232" s="2" t="s">
        <v>723</v>
      </c>
      <c r="C232" s="2" t="s">
        <v>7</v>
      </c>
      <c r="D232" s="2" t="s">
        <v>724</v>
      </c>
      <c r="E232" s="2" t="s">
        <v>725</v>
      </c>
      <c r="F232" s="6">
        <v>45697.625</v>
      </c>
      <c r="G232" s="2">
        <v>58455.0</v>
      </c>
      <c r="H232" s="2">
        <v>58455.0</v>
      </c>
      <c r="I232" s="2">
        <v>49422.0</v>
      </c>
      <c r="J232" s="2">
        <v>287.0</v>
      </c>
      <c r="K232" s="2">
        <v>286.0</v>
      </c>
      <c r="L232" s="2">
        <v>9.0</v>
      </c>
      <c r="M232" s="4">
        <v>51102.0</v>
      </c>
      <c r="N232" s="2" t="s">
        <v>30</v>
      </c>
      <c r="O232" s="2">
        <v>70.0</v>
      </c>
      <c r="P232" s="2" t="s">
        <v>189</v>
      </c>
      <c r="Q232" s="2" t="s">
        <v>32</v>
      </c>
      <c r="R232" s="2">
        <v>44.0</v>
      </c>
      <c r="T232" s="2" t="s">
        <v>47</v>
      </c>
      <c r="U232" s="2" t="b">
        <v>0</v>
      </c>
      <c r="V232" s="5">
        <v>0.0058</v>
      </c>
      <c r="W232" s="5">
        <v>0.0315</v>
      </c>
      <c r="X232" s="5">
        <v>1.82E-4</v>
      </c>
      <c r="Y232" s="2">
        <v>178.6783217</v>
      </c>
      <c r="AA232" s="2" t="s">
        <v>33</v>
      </c>
    </row>
    <row r="233">
      <c r="A233" s="2">
        <v>1599.0</v>
      </c>
      <c r="B233" s="2" t="s">
        <v>726</v>
      </c>
      <c r="C233" s="2" t="s">
        <v>7</v>
      </c>
      <c r="D233" s="2" t="s">
        <v>727</v>
      </c>
      <c r="E233" s="2" t="s">
        <v>728</v>
      </c>
      <c r="F233" s="6">
        <v>45698.5</v>
      </c>
      <c r="G233" s="2">
        <v>45393.0</v>
      </c>
      <c r="H233" s="2">
        <v>45393.0</v>
      </c>
      <c r="I233" s="2">
        <v>35984.0</v>
      </c>
      <c r="J233" s="2">
        <v>206.0</v>
      </c>
      <c r="K233" s="2">
        <v>199.0</v>
      </c>
      <c r="L233" s="2">
        <v>3.0</v>
      </c>
      <c r="M233" s="4">
        <v>10018.0</v>
      </c>
      <c r="N233" s="2" t="s">
        <v>36</v>
      </c>
      <c r="O233" s="2">
        <v>71.0</v>
      </c>
      <c r="P233" s="2" t="s">
        <v>189</v>
      </c>
      <c r="Q233" s="2" t="s">
        <v>32</v>
      </c>
      <c r="R233" s="2">
        <v>35.0</v>
      </c>
      <c r="U233" s="2" t="b">
        <v>0</v>
      </c>
      <c r="V233" s="5">
        <v>0.0055</v>
      </c>
      <c r="W233" s="5">
        <v>0.0151</v>
      </c>
      <c r="X233" s="5">
        <v>8.3E-5</v>
      </c>
      <c r="Y233" s="2">
        <v>50.34170854</v>
      </c>
      <c r="AA233" s="2" t="s">
        <v>33</v>
      </c>
    </row>
    <row r="234">
      <c r="A234" s="2">
        <v>1598.0</v>
      </c>
      <c r="B234" s="2" t="s">
        <v>729</v>
      </c>
      <c r="C234" s="2" t="s">
        <v>7</v>
      </c>
      <c r="D234" s="2" t="s">
        <v>730</v>
      </c>
      <c r="E234" s="2" t="s">
        <v>731</v>
      </c>
      <c r="F234" s="6">
        <v>45698.5</v>
      </c>
      <c r="G234" s="2">
        <v>58639.0</v>
      </c>
      <c r="H234" s="2">
        <v>58639.0</v>
      </c>
      <c r="I234" s="2">
        <v>49525.0</v>
      </c>
      <c r="J234" s="2">
        <v>277.0</v>
      </c>
      <c r="K234" s="2">
        <v>269.0</v>
      </c>
      <c r="L234" s="2">
        <v>5.0</v>
      </c>
      <c r="M234" s="4">
        <v>21549.0</v>
      </c>
      <c r="N234" s="2" t="s">
        <v>30</v>
      </c>
      <c r="O234" s="2">
        <v>70.0</v>
      </c>
      <c r="P234" s="2" t="s">
        <v>31</v>
      </c>
      <c r="Q234" s="2" t="s">
        <v>32</v>
      </c>
      <c r="R234" s="2">
        <v>40.0</v>
      </c>
      <c r="U234" s="2" t="b">
        <v>0</v>
      </c>
      <c r="V234" s="5">
        <v>0.0054</v>
      </c>
      <c r="W234" s="5">
        <v>0.0186</v>
      </c>
      <c r="X234" s="5">
        <v>1.01E-4</v>
      </c>
      <c r="Y234" s="2">
        <v>80.10780669</v>
      </c>
      <c r="Z234" s="2" t="s">
        <v>182</v>
      </c>
      <c r="AA234" s="2" t="s">
        <v>33</v>
      </c>
    </row>
    <row r="235">
      <c r="A235" s="2">
        <v>1601.0</v>
      </c>
      <c r="B235" s="2" t="s">
        <v>732</v>
      </c>
      <c r="C235" s="2" t="s">
        <v>7</v>
      </c>
      <c r="D235" s="2" t="s">
        <v>733</v>
      </c>
      <c r="E235" s="2" t="s">
        <v>734</v>
      </c>
      <c r="F235" s="6">
        <v>45698.625</v>
      </c>
      <c r="G235" s="2">
        <v>45365.0</v>
      </c>
      <c r="H235" s="2">
        <v>45365.0</v>
      </c>
      <c r="I235" s="2">
        <v>36128.0</v>
      </c>
      <c r="J235" s="2">
        <v>216.0</v>
      </c>
      <c r="K235" s="2">
        <v>207.0</v>
      </c>
      <c r="L235" s="2">
        <v>6.0</v>
      </c>
      <c r="M235" s="4">
        <v>16323.0</v>
      </c>
      <c r="N235" s="2" t="s">
        <v>36</v>
      </c>
      <c r="O235" s="2">
        <v>71.0</v>
      </c>
      <c r="P235" s="2" t="s">
        <v>189</v>
      </c>
      <c r="Q235" s="2" t="s">
        <v>32</v>
      </c>
      <c r="R235" s="2">
        <v>40.0</v>
      </c>
      <c r="T235" s="7" t="str">
        <f>IFERROR(__xludf.DUMMYFUNCTION("AI(""has offer Come X Pay X"",D235)"),"Love at First Sight")</f>
        <v>Love at First Sight</v>
      </c>
      <c r="U235" s="2" t="b">
        <v>0</v>
      </c>
      <c r="V235" s="5">
        <v>0.0057</v>
      </c>
      <c r="W235" s="5">
        <v>0.029</v>
      </c>
      <c r="X235" s="5">
        <v>1.66E-4</v>
      </c>
      <c r="Y235" s="2">
        <v>78.85507246</v>
      </c>
      <c r="AA235" s="2" t="s">
        <v>33</v>
      </c>
    </row>
    <row r="236">
      <c r="A236" s="2">
        <v>1600.0</v>
      </c>
      <c r="B236" s="2" t="s">
        <v>735</v>
      </c>
      <c r="C236" s="2" t="s">
        <v>7</v>
      </c>
      <c r="D236" s="2" t="s">
        <v>736</v>
      </c>
      <c r="E236" s="2" t="s">
        <v>737</v>
      </c>
      <c r="F236" s="6">
        <v>45698.625</v>
      </c>
      <c r="G236" s="2">
        <v>58622.0</v>
      </c>
      <c r="H236" s="2">
        <v>58622.0</v>
      </c>
      <c r="I236" s="2">
        <v>49641.0</v>
      </c>
      <c r="J236" s="2">
        <v>299.0</v>
      </c>
      <c r="K236" s="2">
        <v>290.0</v>
      </c>
      <c r="L236" s="2">
        <v>7.0</v>
      </c>
      <c r="M236" s="4">
        <v>14309.0</v>
      </c>
      <c r="N236" s="2" t="s">
        <v>30</v>
      </c>
      <c r="O236" s="2">
        <v>70.0</v>
      </c>
      <c r="P236" s="2" t="s">
        <v>189</v>
      </c>
      <c r="Q236" s="2" t="s">
        <v>32</v>
      </c>
      <c r="R236" s="2">
        <v>42.0</v>
      </c>
      <c r="T236" s="2" t="s">
        <v>162</v>
      </c>
      <c r="U236" s="2" t="b">
        <v>0</v>
      </c>
      <c r="V236" s="5">
        <v>0.0058</v>
      </c>
      <c r="W236" s="5">
        <v>0.0241</v>
      </c>
      <c r="X236" s="5">
        <v>1.41E-4</v>
      </c>
      <c r="Y236" s="2">
        <v>49.34137931</v>
      </c>
      <c r="Z236" s="2">
        <v>4138.0</v>
      </c>
      <c r="AA236" s="2" t="s">
        <v>33</v>
      </c>
    </row>
    <row r="237">
      <c r="A237" s="2">
        <v>1603.0</v>
      </c>
      <c r="B237" s="2" t="s">
        <v>738</v>
      </c>
      <c r="C237" s="2" t="s">
        <v>7</v>
      </c>
      <c r="D237" s="2" t="s">
        <v>739</v>
      </c>
      <c r="E237" s="2" t="s">
        <v>740</v>
      </c>
      <c r="F237" s="6">
        <v>45698.708333333336</v>
      </c>
      <c r="G237" s="2">
        <v>45368.0</v>
      </c>
      <c r="H237" s="2">
        <v>45368.0</v>
      </c>
      <c r="I237" s="2">
        <v>36188.0</v>
      </c>
      <c r="J237" s="2">
        <v>250.0</v>
      </c>
      <c r="K237" s="2">
        <v>243.0</v>
      </c>
      <c r="L237" s="2">
        <v>3.0</v>
      </c>
      <c r="M237" s="4">
        <v>9588.0</v>
      </c>
      <c r="N237" s="2" t="s">
        <v>36</v>
      </c>
      <c r="O237" s="2">
        <v>71.0</v>
      </c>
      <c r="P237" s="2" t="s">
        <v>31</v>
      </c>
      <c r="Q237" s="2" t="s">
        <v>32</v>
      </c>
      <c r="R237" s="2">
        <v>46.0</v>
      </c>
      <c r="T237" s="7" t="str">
        <f>IFERROR(__xludf.DUMMYFUNCTION("AI(""has offer Come X Pay X"",D237)"),"Does Not Have Offer")</f>
        <v>Does Not Have Offer</v>
      </c>
      <c r="U237" s="2" t="b">
        <v>0</v>
      </c>
      <c r="V237" s="5">
        <v>0.0067</v>
      </c>
      <c r="W237" s="5">
        <v>0.0123</v>
      </c>
      <c r="X237" s="5">
        <v>8.3E-5</v>
      </c>
      <c r="Y237" s="2">
        <v>39.45679012</v>
      </c>
      <c r="AA237" s="2" t="s">
        <v>33</v>
      </c>
    </row>
    <row r="238">
      <c r="A238" s="2">
        <v>1602.0</v>
      </c>
      <c r="B238" s="2" t="s">
        <v>741</v>
      </c>
      <c r="C238" s="2" t="s">
        <v>7</v>
      </c>
      <c r="D238" s="2" t="s">
        <v>742</v>
      </c>
      <c r="E238" s="2" t="s">
        <v>743</v>
      </c>
      <c r="F238" s="6">
        <v>45698.708333333336</v>
      </c>
      <c r="G238" s="2">
        <v>58669.0</v>
      </c>
      <c r="H238" s="2">
        <v>58669.0</v>
      </c>
      <c r="I238" s="2">
        <v>49724.0</v>
      </c>
      <c r="J238" s="2">
        <v>293.0</v>
      </c>
      <c r="K238" s="2">
        <v>288.0</v>
      </c>
      <c r="L238" s="2">
        <v>9.0</v>
      </c>
      <c r="M238" s="4">
        <v>22300.0</v>
      </c>
      <c r="N238" s="2" t="s">
        <v>30</v>
      </c>
      <c r="O238" s="2">
        <v>70.0</v>
      </c>
      <c r="P238" s="2" t="s">
        <v>189</v>
      </c>
      <c r="Q238" s="2" t="s">
        <v>32</v>
      </c>
      <c r="R238" s="2">
        <v>44.0</v>
      </c>
      <c r="T238" s="2" t="s">
        <v>47</v>
      </c>
      <c r="U238" s="2" t="b">
        <v>0</v>
      </c>
      <c r="V238" s="5">
        <v>0.0058</v>
      </c>
      <c r="W238" s="5">
        <v>0.0313</v>
      </c>
      <c r="X238" s="5">
        <v>1.81E-4</v>
      </c>
      <c r="Y238" s="2">
        <v>77.43055556</v>
      </c>
      <c r="AA238" s="2" t="s">
        <v>33</v>
      </c>
    </row>
    <row r="239">
      <c r="A239" s="2">
        <v>1605.0</v>
      </c>
      <c r="B239" s="2" t="s">
        <v>744</v>
      </c>
      <c r="C239" s="2" t="s">
        <v>7</v>
      </c>
      <c r="D239" s="2" t="s">
        <v>745</v>
      </c>
      <c r="E239" s="2" t="s">
        <v>746</v>
      </c>
      <c r="F239" s="6">
        <v>45699.50347222222</v>
      </c>
      <c r="G239" s="2">
        <v>45423.0</v>
      </c>
      <c r="H239" s="2">
        <v>45423.0</v>
      </c>
      <c r="I239" s="2">
        <v>36037.0</v>
      </c>
      <c r="J239" s="2">
        <v>226.0</v>
      </c>
      <c r="K239" s="2">
        <v>217.0</v>
      </c>
      <c r="L239" s="2">
        <v>3.0</v>
      </c>
      <c r="M239" s="4">
        <v>12322.0</v>
      </c>
      <c r="N239" s="2" t="s">
        <v>36</v>
      </c>
      <c r="O239" s="2">
        <v>71.0</v>
      </c>
      <c r="P239" s="2" t="s">
        <v>189</v>
      </c>
      <c r="Q239" s="2" t="s">
        <v>32</v>
      </c>
      <c r="R239" s="2">
        <v>52.0</v>
      </c>
      <c r="T239" s="2" t="s">
        <v>47</v>
      </c>
      <c r="U239" s="2" t="b">
        <v>0</v>
      </c>
      <c r="V239" s="5">
        <v>0.006</v>
      </c>
      <c r="W239" s="5">
        <v>0.0138</v>
      </c>
      <c r="X239" s="5">
        <v>8.3E-5</v>
      </c>
      <c r="Y239" s="2">
        <v>56.78341014</v>
      </c>
      <c r="AA239" s="2" t="s">
        <v>33</v>
      </c>
    </row>
    <row r="240">
      <c r="A240" s="2">
        <v>1604.0</v>
      </c>
      <c r="B240" s="2" t="s">
        <v>747</v>
      </c>
      <c r="C240" s="2" t="s">
        <v>7</v>
      </c>
      <c r="D240" s="2" t="s">
        <v>748</v>
      </c>
      <c r="E240" s="2" t="s">
        <v>749</v>
      </c>
      <c r="F240" s="6">
        <v>45699.50347222222</v>
      </c>
      <c r="G240" s="2">
        <v>58751.0</v>
      </c>
      <c r="H240" s="2">
        <v>58751.0</v>
      </c>
      <c r="I240" s="2">
        <v>49683.0</v>
      </c>
      <c r="J240" s="2">
        <v>276.0</v>
      </c>
      <c r="K240" s="2">
        <v>268.0</v>
      </c>
      <c r="L240" s="2">
        <v>7.0</v>
      </c>
      <c r="M240" s="4">
        <v>25671.0</v>
      </c>
      <c r="N240" s="2" t="s">
        <v>30</v>
      </c>
      <c r="O240" s="2">
        <v>70.0</v>
      </c>
      <c r="P240" s="2" t="s">
        <v>189</v>
      </c>
      <c r="Q240" s="2" t="s">
        <v>32</v>
      </c>
      <c r="R240" s="2">
        <v>51.0</v>
      </c>
      <c r="T240" s="2" t="s">
        <v>750</v>
      </c>
      <c r="U240" s="2" t="b">
        <v>0</v>
      </c>
      <c r="V240" s="5">
        <v>0.0054</v>
      </c>
      <c r="W240" s="5">
        <v>0.0261</v>
      </c>
      <c r="X240" s="5">
        <v>1.41E-4</v>
      </c>
      <c r="Y240" s="2">
        <v>95.78731343</v>
      </c>
      <c r="Z240" s="2">
        <v>2853.0</v>
      </c>
      <c r="AA240" s="2" t="s">
        <v>33</v>
      </c>
    </row>
    <row r="241">
      <c r="A241" s="2">
        <v>1607.0</v>
      </c>
      <c r="B241" s="2" t="s">
        <v>751</v>
      </c>
      <c r="C241" s="2" t="s">
        <v>7</v>
      </c>
      <c r="D241" s="2" t="s">
        <v>752</v>
      </c>
      <c r="E241" s="2" t="s">
        <v>753</v>
      </c>
      <c r="F241" s="6">
        <v>45699.625</v>
      </c>
      <c r="G241" s="2">
        <v>45363.0</v>
      </c>
      <c r="H241" s="2">
        <v>45363.0</v>
      </c>
      <c r="I241" s="2">
        <v>36175.0</v>
      </c>
      <c r="J241" s="2">
        <v>239.0</v>
      </c>
      <c r="K241" s="2">
        <v>227.0</v>
      </c>
      <c r="L241" s="2">
        <v>7.0</v>
      </c>
      <c r="M241" s="4">
        <v>30020.0</v>
      </c>
      <c r="N241" s="2" t="s">
        <v>36</v>
      </c>
      <c r="O241" s="2">
        <v>71.0</v>
      </c>
      <c r="P241" s="2" t="s">
        <v>31</v>
      </c>
      <c r="Q241" s="2" t="s">
        <v>32</v>
      </c>
      <c r="R241" s="2">
        <v>40.0</v>
      </c>
      <c r="U241" s="2" t="b">
        <v>0</v>
      </c>
      <c r="V241" s="5">
        <v>0.0063</v>
      </c>
      <c r="W241" s="5">
        <v>0.0308</v>
      </c>
      <c r="X241" s="5">
        <v>1.94E-4</v>
      </c>
      <c r="Y241" s="2">
        <v>132.246696</v>
      </c>
      <c r="AA241" s="2" t="s">
        <v>33</v>
      </c>
    </row>
    <row r="242">
      <c r="A242" s="2">
        <v>1606.0</v>
      </c>
      <c r="B242" s="2" t="s">
        <v>754</v>
      </c>
      <c r="C242" s="2" t="s">
        <v>7</v>
      </c>
      <c r="D242" s="2" t="s">
        <v>752</v>
      </c>
      <c r="E242" s="2" t="s">
        <v>755</v>
      </c>
      <c r="F242" s="6">
        <v>45699.625</v>
      </c>
      <c r="G242" s="2">
        <v>58721.0</v>
      </c>
      <c r="H242" s="2">
        <v>58721.0</v>
      </c>
      <c r="I242" s="2">
        <v>49729.0</v>
      </c>
      <c r="J242" s="2">
        <v>296.0</v>
      </c>
      <c r="K242" s="2">
        <v>294.0</v>
      </c>
      <c r="L242" s="2">
        <v>2.0</v>
      </c>
      <c r="M242" s="4">
        <v>4450.0</v>
      </c>
      <c r="N242" s="2" t="s">
        <v>30</v>
      </c>
      <c r="O242" s="2">
        <v>70.0</v>
      </c>
      <c r="P242" s="2" t="s">
        <v>31</v>
      </c>
      <c r="Q242" s="2" t="s">
        <v>32</v>
      </c>
      <c r="R242" s="2">
        <v>40.0</v>
      </c>
      <c r="T242" s="2" t="s">
        <v>47</v>
      </c>
      <c r="U242" s="2" t="b">
        <v>0</v>
      </c>
      <c r="V242" s="5">
        <v>0.0059</v>
      </c>
      <c r="W242" s="5">
        <v>0.0068</v>
      </c>
      <c r="X242" s="5">
        <v>4.0E-5</v>
      </c>
      <c r="Y242" s="2">
        <v>15.13605442</v>
      </c>
      <c r="AA242" s="2" t="s">
        <v>33</v>
      </c>
    </row>
    <row r="243">
      <c r="A243" s="2">
        <v>1609.0</v>
      </c>
      <c r="B243" s="2" t="s">
        <v>756</v>
      </c>
      <c r="C243" s="2" t="s">
        <v>7</v>
      </c>
      <c r="D243" s="2" t="s">
        <v>757</v>
      </c>
      <c r="E243" s="2" t="s">
        <v>758</v>
      </c>
      <c r="F243" s="6">
        <v>45699.708333333336</v>
      </c>
      <c r="G243" s="2">
        <v>45475.0</v>
      </c>
      <c r="H243" s="2">
        <v>45475.0</v>
      </c>
      <c r="I243" s="2">
        <v>36220.0</v>
      </c>
      <c r="J243" s="2">
        <v>264.0</v>
      </c>
      <c r="K243" s="2">
        <v>256.0</v>
      </c>
      <c r="L243" s="2">
        <v>6.0</v>
      </c>
      <c r="M243" s="4">
        <v>30216.0</v>
      </c>
      <c r="N243" s="2" t="s">
        <v>36</v>
      </c>
      <c r="O243" s="2">
        <v>71.0</v>
      </c>
      <c r="P243" s="2" t="s">
        <v>189</v>
      </c>
      <c r="Q243" s="2" t="s">
        <v>32</v>
      </c>
      <c r="R243" s="2">
        <v>50.0</v>
      </c>
      <c r="U243" s="2" t="b">
        <v>0</v>
      </c>
      <c r="V243" s="5">
        <v>0.0071</v>
      </c>
      <c r="W243" s="5">
        <v>0.0234</v>
      </c>
      <c r="X243" s="5">
        <v>1.66E-4</v>
      </c>
      <c r="Y243" s="2">
        <v>118.03125</v>
      </c>
      <c r="AA243" s="2" t="s">
        <v>33</v>
      </c>
    </row>
    <row r="244">
      <c r="A244" s="2">
        <v>1608.0</v>
      </c>
      <c r="B244" s="2" t="s">
        <v>759</v>
      </c>
      <c r="C244" s="2" t="s">
        <v>7</v>
      </c>
      <c r="D244" s="2" t="s">
        <v>760</v>
      </c>
      <c r="E244" s="2" t="s">
        <v>761</v>
      </c>
      <c r="F244" s="6">
        <v>45699.708333333336</v>
      </c>
      <c r="G244" s="2">
        <v>58789.0</v>
      </c>
      <c r="H244" s="2">
        <v>58789.0</v>
      </c>
      <c r="I244" s="2">
        <v>49784.0</v>
      </c>
      <c r="J244" s="2">
        <v>332.0</v>
      </c>
      <c r="K244" s="2">
        <v>325.0</v>
      </c>
      <c r="L244" s="2">
        <v>8.0</v>
      </c>
      <c r="M244" s="4">
        <v>15974.0</v>
      </c>
      <c r="N244" s="2" t="s">
        <v>30</v>
      </c>
      <c r="O244" s="2">
        <v>70.0</v>
      </c>
      <c r="P244" s="2" t="s">
        <v>189</v>
      </c>
      <c r="Q244" s="2" t="s">
        <v>32</v>
      </c>
      <c r="R244" s="2">
        <v>34.0</v>
      </c>
      <c r="T244" s="2" t="s">
        <v>162</v>
      </c>
      <c r="U244" s="2" t="b">
        <v>0</v>
      </c>
      <c r="V244" s="5">
        <v>0.0065</v>
      </c>
      <c r="W244" s="5">
        <v>0.0246</v>
      </c>
      <c r="X244" s="5">
        <v>1.61E-4</v>
      </c>
      <c r="Y244" s="2">
        <v>49.15076923</v>
      </c>
      <c r="Z244" s="2">
        <v>4655.0</v>
      </c>
      <c r="AA244" s="2" t="s">
        <v>33</v>
      </c>
    </row>
    <row r="245">
      <c r="A245" s="2">
        <v>1611.0</v>
      </c>
      <c r="B245" s="2" t="s">
        <v>762</v>
      </c>
      <c r="C245" s="2" t="s">
        <v>7</v>
      </c>
      <c r="D245" s="2" t="s">
        <v>172</v>
      </c>
      <c r="E245" s="2" t="s">
        <v>290</v>
      </c>
      <c r="F245" s="6">
        <v>45700.458333333336</v>
      </c>
      <c r="G245" s="2">
        <v>45468.0</v>
      </c>
      <c r="H245" s="2">
        <v>45468.0</v>
      </c>
      <c r="I245" s="2">
        <v>35932.0</v>
      </c>
      <c r="J245" s="2">
        <v>214.0</v>
      </c>
      <c r="K245" s="2">
        <v>204.0</v>
      </c>
      <c r="L245" s="2">
        <v>1.0</v>
      </c>
      <c r="M245" s="4">
        <v>2996.0</v>
      </c>
      <c r="N245" s="2" t="s">
        <v>36</v>
      </c>
      <c r="O245" s="2">
        <v>71.0</v>
      </c>
      <c r="P245" s="2" t="s">
        <v>31</v>
      </c>
      <c r="Q245" s="2" t="s">
        <v>32</v>
      </c>
      <c r="R245" s="2">
        <v>24.0</v>
      </c>
      <c r="T245" s="2" t="s">
        <v>47</v>
      </c>
      <c r="U245" s="2" t="b">
        <v>0</v>
      </c>
      <c r="V245" s="5">
        <v>0.0057</v>
      </c>
      <c r="W245" s="5">
        <v>0.0049</v>
      </c>
      <c r="X245" s="5">
        <v>2.8E-5</v>
      </c>
      <c r="Y245" s="2">
        <v>14.68627451</v>
      </c>
      <c r="AA245" s="2" t="s">
        <v>33</v>
      </c>
    </row>
    <row r="246">
      <c r="A246" s="2">
        <v>1610.0</v>
      </c>
      <c r="B246" s="2" t="s">
        <v>763</v>
      </c>
      <c r="C246" s="2" t="s">
        <v>7</v>
      </c>
      <c r="D246" s="2" t="s">
        <v>170</v>
      </c>
      <c r="E246" s="2" t="s">
        <v>288</v>
      </c>
      <c r="F246" s="6">
        <v>45700.458333333336</v>
      </c>
      <c r="G246" s="2">
        <v>58766.0</v>
      </c>
      <c r="H246" s="2">
        <v>58766.0</v>
      </c>
      <c r="I246" s="2">
        <v>49499.0</v>
      </c>
      <c r="J246" s="2">
        <v>220.0</v>
      </c>
      <c r="K246" s="2">
        <v>215.0</v>
      </c>
      <c r="L246" s="2">
        <v>9.0</v>
      </c>
      <c r="M246" s="4">
        <v>37120.0</v>
      </c>
      <c r="N246" s="2" t="s">
        <v>30</v>
      </c>
      <c r="O246" s="2">
        <v>70.0</v>
      </c>
      <c r="P246" s="2" t="s">
        <v>31</v>
      </c>
      <c r="Q246" s="2" t="s">
        <v>32</v>
      </c>
      <c r="R246" s="2">
        <v>27.0</v>
      </c>
      <c r="T246" s="2" t="s">
        <v>47</v>
      </c>
      <c r="U246" s="2" t="b">
        <v>0</v>
      </c>
      <c r="V246" s="5">
        <v>0.0043</v>
      </c>
      <c r="W246" s="5">
        <v>0.0419</v>
      </c>
      <c r="X246" s="5">
        <v>1.82E-4</v>
      </c>
      <c r="Y246" s="2">
        <v>172.6511628</v>
      </c>
      <c r="AA246" s="2" t="s">
        <v>33</v>
      </c>
    </row>
    <row r="247">
      <c r="A247" s="2">
        <v>1615.0</v>
      </c>
      <c r="B247" s="2" t="s">
        <v>764</v>
      </c>
      <c r="C247" s="2" t="s">
        <v>7</v>
      </c>
      <c r="D247" s="2" t="s">
        <v>765</v>
      </c>
      <c r="E247" s="2" t="s">
        <v>766</v>
      </c>
      <c r="F247" s="6">
        <v>45700.708333333336</v>
      </c>
      <c r="G247" s="2">
        <v>91034.0</v>
      </c>
      <c r="H247" s="2">
        <v>91034.0</v>
      </c>
      <c r="I247" s="2">
        <v>72737.0</v>
      </c>
      <c r="J247" s="2">
        <v>458.0</v>
      </c>
      <c r="K247" s="2">
        <v>441.0</v>
      </c>
      <c r="L247" s="2">
        <v>5.0</v>
      </c>
      <c r="M247" s="4">
        <v>8677.0</v>
      </c>
      <c r="N247" s="2" t="s">
        <v>36</v>
      </c>
      <c r="O247" s="2">
        <v>71.0</v>
      </c>
      <c r="P247" s="2" t="s">
        <v>189</v>
      </c>
      <c r="Q247" s="2" t="s">
        <v>32</v>
      </c>
      <c r="R247" s="2">
        <v>35.0</v>
      </c>
      <c r="U247" s="2" t="b">
        <v>0</v>
      </c>
      <c r="V247" s="5">
        <v>0.0061</v>
      </c>
      <c r="W247" s="5">
        <v>0.0113</v>
      </c>
      <c r="X247" s="5">
        <v>6.9E-5</v>
      </c>
      <c r="Y247" s="2">
        <v>19.67573696</v>
      </c>
      <c r="AA247" s="2" t="s">
        <v>33</v>
      </c>
    </row>
    <row r="248">
      <c r="A248" s="2">
        <v>1614.0</v>
      </c>
      <c r="B248" s="2" t="s">
        <v>767</v>
      </c>
      <c r="C248" s="2" t="s">
        <v>7</v>
      </c>
      <c r="D248" s="2" t="s">
        <v>768</v>
      </c>
      <c r="E248" s="2" t="s">
        <v>769</v>
      </c>
      <c r="F248" s="6">
        <v>45700.708333333336</v>
      </c>
      <c r="G248" s="2">
        <v>117694.0</v>
      </c>
      <c r="H248" s="2">
        <v>117694.0</v>
      </c>
      <c r="I248" s="2">
        <v>99859.0</v>
      </c>
      <c r="J248" s="2">
        <v>552.0</v>
      </c>
      <c r="K248" s="2">
        <v>539.0</v>
      </c>
      <c r="L248" s="2">
        <v>14.0</v>
      </c>
      <c r="M248" s="4">
        <v>61738.0</v>
      </c>
      <c r="N248" s="2" t="s">
        <v>30</v>
      </c>
      <c r="O248" s="2">
        <v>70.0</v>
      </c>
      <c r="P248" s="2" t="s">
        <v>189</v>
      </c>
      <c r="Q248" s="2" t="s">
        <v>32</v>
      </c>
      <c r="R248" s="2">
        <v>32.0</v>
      </c>
      <c r="T248" s="2" t="s">
        <v>47</v>
      </c>
      <c r="U248" s="2" t="b">
        <v>0</v>
      </c>
      <c r="V248" s="5">
        <v>0.0054</v>
      </c>
      <c r="W248" s="5">
        <v>0.026</v>
      </c>
      <c r="X248" s="5">
        <v>1.4E-4</v>
      </c>
      <c r="Y248" s="2">
        <v>114.541744</v>
      </c>
      <c r="Z248" s="2">
        <v>3629.0</v>
      </c>
      <c r="AA248" s="2" t="s">
        <v>33</v>
      </c>
    </row>
    <row r="249">
      <c r="A249" s="2">
        <v>1616.0</v>
      </c>
      <c r="B249" s="2" t="s">
        <v>770</v>
      </c>
      <c r="C249" s="2" t="s">
        <v>7</v>
      </c>
      <c r="D249" s="2" t="s">
        <v>771</v>
      </c>
      <c r="E249" s="2" t="e">
        <v>#N/A</v>
      </c>
      <c r="F249" s="6">
        <v>45701.63680555556</v>
      </c>
      <c r="G249" s="2">
        <v>59172.0</v>
      </c>
      <c r="H249" s="2">
        <v>59172.0</v>
      </c>
      <c r="I249" s="2">
        <v>50163.0</v>
      </c>
      <c r="J249" s="2">
        <v>284.0</v>
      </c>
      <c r="K249" s="2">
        <v>279.0</v>
      </c>
      <c r="L249" s="2">
        <v>5.0</v>
      </c>
      <c r="M249" s="4">
        <v>4493.0</v>
      </c>
      <c r="N249" s="2" t="s">
        <v>30</v>
      </c>
      <c r="O249" s="2">
        <v>70.0</v>
      </c>
      <c r="P249" s="2" t="s">
        <v>31</v>
      </c>
      <c r="Q249" s="2" t="s">
        <v>32</v>
      </c>
      <c r="R249" s="2">
        <v>40.0</v>
      </c>
      <c r="U249" s="2" t="b">
        <v>0</v>
      </c>
      <c r="V249" s="5">
        <v>0.0056</v>
      </c>
      <c r="W249" s="5">
        <v>0.0179</v>
      </c>
      <c r="X249" s="5">
        <v>1.0E-4</v>
      </c>
      <c r="Y249" s="2">
        <v>16.10394265</v>
      </c>
      <c r="AA249" s="2" t="s">
        <v>33</v>
      </c>
    </row>
    <row r="250">
      <c r="A250" s="2">
        <v>1617.0</v>
      </c>
      <c r="B250" s="2" t="s">
        <v>772</v>
      </c>
      <c r="C250" s="2" t="s">
        <v>7</v>
      </c>
      <c r="D250" s="2" t="s">
        <v>773</v>
      </c>
      <c r="E250" s="2" t="e">
        <v>#N/A</v>
      </c>
      <c r="F250" s="6">
        <v>45701.63888888889</v>
      </c>
      <c r="G250" s="2">
        <v>45796.0</v>
      </c>
      <c r="H250" s="2">
        <v>45796.0</v>
      </c>
      <c r="I250" s="2">
        <v>36559.0</v>
      </c>
      <c r="J250" s="2">
        <v>285.0</v>
      </c>
      <c r="K250" s="2">
        <v>276.0</v>
      </c>
      <c r="L250" s="2">
        <v>7.0</v>
      </c>
      <c r="M250" s="4">
        <v>19629.0</v>
      </c>
      <c r="N250" s="2" t="s">
        <v>36</v>
      </c>
      <c r="O250" s="2">
        <v>71.0</v>
      </c>
      <c r="P250" s="2" t="s">
        <v>189</v>
      </c>
      <c r="Q250" s="2" t="s">
        <v>32</v>
      </c>
      <c r="R250" s="2">
        <v>59.0</v>
      </c>
      <c r="T250" s="2" t="s">
        <v>47</v>
      </c>
      <c r="U250" s="2" t="b">
        <v>0</v>
      </c>
      <c r="V250" s="5">
        <v>0.0075</v>
      </c>
      <c r="W250" s="5">
        <v>0.0254</v>
      </c>
      <c r="X250" s="5">
        <v>1.91E-4</v>
      </c>
      <c r="Y250" s="2">
        <v>71.11956522</v>
      </c>
      <c r="AA250" s="2" t="s">
        <v>33</v>
      </c>
    </row>
    <row r="251">
      <c r="A251" s="2">
        <v>1619.0</v>
      </c>
      <c r="B251" s="2" t="s">
        <v>774</v>
      </c>
      <c r="C251" s="2" t="s">
        <v>7</v>
      </c>
      <c r="D251" s="2" t="s">
        <v>775</v>
      </c>
      <c r="E251" s="2" t="s">
        <v>776</v>
      </c>
      <c r="F251" s="6">
        <v>45701.708333333336</v>
      </c>
      <c r="G251" s="2">
        <v>45757.0</v>
      </c>
      <c r="H251" s="2">
        <v>45757.0</v>
      </c>
      <c r="I251" s="2">
        <v>36580.0</v>
      </c>
      <c r="J251" s="2">
        <v>250.0</v>
      </c>
      <c r="K251" s="2">
        <v>239.0</v>
      </c>
      <c r="L251" s="2">
        <v>5.0</v>
      </c>
      <c r="M251" s="4">
        <v>19585.0</v>
      </c>
      <c r="N251" s="2" t="s">
        <v>36</v>
      </c>
      <c r="O251" s="2">
        <v>71.0</v>
      </c>
      <c r="P251" s="2" t="s">
        <v>189</v>
      </c>
      <c r="Q251" s="2" t="s">
        <v>32</v>
      </c>
      <c r="R251" s="2">
        <v>50.0</v>
      </c>
      <c r="U251" s="2" t="b">
        <v>0</v>
      </c>
      <c r="V251" s="5">
        <v>0.0065</v>
      </c>
      <c r="W251" s="5">
        <v>0.0209</v>
      </c>
      <c r="X251" s="5">
        <v>1.37E-4</v>
      </c>
      <c r="Y251" s="2">
        <v>81.94560669</v>
      </c>
      <c r="AA251" s="2" t="s">
        <v>33</v>
      </c>
    </row>
    <row r="252">
      <c r="A252" s="2">
        <v>1618.0</v>
      </c>
      <c r="B252" s="2" t="s">
        <v>777</v>
      </c>
      <c r="C252" s="2" t="s">
        <v>7</v>
      </c>
      <c r="D252" s="2" t="s">
        <v>778</v>
      </c>
      <c r="E252" s="2" t="s">
        <v>779</v>
      </c>
      <c r="F252" s="6">
        <v>45701.708333333336</v>
      </c>
      <c r="G252" s="2">
        <v>59151.0</v>
      </c>
      <c r="H252" s="2">
        <v>59151.0</v>
      </c>
      <c r="I252" s="2">
        <v>50221.0</v>
      </c>
      <c r="J252" s="2">
        <v>299.0</v>
      </c>
      <c r="K252" s="2">
        <v>293.0</v>
      </c>
      <c r="L252" s="2">
        <v>6.0</v>
      </c>
      <c r="M252" s="4">
        <v>16628.0</v>
      </c>
      <c r="N252" s="2" t="s">
        <v>30</v>
      </c>
      <c r="O252" s="2">
        <v>70.0</v>
      </c>
      <c r="P252" s="2" t="s">
        <v>189</v>
      </c>
      <c r="Q252" s="2" t="s">
        <v>32</v>
      </c>
      <c r="R252" s="2">
        <v>51.0</v>
      </c>
      <c r="U252" s="2" t="b">
        <v>0</v>
      </c>
      <c r="V252" s="5">
        <v>0.0058</v>
      </c>
      <c r="W252" s="5">
        <v>0.0205</v>
      </c>
      <c r="X252" s="5">
        <v>1.19E-4</v>
      </c>
      <c r="Y252" s="2">
        <v>56.75085324</v>
      </c>
      <c r="Z252" s="2">
        <v>3632.0</v>
      </c>
      <c r="AA252" s="2" t="s">
        <v>33</v>
      </c>
    </row>
    <row r="253">
      <c r="A253" s="2">
        <v>1621.0</v>
      </c>
      <c r="B253" s="2" t="s">
        <v>780</v>
      </c>
      <c r="C253" s="2" t="s">
        <v>7</v>
      </c>
      <c r="D253" s="2" t="s">
        <v>781</v>
      </c>
      <c r="E253" s="2" t="s">
        <v>782</v>
      </c>
      <c r="F253" s="6">
        <v>45701.791666666664</v>
      </c>
      <c r="G253" s="2">
        <v>45790.0</v>
      </c>
      <c r="H253" s="2">
        <v>45790.0</v>
      </c>
      <c r="I253" s="2">
        <v>36637.0</v>
      </c>
      <c r="J253" s="2">
        <v>272.0</v>
      </c>
      <c r="K253" s="2">
        <v>267.0</v>
      </c>
      <c r="L253" s="2">
        <v>1.0</v>
      </c>
      <c r="M253" s="4">
        <v>3136.0</v>
      </c>
      <c r="N253" s="2" t="s">
        <v>36</v>
      </c>
      <c r="O253" s="2">
        <v>71.0</v>
      </c>
      <c r="P253" s="2" t="s">
        <v>31</v>
      </c>
      <c r="Q253" s="2" t="s">
        <v>32</v>
      </c>
      <c r="R253" s="2">
        <v>36.0</v>
      </c>
      <c r="U253" s="2" t="b">
        <v>0</v>
      </c>
      <c r="V253" s="5">
        <v>0.0073</v>
      </c>
      <c r="W253" s="5">
        <v>0.0037</v>
      </c>
      <c r="X253" s="5">
        <v>2.7E-5</v>
      </c>
      <c r="Y253" s="2">
        <v>11.74531835</v>
      </c>
      <c r="AA253" s="2" t="s">
        <v>33</v>
      </c>
    </row>
    <row r="254">
      <c r="A254" s="2">
        <v>1620.0</v>
      </c>
      <c r="B254" s="2" t="s">
        <v>783</v>
      </c>
      <c r="C254" s="2" t="s">
        <v>7</v>
      </c>
      <c r="D254" s="2" t="s">
        <v>784</v>
      </c>
      <c r="E254" s="2" t="s">
        <v>785</v>
      </c>
      <c r="F254" s="6">
        <v>45701.791666666664</v>
      </c>
      <c r="G254" s="2">
        <v>59195.0</v>
      </c>
      <c r="H254" s="2">
        <v>59195.0</v>
      </c>
      <c r="I254" s="2">
        <v>50310.0</v>
      </c>
      <c r="J254" s="2">
        <v>315.0</v>
      </c>
      <c r="K254" s="2">
        <v>304.0</v>
      </c>
      <c r="L254" s="2">
        <v>7.0</v>
      </c>
      <c r="M254" s="4">
        <v>16316.0</v>
      </c>
      <c r="N254" s="2" t="s">
        <v>30</v>
      </c>
      <c r="O254" s="2">
        <v>70.0</v>
      </c>
      <c r="P254" s="2" t="s">
        <v>31</v>
      </c>
      <c r="Q254" s="2" t="s">
        <v>32</v>
      </c>
      <c r="R254" s="2">
        <v>40.0</v>
      </c>
      <c r="U254" s="2" t="b">
        <v>0</v>
      </c>
      <c r="V254" s="5">
        <v>0.006</v>
      </c>
      <c r="W254" s="5">
        <v>0.023</v>
      </c>
      <c r="X254" s="5">
        <v>1.39E-4</v>
      </c>
      <c r="Y254" s="2">
        <v>53.67105263</v>
      </c>
      <c r="Z254" s="2">
        <v>3377.0</v>
      </c>
      <c r="AA254" s="2" t="s">
        <v>33</v>
      </c>
    </row>
    <row r="255">
      <c r="A255" s="2">
        <v>1622.0</v>
      </c>
      <c r="B255" s="2" t="s">
        <v>786</v>
      </c>
      <c r="C255" s="2" t="s">
        <v>7</v>
      </c>
      <c r="D255" s="2" t="s">
        <v>787</v>
      </c>
      <c r="E255" s="2" t="s">
        <v>788</v>
      </c>
      <c r="F255" s="6">
        <v>45702.47777777778</v>
      </c>
      <c r="G255" s="2">
        <v>59273.0</v>
      </c>
      <c r="H255" s="2">
        <v>59273.0</v>
      </c>
      <c r="I255" s="2">
        <v>50312.0</v>
      </c>
      <c r="J255" s="2">
        <v>311.0</v>
      </c>
      <c r="K255" s="2">
        <v>306.0</v>
      </c>
      <c r="L255" s="2">
        <v>6.0</v>
      </c>
      <c r="M255" s="4">
        <v>12089.0</v>
      </c>
      <c r="N255" s="2" t="s">
        <v>30</v>
      </c>
      <c r="O255" s="2">
        <v>70.0</v>
      </c>
      <c r="P255" s="2" t="s">
        <v>189</v>
      </c>
      <c r="Q255" s="2" t="s">
        <v>32</v>
      </c>
      <c r="R255" s="2">
        <v>23.0</v>
      </c>
      <c r="T255" s="2" t="s">
        <v>47</v>
      </c>
      <c r="U255" s="2" t="b">
        <v>0</v>
      </c>
      <c r="V255" s="5">
        <v>0.0061</v>
      </c>
      <c r="W255" s="5">
        <v>0.0196</v>
      </c>
      <c r="X255" s="5">
        <v>1.19E-4</v>
      </c>
      <c r="Y255" s="2">
        <v>39.50653595</v>
      </c>
      <c r="AA255" s="2" t="s">
        <v>33</v>
      </c>
    </row>
    <row r="256">
      <c r="A256" s="2">
        <v>1623.0</v>
      </c>
      <c r="B256" s="2" t="s">
        <v>789</v>
      </c>
      <c r="C256" s="2" t="s">
        <v>7</v>
      </c>
      <c r="D256" s="2" t="s">
        <v>790</v>
      </c>
      <c r="E256" s="2" t="s">
        <v>791</v>
      </c>
      <c r="F256" s="6">
        <v>45702.48055555556</v>
      </c>
      <c r="G256" s="2">
        <v>45862.0</v>
      </c>
      <c r="H256" s="2">
        <v>45862.0</v>
      </c>
      <c r="I256" s="2">
        <v>36488.0</v>
      </c>
      <c r="J256" s="2">
        <v>274.0</v>
      </c>
      <c r="K256" s="2">
        <v>265.0</v>
      </c>
      <c r="L256" s="2">
        <v>7.0</v>
      </c>
      <c r="M256" s="4">
        <v>21280.0</v>
      </c>
      <c r="N256" s="2" t="s">
        <v>36</v>
      </c>
      <c r="O256" s="2">
        <v>71.0</v>
      </c>
      <c r="P256" s="2" t="s">
        <v>189</v>
      </c>
      <c r="Q256" s="2" t="s">
        <v>32</v>
      </c>
      <c r="R256" s="2">
        <v>25.0</v>
      </c>
      <c r="U256" s="2" t="b">
        <v>0</v>
      </c>
      <c r="V256" s="5">
        <v>0.0073</v>
      </c>
      <c r="W256" s="5">
        <v>0.0264</v>
      </c>
      <c r="X256" s="5">
        <v>1.92E-4</v>
      </c>
      <c r="Y256" s="2">
        <v>80.30188679</v>
      </c>
      <c r="AA256" s="2" t="s">
        <v>33</v>
      </c>
    </row>
    <row r="257">
      <c r="A257" s="2">
        <v>1625.0</v>
      </c>
      <c r="B257" s="2" t="s">
        <v>792</v>
      </c>
      <c r="C257" s="2" t="s">
        <v>7</v>
      </c>
      <c r="D257" s="2" t="s">
        <v>793</v>
      </c>
      <c r="E257" s="2" t="s">
        <v>794</v>
      </c>
      <c r="F257" s="6">
        <v>45702.625</v>
      </c>
      <c r="G257" s="2">
        <v>45892.0</v>
      </c>
      <c r="H257" s="2">
        <v>45892.0</v>
      </c>
      <c r="I257" s="2">
        <v>36723.0</v>
      </c>
      <c r="J257" s="2">
        <v>212.0</v>
      </c>
      <c r="K257" s="2">
        <v>204.0</v>
      </c>
      <c r="L257" s="2">
        <v>3.0</v>
      </c>
      <c r="M257" s="4">
        <v>8970.0</v>
      </c>
      <c r="N257" s="2" t="s">
        <v>36</v>
      </c>
      <c r="O257" s="2">
        <v>71.0</v>
      </c>
      <c r="P257" s="2" t="s">
        <v>31</v>
      </c>
      <c r="Q257" s="2" t="s">
        <v>32</v>
      </c>
      <c r="R257" s="2">
        <v>36.0</v>
      </c>
      <c r="T257" s="2" t="s">
        <v>47</v>
      </c>
      <c r="U257" s="2" t="b">
        <v>0</v>
      </c>
      <c r="V257" s="5">
        <v>0.0056</v>
      </c>
      <c r="W257" s="5">
        <v>0.0147</v>
      </c>
      <c r="X257" s="5">
        <v>8.2E-5</v>
      </c>
      <c r="Y257" s="2">
        <v>43.97058824</v>
      </c>
      <c r="AA257" s="2" t="s">
        <v>33</v>
      </c>
    </row>
    <row r="258">
      <c r="A258" s="2">
        <v>1624.0</v>
      </c>
      <c r="B258" s="2" t="s">
        <v>795</v>
      </c>
      <c r="C258" s="2" t="s">
        <v>7</v>
      </c>
      <c r="D258" s="2" t="s">
        <v>796</v>
      </c>
      <c r="E258" s="2" t="s">
        <v>797</v>
      </c>
      <c r="F258" s="6">
        <v>45702.625</v>
      </c>
      <c r="G258" s="2">
        <v>59366.0</v>
      </c>
      <c r="H258" s="2">
        <v>59366.0</v>
      </c>
      <c r="I258" s="2">
        <v>50472.0</v>
      </c>
      <c r="J258" s="2">
        <v>234.0</v>
      </c>
      <c r="K258" s="2">
        <v>225.0</v>
      </c>
      <c r="L258" s="2">
        <v>3.0</v>
      </c>
      <c r="M258" s="4">
        <v>5409.0</v>
      </c>
      <c r="N258" s="2" t="s">
        <v>30</v>
      </c>
      <c r="O258" s="2">
        <v>70.0</v>
      </c>
      <c r="P258" s="2" t="s">
        <v>189</v>
      </c>
      <c r="Q258" s="2" t="s">
        <v>32</v>
      </c>
      <c r="R258" s="2">
        <v>34.0</v>
      </c>
      <c r="U258" s="2" t="b">
        <v>0</v>
      </c>
      <c r="V258" s="5">
        <v>0.0045</v>
      </c>
      <c r="W258" s="5">
        <v>0.0133</v>
      </c>
      <c r="X258" s="5">
        <v>5.9E-5</v>
      </c>
      <c r="Y258" s="2">
        <v>24.04</v>
      </c>
      <c r="AA258" s="2" t="s">
        <v>33</v>
      </c>
    </row>
    <row r="259">
      <c r="A259" s="2">
        <v>1627.0</v>
      </c>
      <c r="B259" s="2" t="s">
        <v>798</v>
      </c>
      <c r="C259" s="2" t="s">
        <v>7</v>
      </c>
      <c r="D259" s="2" t="s">
        <v>799</v>
      </c>
      <c r="E259" s="2" t="s">
        <v>800</v>
      </c>
      <c r="F259" s="6">
        <v>45702.708333333336</v>
      </c>
      <c r="G259" s="2">
        <v>45924.0</v>
      </c>
      <c r="H259" s="2">
        <v>45924.0</v>
      </c>
      <c r="I259" s="2">
        <v>36779.0</v>
      </c>
      <c r="J259" s="2">
        <v>291.0</v>
      </c>
      <c r="K259" s="2">
        <v>282.0</v>
      </c>
      <c r="L259" s="2">
        <v>5.0</v>
      </c>
      <c r="M259" s="4">
        <v>15644.0</v>
      </c>
      <c r="N259" s="2" t="s">
        <v>36</v>
      </c>
      <c r="O259" s="2">
        <v>71.0</v>
      </c>
      <c r="P259" s="2" t="s">
        <v>189</v>
      </c>
      <c r="Q259" s="2" t="s">
        <v>32</v>
      </c>
      <c r="R259" s="2">
        <v>35.0</v>
      </c>
      <c r="U259" s="2" t="b">
        <v>0</v>
      </c>
      <c r="V259" s="5">
        <v>0.0077</v>
      </c>
      <c r="W259" s="5">
        <v>0.0177</v>
      </c>
      <c r="X259" s="5">
        <v>1.36E-4</v>
      </c>
      <c r="Y259" s="2">
        <v>55.4751773</v>
      </c>
      <c r="AA259" s="2" t="s">
        <v>33</v>
      </c>
    </row>
    <row r="260">
      <c r="A260" s="2">
        <v>1626.0</v>
      </c>
      <c r="B260" s="2" t="s">
        <v>801</v>
      </c>
      <c r="C260" s="2" t="s">
        <v>7</v>
      </c>
      <c r="D260" s="2" t="s">
        <v>802</v>
      </c>
      <c r="E260" s="2" t="s">
        <v>803</v>
      </c>
      <c r="F260" s="6">
        <v>45702.708333333336</v>
      </c>
      <c r="G260" s="2">
        <v>59434.0</v>
      </c>
      <c r="H260" s="2">
        <v>59434.0</v>
      </c>
      <c r="I260" s="2">
        <v>50564.0</v>
      </c>
      <c r="J260" s="2">
        <v>374.0</v>
      </c>
      <c r="K260" s="2">
        <v>361.0</v>
      </c>
      <c r="L260" s="2">
        <v>8.0</v>
      </c>
      <c r="M260" s="4">
        <v>13490.0</v>
      </c>
      <c r="N260" s="2" t="s">
        <v>30</v>
      </c>
      <c r="O260" s="2">
        <v>70.0</v>
      </c>
      <c r="P260" s="2" t="s">
        <v>189</v>
      </c>
      <c r="Q260" s="2" t="s">
        <v>32</v>
      </c>
      <c r="R260" s="2">
        <v>30.0</v>
      </c>
      <c r="U260" s="2" t="b">
        <v>0</v>
      </c>
      <c r="V260" s="5">
        <v>0.0071</v>
      </c>
      <c r="W260" s="5">
        <v>0.0222</v>
      </c>
      <c r="X260" s="5">
        <v>1.58E-4</v>
      </c>
      <c r="Y260" s="2">
        <v>37.36842105</v>
      </c>
      <c r="Z260" s="2">
        <v>3596.0</v>
      </c>
      <c r="AA260" s="2" t="s">
        <v>33</v>
      </c>
    </row>
    <row r="261">
      <c r="A261" s="2">
        <v>1629.0</v>
      </c>
      <c r="B261" s="2" t="s">
        <v>804</v>
      </c>
      <c r="C261" s="2" t="s">
        <v>7</v>
      </c>
      <c r="D261" s="2" t="s">
        <v>805</v>
      </c>
      <c r="E261" s="2" t="s">
        <v>806</v>
      </c>
      <c r="F261" s="6">
        <v>45703.458333333336</v>
      </c>
      <c r="G261" s="2">
        <v>45805.0</v>
      </c>
      <c r="H261" s="2">
        <v>45805.0</v>
      </c>
      <c r="I261" s="2">
        <v>36445.0</v>
      </c>
      <c r="J261" s="2">
        <v>292.0</v>
      </c>
      <c r="K261" s="2">
        <v>267.0</v>
      </c>
      <c r="L261" s="2">
        <v>5.0</v>
      </c>
      <c r="M261" s="4">
        <v>22325.0</v>
      </c>
      <c r="N261" s="2" t="s">
        <v>36</v>
      </c>
      <c r="O261" s="2">
        <v>71.0</v>
      </c>
      <c r="P261" s="2" t="s">
        <v>189</v>
      </c>
      <c r="Q261" s="2" t="s">
        <v>32</v>
      </c>
      <c r="R261" s="2">
        <v>34.0</v>
      </c>
      <c r="U261" s="2" t="b">
        <v>0</v>
      </c>
      <c r="V261" s="5">
        <v>0.0073</v>
      </c>
      <c r="W261" s="5">
        <v>0.0187</v>
      </c>
      <c r="X261" s="5">
        <v>1.37E-4</v>
      </c>
      <c r="Y261" s="2">
        <v>83.61423221</v>
      </c>
      <c r="AA261" s="2" t="s">
        <v>33</v>
      </c>
    </row>
    <row r="262">
      <c r="A262" s="2">
        <v>1628.0</v>
      </c>
      <c r="B262" s="2" t="s">
        <v>807</v>
      </c>
      <c r="C262" s="2" t="s">
        <v>7</v>
      </c>
      <c r="D262" s="2" t="s">
        <v>808</v>
      </c>
      <c r="E262" s="2" t="s">
        <v>809</v>
      </c>
      <c r="F262" s="6">
        <v>45703.458333333336</v>
      </c>
      <c r="G262" s="2">
        <v>59239.0</v>
      </c>
      <c r="H262" s="2">
        <v>59239.0</v>
      </c>
      <c r="I262" s="2">
        <v>50197.0</v>
      </c>
      <c r="J262" s="2">
        <v>252.0</v>
      </c>
      <c r="K262" s="2">
        <v>248.0</v>
      </c>
      <c r="L262" s="2">
        <v>6.0</v>
      </c>
      <c r="M262" s="4">
        <v>9117.0</v>
      </c>
      <c r="N262" s="2" t="s">
        <v>30</v>
      </c>
      <c r="O262" s="2">
        <v>70.0</v>
      </c>
      <c r="P262" s="2" t="s">
        <v>189</v>
      </c>
      <c r="Q262" s="2" t="s">
        <v>32</v>
      </c>
      <c r="R262" s="2">
        <v>28.0</v>
      </c>
      <c r="T262" s="2" t="s">
        <v>47</v>
      </c>
      <c r="U262" s="2" t="b">
        <v>0</v>
      </c>
      <c r="V262" s="5">
        <v>0.0049</v>
      </c>
      <c r="W262" s="5">
        <v>0.0242</v>
      </c>
      <c r="X262" s="5">
        <v>1.2E-4</v>
      </c>
      <c r="Y262" s="2">
        <v>36.76209677</v>
      </c>
      <c r="AA262" s="2" t="s">
        <v>33</v>
      </c>
    </row>
    <row r="263">
      <c r="A263" s="2">
        <v>1630.0</v>
      </c>
      <c r="B263" s="2" t="s">
        <v>810</v>
      </c>
      <c r="C263" s="2" t="s">
        <v>7</v>
      </c>
      <c r="D263" s="2" t="s">
        <v>811</v>
      </c>
      <c r="E263" s="2" t="s">
        <v>812</v>
      </c>
      <c r="F263" s="6">
        <v>45705.490277777775</v>
      </c>
      <c r="G263" s="2">
        <v>58259.0</v>
      </c>
      <c r="H263" s="2">
        <v>58259.0</v>
      </c>
      <c r="I263" s="2">
        <v>49502.0</v>
      </c>
      <c r="J263" s="2">
        <v>507.0</v>
      </c>
      <c r="K263" s="2">
        <v>495.0</v>
      </c>
      <c r="L263" s="2">
        <v>12.0</v>
      </c>
      <c r="M263" s="4">
        <v>40698.0</v>
      </c>
      <c r="N263" s="2" t="s">
        <v>30</v>
      </c>
      <c r="O263" s="2">
        <v>70.0</v>
      </c>
      <c r="P263" s="2" t="s">
        <v>189</v>
      </c>
      <c r="Q263" s="2" t="s">
        <v>32</v>
      </c>
      <c r="R263" s="2">
        <v>41.0</v>
      </c>
      <c r="U263" s="2" t="b">
        <v>0</v>
      </c>
      <c r="V263" s="5">
        <v>0.01</v>
      </c>
      <c r="W263" s="5">
        <v>0.0242</v>
      </c>
      <c r="X263" s="5">
        <v>2.42E-4</v>
      </c>
      <c r="Y263" s="2">
        <v>82.21818182</v>
      </c>
      <c r="Z263" s="2">
        <v>4405.0</v>
      </c>
      <c r="AA263" s="2" t="s">
        <v>33</v>
      </c>
    </row>
    <row r="264">
      <c r="A264" s="2">
        <v>1631.0</v>
      </c>
      <c r="B264" s="2" t="s">
        <v>813</v>
      </c>
      <c r="C264" s="2" t="s">
        <v>7</v>
      </c>
      <c r="D264" s="2" t="s">
        <v>814</v>
      </c>
      <c r="E264" s="2" t="s">
        <v>815</v>
      </c>
      <c r="F264" s="6">
        <v>45705.49236111111</v>
      </c>
      <c r="G264" s="2">
        <v>45432.0</v>
      </c>
      <c r="H264" s="2">
        <v>45432.0</v>
      </c>
      <c r="I264" s="2">
        <v>36226.0</v>
      </c>
      <c r="J264" s="2">
        <v>392.0</v>
      </c>
      <c r="K264" s="2">
        <v>375.0</v>
      </c>
      <c r="L264" s="2">
        <v>13.0</v>
      </c>
      <c r="M264" s="4">
        <v>48335.0</v>
      </c>
      <c r="N264" s="2" t="s">
        <v>36</v>
      </c>
      <c r="O264" s="2">
        <v>71.0</v>
      </c>
      <c r="P264" s="2" t="s">
        <v>189</v>
      </c>
      <c r="Q264" s="2" t="s">
        <v>32</v>
      </c>
      <c r="R264" s="2">
        <v>38.0</v>
      </c>
      <c r="U264" s="2" t="b">
        <v>0</v>
      </c>
      <c r="V264" s="5">
        <v>0.0104</v>
      </c>
      <c r="W264" s="5">
        <v>0.0347</v>
      </c>
      <c r="X264" s="5">
        <v>3.59E-4</v>
      </c>
      <c r="Y264" s="2">
        <v>128.8933333</v>
      </c>
      <c r="AA264" s="2" t="s">
        <v>33</v>
      </c>
    </row>
    <row r="265">
      <c r="A265" s="2">
        <v>1632.0</v>
      </c>
      <c r="B265" s="2" t="s">
        <v>816</v>
      </c>
      <c r="C265" s="2" t="s">
        <v>7</v>
      </c>
      <c r="D265" s="2" t="s">
        <v>817</v>
      </c>
      <c r="E265" s="2" t="s">
        <v>818</v>
      </c>
      <c r="F265" s="6">
        <v>45705.631944444445</v>
      </c>
      <c r="G265" s="2">
        <v>58161.0</v>
      </c>
      <c r="H265" s="2">
        <v>58161.0</v>
      </c>
      <c r="I265" s="2">
        <v>49655.0</v>
      </c>
      <c r="J265" s="2">
        <v>242.0</v>
      </c>
      <c r="K265" s="2">
        <v>239.0</v>
      </c>
      <c r="L265" s="2">
        <v>6.0</v>
      </c>
      <c r="M265" s="4">
        <v>25867.0</v>
      </c>
      <c r="N265" s="2" t="s">
        <v>30</v>
      </c>
      <c r="O265" s="2">
        <v>70.0</v>
      </c>
      <c r="P265" s="2" t="s">
        <v>189</v>
      </c>
      <c r="Q265" s="2" t="s">
        <v>32</v>
      </c>
      <c r="R265" s="2">
        <v>40.0</v>
      </c>
      <c r="T265" s="2" t="s">
        <v>162</v>
      </c>
      <c r="U265" s="2" t="b">
        <v>0</v>
      </c>
      <c r="V265" s="5">
        <v>0.0048</v>
      </c>
      <c r="W265" s="5">
        <v>0.0251</v>
      </c>
      <c r="X265" s="5">
        <v>1.21E-4</v>
      </c>
      <c r="Y265" s="2">
        <v>108.2301255</v>
      </c>
      <c r="Z265" s="2">
        <v>5531.0</v>
      </c>
      <c r="AA265" s="2" t="s">
        <v>33</v>
      </c>
    </row>
    <row r="266">
      <c r="A266" s="2">
        <v>1633.0</v>
      </c>
      <c r="B266" s="2" t="s">
        <v>819</v>
      </c>
      <c r="C266" s="2" t="s">
        <v>7</v>
      </c>
      <c r="D266" s="2" t="s">
        <v>820</v>
      </c>
      <c r="E266" s="2" t="s">
        <v>821</v>
      </c>
      <c r="F266" s="6">
        <v>45705.635416666664</v>
      </c>
      <c r="G266" s="2">
        <v>45266.0</v>
      </c>
      <c r="H266" s="2">
        <v>45266.0</v>
      </c>
      <c r="I266" s="2">
        <v>36479.0</v>
      </c>
      <c r="J266" s="2">
        <v>235.0</v>
      </c>
      <c r="K266" s="2">
        <v>226.0</v>
      </c>
      <c r="L266" s="2">
        <v>5.0</v>
      </c>
      <c r="M266" s="4">
        <v>7940.0</v>
      </c>
      <c r="N266" s="2" t="s">
        <v>36</v>
      </c>
      <c r="O266" s="2">
        <v>71.0</v>
      </c>
      <c r="P266" s="2" t="s">
        <v>31</v>
      </c>
      <c r="Q266" s="2" t="s">
        <v>32</v>
      </c>
      <c r="R266" s="2">
        <v>51.0</v>
      </c>
      <c r="T266" s="2" t="s">
        <v>47</v>
      </c>
      <c r="U266" s="2" t="b">
        <v>0</v>
      </c>
      <c r="V266" s="5">
        <v>0.0062</v>
      </c>
      <c r="W266" s="5">
        <v>0.0221</v>
      </c>
      <c r="X266" s="5">
        <v>1.37E-4</v>
      </c>
      <c r="Y266" s="2">
        <v>35.13274336</v>
      </c>
      <c r="AA266" s="2" t="s">
        <v>33</v>
      </c>
    </row>
    <row r="267">
      <c r="A267" s="2">
        <v>1635.0</v>
      </c>
      <c r="B267" s="2" t="s">
        <v>822</v>
      </c>
      <c r="C267" s="2" t="s">
        <v>7</v>
      </c>
      <c r="D267" s="2" t="s">
        <v>823</v>
      </c>
      <c r="E267" s="2" t="s">
        <v>824</v>
      </c>
      <c r="F267" s="6">
        <v>45705.708333333336</v>
      </c>
      <c r="G267" s="2">
        <v>45280.0</v>
      </c>
      <c r="H267" s="2">
        <v>45280.0</v>
      </c>
      <c r="I267" s="2">
        <v>36474.0</v>
      </c>
      <c r="J267" s="2">
        <v>281.0</v>
      </c>
      <c r="K267" s="2">
        <v>266.0</v>
      </c>
      <c r="L267" s="2">
        <v>7.0</v>
      </c>
      <c r="M267" s="4">
        <v>38610.0</v>
      </c>
      <c r="N267" s="2" t="s">
        <v>36</v>
      </c>
      <c r="O267" s="2">
        <v>71.0</v>
      </c>
      <c r="P267" s="2" t="s">
        <v>189</v>
      </c>
      <c r="Q267" s="2" t="s">
        <v>32</v>
      </c>
      <c r="R267" s="2">
        <v>49.0</v>
      </c>
      <c r="U267" s="2" t="b">
        <v>0</v>
      </c>
      <c r="V267" s="5">
        <v>0.0073</v>
      </c>
      <c r="W267" s="5">
        <v>0.0263</v>
      </c>
      <c r="X267" s="5">
        <v>1.92E-4</v>
      </c>
      <c r="Y267" s="2">
        <v>145.1503759</v>
      </c>
      <c r="AA267" s="2" t="s">
        <v>33</v>
      </c>
    </row>
    <row r="268">
      <c r="A268" s="2">
        <v>1634.0</v>
      </c>
      <c r="B268" s="2" t="s">
        <v>825</v>
      </c>
      <c r="C268" s="2" t="s">
        <v>7</v>
      </c>
      <c r="D268" s="2" t="s">
        <v>826</v>
      </c>
      <c r="E268" s="2" t="s">
        <v>827</v>
      </c>
      <c r="F268" s="6">
        <v>45705.708333333336</v>
      </c>
      <c r="G268" s="2">
        <v>58170.0</v>
      </c>
      <c r="H268" s="2">
        <v>58170.0</v>
      </c>
      <c r="I268" s="2">
        <v>49653.0</v>
      </c>
      <c r="J268" s="2">
        <v>293.0</v>
      </c>
      <c r="K268" s="2">
        <v>286.0</v>
      </c>
      <c r="L268" s="2">
        <v>3.0</v>
      </c>
      <c r="M268" s="4">
        <v>2826.0</v>
      </c>
      <c r="N268" s="2" t="s">
        <v>30</v>
      </c>
      <c r="O268" s="2">
        <v>70.0</v>
      </c>
      <c r="P268" s="2" t="s">
        <v>189</v>
      </c>
      <c r="Q268" s="2" t="s">
        <v>32</v>
      </c>
      <c r="R268" s="2">
        <v>39.0</v>
      </c>
      <c r="U268" s="2" t="b">
        <v>0</v>
      </c>
      <c r="V268" s="5">
        <v>0.0058</v>
      </c>
      <c r="W268" s="5">
        <v>0.0105</v>
      </c>
      <c r="X268" s="5">
        <v>6.0E-5</v>
      </c>
      <c r="Y268" s="2">
        <v>9.881118881</v>
      </c>
      <c r="Z268" s="2">
        <v>5051.0</v>
      </c>
      <c r="AA268" s="2" t="s">
        <v>33</v>
      </c>
    </row>
    <row r="269">
      <c r="A269" s="2">
        <v>1636.0</v>
      </c>
      <c r="B269" s="2" t="s">
        <v>828</v>
      </c>
      <c r="C269" s="2" t="s">
        <v>7</v>
      </c>
      <c r="D269" s="2" t="s">
        <v>829</v>
      </c>
      <c r="E269" s="2" t="s">
        <v>830</v>
      </c>
      <c r="F269" s="6">
        <v>45706.53194444445</v>
      </c>
      <c r="G269" s="2">
        <v>58235.0</v>
      </c>
      <c r="H269" s="2">
        <v>58235.0</v>
      </c>
      <c r="I269" s="2">
        <v>49673.0</v>
      </c>
      <c r="J269" s="2">
        <v>242.0</v>
      </c>
      <c r="K269" s="2">
        <v>237.0</v>
      </c>
      <c r="L269" s="2">
        <v>6.0</v>
      </c>
      <c r="M269" s="4">
        <v>12081.0</v>
      </c>
      <c r="N269" s="2" t="s">
        <v>30</v>
      </c>
      <c r="O269" s="2">
        <v>70.0</v>
      </c>
      <c r="P269" s="2" t="s">
        <v>189</v>
      </c>
      <c r="Q269" s="2" t="s">
        <v>32</v>
      </c>
      <c r="R269" s="2">
        <v>34.0</v>
      </c>
      <c r="U269" s="2" t="b">
        <v>0</v>
      </c>
      <c r="V269" s="5">
        <v>0.0048</v>
      </c>
      <c r="W269" s="5">
        <v>0.0253</v>
      </c>
      <c r="X269" s="5">
        <v>1.21E-4</v>
      </c>
      <c r="Y269" s="2">
        <v>50.97468354</v>
      </c>
      <c r="Z269" s="2">
        <v>4482.0</v>
      </c>
      <c r="AA269" s="2" t="s">
        <v>33</v>
      </c>
    </row>
    <row r="270">
      <c r="A270" s="2">
        <v>1637.0</v>
      </c>
      <c r="B270" s="2" t="s">
        <v>831</v>
      </c>
      <c r="C270" s="2" t="s">
        <v>7</v>
      </c>
      <c r="D270" s="2" t="s">
        <v>832</v>
      </c>
      <c r="E270" s="2" t="s">
        <v>833</v>
      </c>
      <c r="F270" s="6">
        <v>45706.53333333333</v>
      </c>
      <c r="G270" s="2">
        <v>45297.0</v>
      </c>
      <c r="H270" s="2">
        <v>45297.0</v>
      </c>
      <c r="I270" s="2">
        <v>36360.0</v>
      </c>
      <c r="J270" s="2">
        <v>221.0</v>
      </c>
      <c r="K270" s="2">
        <v>214.0</v>
      </c>
      <c r="L270" s="2">
        <v>8.0</v>
      </c>
      <c r="M270" s="4">
        <v>27072.0</v>
      </c>
      <c r="N270" s="2" t="s">
        <v>36</v>
      </c>
      <c r="O270" s="2">
        <v>71.0</v>
      </c>
      <c r="P270" s="2" t="s">
        <v>189</v>
      </c>
      <c r="Q270" s="2" t="s">
        <v>32</v>
      </c>
      <c r="R270" s="2">
        <v>36.0</v>
      </c>
      <c r="T270" s="2" t="s">
        <v>47</v>
      </c>
      <c r="U270" s="2" t="b">
        <v>0</v>
      </c>
      <c r="V270" s="5">
        <v>0.0059</v>
      </c>
      <c r="W270" s="5">
        <v>0.0374</v>
      </c>
      <c r="X270" s="5">
        <v>2.2E-4</v>
      </c>
      <c r="Y270" s="2">
        <v>126.5046729</v>
      </c>
      <c r="AA270" s="2" t="s">
        <v>33</v>
      </c>
    </row>
    <row r="271">
      <c r="A271" s="2">
        <v>1639.0</v>
      </c>
      <c r="B271" s="2" t="s">
        <v>834</v>
      </c>
      <c r="C271" s="2" t="s">
        <v>7</v>
      </c>
      <c r="D271" s="2" t="s">
        <v>835</v>
      </c>
      <c r="E271" s="2" t="s">
        <v>836</v>
      </c>
      <c r="F271" s="6">
        <v>45706.625</v>
      </c>
      <c r="G271" s="2">
        <v>45243.0</v>
      </c>
      <c r="H271" s="2">
        <v>45243.0</v>
      </c>
      <c r="I271" s="2">
        <v>36465.0</v>
      </c>
      <c r="J271" s="2">
        <v>259.0</v>
      </c>
      <c r="K271" s="2">
        <v>247.0</v>
      </c>
      <c r="L271" s="2">
        <v>2.0</v>
      </c>
      <c r="M271" s="4">
        <v>4092.0</v>
      </c>
      <c r="N271" s="2" t="s">
        <v>36</v>
      </c>
      <c r="O271" s="2">
        <v>71.0</v>
      </c>
      <c r="P271" s="2" t="s">
        <v>31</v>
      </c>
      <c r="Q271" s="2" t="s">
        <v>32</v>
      </c>
      <c r="R271" s="2">
        <v>41.0</v>
      </c>
      <c r="T271" s="2" t="s">
        <v>143</v>
      </c>
      <c r="U271" s="2" t="b">
        <v>0</v>
      </c>
      <c r="V271" s="5">
        <v>0.0068</v>
      </c>
      <c r="W271" s="5">
        <v>0.0081</v>
      </c>
      <c r="X271" s="5">
        <v>5.5E-5</v>
      </c>
      <c r="Y271" s="2">
        <v>16.56680162</v>
      </c>
      <c r="AA271" s="2" t="s">
        <v>33</v>
      </c>
    </row>
    <row r="272">
      <c r="A272" s="2">
        <v>1638.0</v>
      </c>
      <c r="B272" s="2" t="s">
        <v>837</v>
      </c>
      <c r="C272" s="2" t="s">
        <v>7</v>
      </c>
      <c r="D272" s="2" t="s">
        <v>838</v>
      </c>
      <c r="E272" s="2" t="s">
        <v>839</v>
      </c>
      <c r="F272" s="6">
        <v>45706.625</v>
      </c>
      <c r="G272" s="2">
        <v>58201.0</v>
      </c>
      <c r="H272" s="2">
        <v>58201.0</v>
      </c>
      <c r="I272" s="2">
        <v>49714.0</v>
      </c>
      <c r="J272" s="2">
        <v>277.0</v>
      </c>
      <c r="K272" s="2">
        <v>272.0</v>
      </c>
      <c r="L272" s="2">
        <v>4.0</v>
      </c>
      <c r="M272" s="4">
        <v>31430.0</v>
      </c>
      <c r="N272" s="2" t="s">
        <v>30</v>
      </c>
      <c r="O272" s="2">
        <v>70.0</v>
      </c>
      <c r="P272" s="2" t="s">
        <v>31</v>
      </c>
      <c r="Q272" s="2" t="s">
        <v>32</v>
      </c>
      <c r="R272" s="2">
        <v>41.0</v>
      </c>
      <c r="T272" s="2" t="s">
        <v>143</v>
      </c>
      <c r="U272" s="2" t="b">
        <v>0</v>
      </c>
      <c r="V272" s="5">
        <v>0.0055</v>
      </c>
      <c r="W272" s="5">
        <v>0.0147</v>
      </c>
      <c r="X272" s="5">
        <v>8.0E-5</v>
      </c>
      <c r="Y272" s="2">
        <v>115.5514706</v>
      </c>
      <c r="Z272" s="2">
        <v>2169.0</v>
      </c>
      <c r="AA272" s="2" t="s">
        <v>33</v>
      </c>
    </row>
    <row r="273">
      <c r="A273" s="2">
        <v>1641.0</v>
      </c>
      <c r="B273" s="2" t="s">
        <v>840</v>
      </c>
      <c r="C273" s="2" t="s">
        <v>7</v>
      </c>
      <c r="D273" s="2" t="s">
        <v>841</v>
      </c>
      <c r="E273" s="2" t="s">
        <v>842</v>
      </c>
      <c r="F273" s="6">
        <v>45706.708333333336</v>
      </c>
      <c r="G273" s="2">
        <v>45251.0</v>
      </c>
      <c r="H273" s="2">
        <v>45251.0</v>
      </c>
      <c r="I273" s="2">
        <v>36453.0</v>
      </c>
      <c r="J273" s="2">
        <v>210.0</v>
      </c>
      <c r="K273" s="2">
        <v>202.0</v>
      </c>
      <c r="L273" s="2">
        <v>4.0</v>
      </c>
      <c r="M273" s="4">
        <v>57118.0</v>
      </c>
      <c r="N273" s="2" t="s">
        <v>36</v>
      </c>
      <c r="O273" s="2">
        <v>71.0</v>
      </c>
      <c r="P273" s="2" t="s">
        <v>189</v>
      </c>
      <c r="Q273" s="2" t="s">
        <v>32</v>
      </c>
      <c r="R273" s="2">
        <v>35.0</v>
      </c>
      <c r="T273" s="2" t="s">
        <v>47</v>
      </c>
      <c r="U273" s="2" t="b">
        <v>0</v>
      </c>
      <c r="V273" s="5">
        <v>0.0055</v>
      </c>
      <c r="W273" s="5">
        <v>0.0198</v>
      </c>
      <c r="X273" s="5">
        <v>1.1E-4</v>
      </c>
      <c r="Y273" s="2">
        <v>282.7623762</v>
      </c>
      <c r="AA273" s="2" t="s">
        <v>33</v>
      </c>
    </row>
    <row r="274">
      <c r="A274" s="2">
        <v>1640.0</v>
      </c>
      <c r="B274" s="2" t="s">
        <v>843</v>
      </c>
      <c r="C274" s="2" t="s">
        <v>7</v>
      </c>
      <c r="D274" s="2" t="s">
        <v>844</v>
      </c>
      <c r="E274" s="2" t="s">
        <v>845</v>
      </c>
      <c r="F274" s="6">
        <v>45706.708333333336</v>
      </c>
      <c r="G274" s="2">
        <v>58230.0</v>
      </c>
      <c r="H274" s="2">
        <v>58230.0</v>
      </c>
      <c r="I274" s="2">
        <v>49728.0</v>
      </c>
      <c r="J274" s="2">
        <v>258.0</v>
      </c>
      <c r="K274" s="2">
        <v>248.0</v>
      </c>
      <c r="L274" s="2">
        <v>4.0</v>
      </c>
      <c r="M274" s="4">
        <v>14024.0</v>
      </c>
      <c r="N274" s="2" t="s">
        <v>30</v>
      </c>
      <c r="O274" s="2">
        <v>70.0</v>
      </c>
      <c r="P274" s="2" t="s">
        <v>189</v>
      </c>
      <c r="Q274" s="2" t="s">
        <v>32</v>
      </c>
      <c r="R274" s="2">
        <v>32.0</v>
      </c>
      <c r="T274" s="2" t="s">
        <v>47</v>
      </c>
      <c r="U274" s="2" t="b">
        <v>0</v>
      </c>
      <c r="V274" s="5">
        <v>0.005</v>
      </c>
      <c r="W274" s="5">
        <v>0.0161</v>
      </c>
      <c r="X274" s="5">
        <v>8.0E-5</v>
      </c>
      <c r="Y274" s="2">
        <v>56.5483871</v>
      </c>
      <c r="AA274" s="2" t="s">
        <v>33</v>
      </c>
    </row>
    <row r="275">
      <c r="A275" s="2">
        <v>1643.0</v>
      </c>
      <c r="B275" s="2" t="s">
        <v>846</v>
      </c>
      <c r="C275" s="2" t="s">
        <v>7</v>
      </c>
      <c r="D275" s="2" t="s">
        <v>172</v>
      </c>
      <c r="E275" s="2" t="s">
        <v>290</v>
      </c>
      <c r="F275" s="6">
        <v>45707.625</v>
      </c>
      <c r="G275" s="2">
        <v>45277.0</v>
      </c>
      <c r="H275" s="2">
        <v>45277.0</v>
      </c>
      <c r="I275" s="2">
        <v>36445.0</v>
      </c>
      <c r="J275" s="2">
        <v>197.0</v>
      </c>
      <c r="K275" s="2">
        <v>190.0</v>
      </c>
      <c r="L275" s="2">
        <v>1.0</v>
      </c>
      <c r="M275" s="4">
        <v>2490.0</v>
      </c>
      <c r="N275" s="2" t="s">
        <v>36</v>
      </c>
      <c r="O275" s="2">
        <v>71.0</v>
      </c>
      <c r="P275" s="2" t="s">
        <v>189</v>
      </c>
      <c r="Q275" s="2" t="s">
        <v>32</v>
      </c>
      <c r="R275" s="2">
        <v>24.0</v>
      </c>
      <c r="U275" s="2" t="b">
        <v>0</v>
      </c>
      <c r="V275" s="5">
        <v>0.0052</v>
      </c>
      <c r="W275" s="5">
        <v>0.0053</v>
      </c>
      <c r="X275" s="5">
        <v>2.7E-5</v>
      </c>
      <c r="Y275" s="2">
        <v>13.10526316</v>
      </c>
      <c r="AA275" s="2" t="s">
        <v>33</v>
      </c>
    </row>
    <row r="276">
      <c r="A276" s="2">
        <v>1642.0</v>
      </c>
      <c r="B276" s="2" t="s">
        <v>847</v>
      </c>
      <c r="C276" s="2" t="s">
        <v>7</v>
      </c>
      <c r="D276" s="2" t="s">
        <v>170</v>
      </c>
      <c r="E276" s="2" t="s">
        <v>288</v>
      </c>
      <c r="F276" s="6">
        <v>45707.625</v>
      </c>
      <c r="G276" s="2">
        <v>58399.0</v>
      </c>
      <c r="H276" s="2">
        <v>58399.0</v>
      </c>
      <c r="I276" s="2">
        <v>49893.0</v>
      </c>
      <c r="J276" s="2">
        <v>245.0</v>
      </c>
      <c r="K276" s="2">
        <v>238.0</v>
      </c>
      <c r="L276" s="2">
        <v>6.0</v>
      </c>
      <c r="M276" s="4">
        <v>8424.0</v>
      </c>
      <c r="N276" s="2" t="s">
        <v>30</v>
      </c>
      <c r="O276" s="2">
        <v>70.0</v>
      </c>
      <c r="P276" s="2" t="s">
        <v>31</v>
      </c>
      <c r="Q276" s="2" t="s">
        <v>32</v>
      </c>
      <c r="R276" s="2">
        <v>27.0</v>
      </c>
      <c r="U276" s="2" t="b">
        <v>0</v>
      </c>
      <c r="V276" s="5">
        <v>0.0048</v>
      </c>
      <c r="W276" s="5">
        <v>0.0252</v>
      </c>
      <c r="X276" s="5">
        <v>1.2E-4</v>
      </c>
      <c r="Y276" s="2">
        <v>35.39495798</v>
      </c>
      <c r="AA276" s="2" t="s">
        <v>33</v>
      </c>
    </row>
    <row r="277">
      <c r="A277" s="2">
        <v>1645.0</v>
      </c>
      <c r="B277" s="2" t="s">
        <v>848</v>
      </c>
      <c r="C277" s="2" t="s">
        <v>7</v>
      </c>
      <c r="D277" s="2" t="s">
        <v>849</v>
      </c>
      <c r="E277" s="2" t="s">
        <v>850</v>
      </c>
      <c r="F277" s="6">
        <v>45707.708333333336</v>
      </c>
      <c r="G277" s="2">
        <v>45215.0</v>
      </c>
      <c r="H277" s="2">
        <v>45215.0</v>
      </c>
      <c r="I277" s="2">
        <v>36513.0</v>
      </c>
      <c r="J277" s="2">
        <v>229.0</v>
      </c>
      <c r="K277" s="2">
        <v>223.0</v>
      </c>
      <c r="L277" s="2">
        <v>4.0</v>
      </c>
      <c r="M277" s="4">
        <v>7245.0</v>
      </c>
      <c r="N277" s="2" t="s">
        <v>36</v>
      </c>
      <c r="O277" s="2">
        <v>71.0</v>
      </c>
      <c r="P277" s="2" t="s">
        <v>189</v>
      </c>
      <c r="Q277" s="2" t="s">
        <v>32</v>
      </c>
      <c r="R277" s="2">
        <v>35.0</v>
      </c>
      <c r="T277" s="7" t="str">
        <f>IFERROR(__xludf.DUMMYFUNCTION("AI(""has offer Come X Pay X"",D277)"),"has offer Come 4 Pay 3")</f>
        <v>has offer Come 4 Pay 3</v>
      </c>
      <c r="U277" s="2" t="b">
        <v>0</v>
      </c>
      <c r="V277" s="5">
        <v>0.0061</v>
      </c>
      <c r="W277" s="5">
        <v>0.0179</v>
      </c>
      <c r="X277" s="5">
        <v>1.1E-4</v>
      </c>
      <c r="Y277" s="2">
        <v>32.48878924</v>
      </c>
      <c r="AA277" s="2" t="s">
        <v>33</v>
      </c>
    </row>
    <row r="278">
      <c r="A278" s="2">
        <v>1644.0</v>
      </c>
      <c r="B278" s="2" t="s">
        <v>851</v>
      </c>
      <c r="C278" s="2" t="s">
        <v>7</v>
      </c>
      <c r="D278" s="2" t="s">
        <v>852</v>
      </c>
      <c r="E278" s="2" t="s">
        <v>853</v>
      </c>
      <c r="F278" s="6">
        <v>45707.708333333336</v>
      </c>
      <c r="G278" s="2">
        <v>58389.0</v>
      </c>
      <c r="H278" s="2">
        <v>58389.0</v>
      </c>
      <c r="I278" s="2">
        <v>49951.0</v>
      </c>
      <c r="J278" s="2">
        <v>325.0</v>
      </c>
      <c r="K278" s="2">
        <v>318.0</v>
      </c>
      <c r="L278" s="2">
        <v>2.0</v>
      </c>
      <c r="M278" s="4">
        <v>5034.0</v>
      </c>
      <c r="N278" s="2" t="s">
        <v>30</v>
      </c>
      <c r="O278" s="2">
        <v>70.0</v>
      </c>
      <c r="P278" s="2" t="s">
        <v>189</v>
      </c>
      <c r="Q278" s="2" t="s">
        <v>32</v>
      </c>
      <c r="R278" s="2">
        <v>35.0</v>
      </c>
      <c r="U278" s="2" t="b">
        <v>0</v>
      </c>
      <c r="V278" s="5">
        <v>0.0064</v>
      </c>
      <c r="W278" s="5">
        <v>0.0063</v>
      </c>
      <c r="X278" s="5">
        <v>4.0E-5</v>
      </c>
      <c r="Y278" s="2">
        <v>15.83018868</v>
      </c>
      <c r="Z278" s="2">
        <v>3717.0</v>
      </c>
      <c r="AA278" s="2" t="s">
        <v>33</v>
      </c>
    </row>
    <row r="279">
      <c r="A279" s="2">
        <v>1647.0</v>
      </c>
      <c r="B279" s="2" t="s">
        <v>854</v>
      </c>
      <c r="C279" s="2" t="s">
        <v>7</v>
      </c>
      <c r="D279" s="2" t="s">
        <v>855</v>
      </c>
      <c r="E279" s="2" t="s">
        <v>856</v>
      </c>
      <c r="F279" s="6">
        <v>45707.791666666664</v>
      </c>
      <c r="G279" s="2">
        <v>45241.0</v>
      </c>
      <c r="H279" s="2">
        <v>45241.0</v>
      </c>
      <c r="I279" s="2">
        <v>36486.0</v>
      </c>
      <c r="J279" s="2">
        <v>251.0</v>
      </c>
      <c r="K279" s="2">
        <v>238.0</v>
      </c>
      <c r="L279" s="2">
        <v>3.0</v>
      </c>
      <c r="M279" s="4">
        <v>4328.0</v>
      </c>
      <c r="N279" s="2" t="s">
        <v>36</v>
      </c>
      <c r="O279" s="2">
        <v>71.0</v>
      </c>
      <c r="P279" s="2" t="s">
        <v>189</v>
      </c>
      <c r="Q279" s="2" t="s">
        <v>32</v>
      </c>
      <c r="R279" s="2">
        <v>25.0</v>
      </c>
      <c r="T279" s="2" t="s">
        <v>162</v>
      </c>
      <c r="U279" s="2" t="b">
        <v>0</v>
      </c>
      <c r="V279" s="5">
        <v>0.0065</v>
      </c>
      <c r="W279" s="5">
        <v>0.0126</v>
      </c>
      <c r="X279" s="5">
        <v>8.2E-5</v>
      </c>
      <c r="Y279" s="2">
        <v>18.18487395</v>
      </c>
      <c r="AA279" s="2" t="s">
        <v>33</v>
      </c>
    </row>
    <row r="280">
      <c r="A280" s="2">
        <v>1646.0</v>
      </c>
      <c r="B280" s="2" t="s">
        <v>857</v>
      </c>
      <c r="C280" s="2" t="s">
        <v>7</v>
      </c>
      <c r="D280" s="2" t="s">
        <v>858</v>
      </c>
      <c r="E280" s="2" t="s">
        <v>859</v>
      </c>
      <c r="F280" s="6">
        <v>45707.791666666664</v>
      </c>
      <c r="G280" s="2">
        <v>58443.0</v>
      </c>
      <c r="H280" s="2">
        <v>58443.0</v>
      </c>
      <c r="I280" s="2">
        <v>49981.0</v>
      </c>
      <c r="J280" s="2">
        <v>350.0</v>
      </c>
      <c r="K280" s="2">
        <v>343.0</v>
      </c>
      <c r="L280" s="2">
        <v>8.0</v>
      </c>
      <c r="M280" s="4">
        <v>24513.0</v>
      </c>
      <c r="N280" s="2" t="s">
        <v>30</v>
      </c>
      <c r="O280" s="2">
        <v>70.0</v>
      </c>
      <c r="P280" s="2" t="s">
        <v>189</v>
      </c>
      <c r="Q280" s="2" t="s">
        <v>32</v>
      </c>
      <c r="R280" s="2">
        <v>24.0</v>
      </c>
      <c r="T280" s="2" t="s">
        <v>47</v>
      </c>
      <c r="U280" s="2" t="b">
        <v>0</v>
      </c>
      <c r="V280" s="5">
        <v>0.0069</v>
      </c>
      <c r="W280" s="5">
        <v>0.0233</v>
      </c>
      <c r="X280" s="5">
        <v>1.6E-4</v>
      </c>
      <c r="Y280" s="2">
        <v>71.4664723</v>
      </c>
      <c r="Z280" s="2">
        <v>5428.0</v>
      </c>
      <c r="AA280" s="2" t="s">
        <v>33</v>
      </c>
    </row>
    <row r="281">
      <c r="A281" s="2">
        <v>1648.0</v>
      </c>
      <c r="B281" s="2" t="s">
        <v>860</v>
      </c>
      <c r="C281" s="2" t="s">
        <v>7</v>
      </c>
      <c r="D281" s="2" t="s">
        <v>861</v>
      </c>
      <c r="F281" s="6">
        <v>45708.5</v>
      </c>
      <c r="G281" s="2">
        <v>18086.0</v>
      </c>
      <c r="H281" s="2">
        <v>18086.0</v>
      </c>
      <c r="I281" s="2">
        <v>15639.0</v>
      </c>
      <c r="J281" s="2">
        <v>106.0</v>
      </c>
      <c r="K281" s="2">
        <v>95.0</v>
      </c>
      <c r="L281" s="2">
        <v>2.0</v>
      </c>
      <c r="M281" s="4">
        <v>7787.0</v>
      </c>
      <c r="N281" s="2" t="s">
        <v>862</v>
      </c>
      <c r="O281" s="2">
        <v>166.0</v>
      </c>
      <c r="P281" s="2" t="s">
        <v>189</v>
      </c>
      <c r="Q281" s="2" t="s">
        <v>32</v>
      </c>
      <c r="R281" s="2">
        <v>33.0</v>
      </c>
      <c r="T281" s="2" t="s">
        <v>47</v>
      </c>
      <c r="U281" s="2" t="b">
        <v>0</v>
      </c>
      <c r="V281" s="5">
        <v>0.0061</v>
      </c>
      <c r="W281" s="5">
        <v>0.0211</v>
      </c>
      <c r="X281" s="5">
        <v>1.28E-4</v>
      </c>
      <c r="Y281" s="2">
        <v>81.96842105</v>
      </c>
      <c r="AA281" s="2" t="s">
        <v>33</v>
      </c>
    </row>
    <row r="282">
      <c r="A282" s="2">
        <v>1649.0</v>
      </c>
      <c r="B282" s="2" t="s">
        <v>863</v>
      </c>
      <c r="C282" s="2" t="s">
        <v>7</v>
      </c>
      <c r="D282" s="2" t="s">
        <v>864</v>
      </c>
      <c r="F282" s="6">
        <v>45708.5</v>
      </c>
      <c r="G282" s="2">
        <v>8508.0</v>
      </c>
      <c r="H282" s="2">
        <v>8508.0</v>
      </c>
      <c r="I282" s="2">
        <v>7340.0</v>
      </c>
      <c r="J282" s="2">
        <v>72.0</v>
      </c>
      <c r="K282" s="2">
        <v>60.0</v>
      </c>
      <c r="L282" s="2">
        <v>1.0</v>
      </c>
      <c r="M282" s="4">
        <v>2352.0</v>
      </c>
      <c r="N282" s="2" t="s">
        <v>865</v>
      </c>
      <c r="O282" s="2">
        <v>167.0</v>
      </c>
      <c r="P282" s="2" t="s">
        <v>189</v>
      </c>
      <c r="Q282" s="2" t="s">
        <v>32</v>
      </c>
      <c r="R282" s="2">
        <v>45.0</v>
      </c>
      <c r="T282" s="2" t="s">
        <v>47</v>
      </c>
      <c r="U282" s="2" t="b">
        <v>0</v>
      </c>
      <c r="V282" s="5">
        <v>0.0082</v>
      </c>
      <c r="W282" s="5">
        <v>0.0167</v>
      </c>
      <c r="X282" s="5">
        <v>1.36E-4</v>
      </c>
      <c r="Y282" s="2">
        <v>39.2</v>
      </c>
      <c r="AA282" s="2" t="s">
        <v>33</v>
      </c>
    </row>
    <row r="283">
      <c r="A283" s="2">
        <v>1650.0</v>
      </c>
      <c r="B283" s="2" t="s">
        <v>866</v>
      </c>
      <c r="C283" s="2" t="s">
        <v>7</v>
      </c>
      <c r="D283" s="2" t="s">
        <v>867</v>
      </c>
      <c r="F283" s="6">
        <v>45708.71527777778</v>
      </c>
      <c r="G283" s="2">
        <v>11625.0</v>
      </c>
      <c r="H283" s="2">
        <v>11625.0</v>
      </c>
      <c r="I283" s="2">
        <v>10177.0</v>
      </c>
      <c r="J283" s="2">
        <v>87.0</v>
      </c>
      <c r="K283" s="2">
        <v>79.0</v>
      </c>
      <c r="L283" s="2">
        <v>5.0</v>
      </c>
      <c r="M283" s="4">
        <v>10807.0</v>
      </c>
      <c r="N283" s="2" t="s">
        <v>868</v>
      </c>
      <c r="O283" s="2">
        <v>171.0</v>
      </c>
      <c r="P283" s="2" t="s">
        <v>189</v>
      </c>
      <c r="Q283" s="2" t="s">
        <v>32</v>
      </c>
      <c r="R283" s="2">
        <v>24.0</v>
      </c>
      <c r="T283" s="2" t="s">
        <v>58</v>
      </c>
      <c r="U283" s="2" t="b">
        <v>0</v>
      </c>
      <c r="V283" s="5">
        <v>0.0078</v>
      </c>
      <c r="W283" s="5">
        <v>0.0633</v>
      </c>
      <c r="X283" s="5">
        <v>4.91E-4</v>
      </c>
      <c r="Y283" s="2">
        <v>136.7974684</v>
      </c>
      <c r="AA283" s="2" t="s">
        <v>33</v>
      </c>
    </row>
    <row r="284">
      <c r="A284" s="2">
        <v>1651.0</v>
      </c>
      <c r="B284" s="2" t="s">
        <v>869</v>
      </c>
      <c r="C284" s="2" t="s">
        <v>7</v>
      </c>
      <c r="D284" s="2" t="s">
        <v>870</v>
      </c>
      <c r="F284" s="6">
        <v>45708.71875</v>
      </c>
      <c r="G284" s="2">
        <v>6857.0</v>
      </c>
      <c r="H284" s="2">
        <v>6857.0</v>
      </c>
      <c r="I284" s="2">
        <v>5978.0</v>
      </c>
      <c r="J284" s="2">
        <v>54.0</v>
      </c>
      <c r="K284" s="2">
        <v>50.0</v>
      </c>
      <c r="L284" s="2">
        <v>3.0</v>
      </c>
      <c r="M284" s="4">
        <v>7246.0</v>
      </c>
      <c r="N284" s="2" t="s">
        <v>871</v>
      </c>
      <c r="O284" s="2">
        <v>172.0</v>
      </c>
      <c r="P284" s="2" t="s">
        <v>189</v>
      </c>
      <c r="Q284" s="2" t="s">
        <v>32</v>
      </c>
      <c r="R284" s="2">
        <v>30.0</v>
      </c>
      <c r="T284" s="2">
        <v>4.0</v>
      </c>
      <c r="U284" s="2" t="b">
        <v>1</v>
      </c>
      <c r="V284" s="5">
        <v>0.0084</v>
      </c>
      <c r="W284" s="5">
        <v>0.06</v>
      </c>
      <c r="X284" s="5">
        <v>5.02E-4</v>
      </c>
      <c r="Y284" s="2">
        <v>144.92</v>
      </c>
      <c r="AA284" s="2" t="s">
        <v>33</v>
      </c>
    </row>
    <row r="285">
      <c r="A285" s="2">
        <v>1653.0</v>
      </c>
      <c r="B285" s="2" t="s">
        <v>872</v>
      </c>
      <c r="C285" s="2" t="s">
        <v>7</v>
      </c>
      <c r="D285" s="2" t="s">
        <v>873</v>
      </c>
      <c r="E285" s="2" t="s">
        <v>874</v>
      </c>
      <c r="F285" s="6">
        <v>45708.791666666664</v>
      </c>
      <c r="G285" s="2">
        <v>45290.0</v>
      </c>
      <c r="H285" s="2">
        <v>45290.0</v>
      </c>
      <c r="I285" s="2">
        <v>36472.0</v>
      </c>
      <c r="J285" s="2">
        <v>383.0</v>
      </c>
      <c r="K285" s="2">
        <v>336.0</v>
      </c>
      <c r="L285" s="2">
        <v>6.0</v>
      </c>
      <c r="M285" s="4">
        <v>24433.0</v>
      </c>
      <c r="N285" s="2" t="s">
        <v>36</v>
      </c>
      <c r="O285" s="2">
        <v>71.0</v>
      </c>
      <c r="P285" s="2" t="s">
        <v>189</v>
      </c>
      <c r="Q285" s="2" t="s">
        <v>32</v>
      </c>
      <c r="R285" s="2">
        <v>44.0</v>
      </c>
      <c r="U285" s="2" t="b">
        <v>0</v>
      </c>
      <c r="V285" s="5">
        <v>0.0092</v>
      </c>
      <c r="W285" s="5">
        <v>0.0179</v>
      </c>
      <c r="X285" s="5">
        <v>1.65E-4</v>
      </c>
      <c r="Y285" s="2">
        <v>72.7172619</v>
      </c>
      <c r="AA285" s="2" t="s">
        <v>33</v>
      </c>
    </row>
    <row r="286">
      <c r="A286" s="2">
        <v>1652.0</v>
      </c>
      <c r="B286" s="2" t="s">
        <v>875</v>
      </c>
      <c r="C286" s="2" t="s">
        <v>7</v>
      </c>
      <c r="D286" s="2" t="s">
        <v>876</v>
      </c>
      <c r="E286" s="2" t="s">
        <v>877</v>
      </c>
      <c r="F286" s="6">
        <v>45708.791666666664</v>
      </c>
      <c r="G286" s="2">
        <v>58572.0</v>
      </c>
      <c r="H286" s="2">
        <v>58572.0</v>
      </c>
      <c r="I286" s="2">
        <v>50034.0</v>
      </c>
      <c r="J286" s="2">
        <v>284.0</v>
      </c>
      <c r="K286" s="2">
        <v>259.0</v>
      </c>
      <c r="L286" s="2">
        <v>5.0</v>
      </c>
      <c r="M286" s="4">
        <v>13183.0</v>
      </c>
      <c r="N286" s="2" t="s">
        <v>30</v>
      </c>
      <c r="O286" s="2">
        <v>70.0</v>
      </c>
      <c r="P286" s="2" t="s">
        <v>189</v>
      </c>
      <c r="Q286" s="2" t="s">
        <v>32</v>
      </c>
      <c r="R286" s="2">
        <v>37.0</v>
      </c>
      <c r="U286" s="2" t="b">
        <v>0</v>
      </c>
      <c r="V286" s="5">
        <v>0.0052</v>
      </c>
      <c r="W286" s="5">
        <v>0.0193</v>
      </c>
      <c r="X286" s="5">
        <v>1.0E-4</v>
      </c>
      <c r="Y286" s="2">
        <v>50.8996139</v>
      </c>
      <c r="Z286" s="2">
        <v>3818.0</v>
      </c>
      <c r="AA286" s="2" t="s">
        <v>33</v>
      </c>
    </row>
    <row r="287">
      <c r="A287" s="2">
        <v>1654.0</v>
      </c>
      <c r="B287" s="2" t="s">
        <v>878</v>
      </c>
      <c r="C287" s="2" t="s">
        <v>7</v>
      </c>
      <c r="D287" s="2" t="s">
        <v>796</v>
      </c>
      <c r="E287" s="2" t="s">
        <v>797</v>
      </c>
      <c r="F287" s="6">
        <v>45709.48472222222</v>
      </c>
      <c r="G287" s="2">
        <v>58606.0</v>
      </c>
      <c r="H287" s="2">
        <v>58606.0</v>
      </c>
      <c r="I287" s="2">
        <v>49968.0</v>
      </c>
      <c r="J287" s="2">
        <v>257.0</v>
      </c>
      <c r="K287" s="2">
        <v>230.0</v>
      </c>
      <c r="L287" s="2">
        <v>6.0</v>
      </c>
      <c r="M287" s="4">
        <v>19448.0</v>
      </c>
      <c r="N287" s="2" t="s">
        <v>30</v>
      </c>
      <c r="O287" s="2">
        <v>70.0</v>
      </c>
      <c r="P287" s="2" t="s">
        <v>189</v>
      </c>
      <c r="Q287" s="2" t="s">
        <v>32</v>
      </c>
      <c r="R287" s="2">
        <v>34.0</v>
      </c>
      <c r="U287" s="2" t="b">
        <v>0</v>
      </c>
      <c r="V287" s="5">
        <v>0.0046</v>
      </c>
      <c r="W287" s="5">
        <v>0.0261</v>
      </c>
      <c r="X287" s="5">
        <v>1.2E-4</v>
      </c>
      <c r="Y287" s="2">
        <v>84.55652174</v>
      </c>
      <c r="AA287" s="2" t="s">
        <v>33</v>
      </c>
    </row>
    <row r="288">
      <c r="A288" s="2">
        <v>1655.0</v>
      </c>
      <c r="B288" s="2" t="s">
        <v>879</v>
      </c>
      <c r="C288" s="2" t="s">
        <v>7</v>
      </c>
      <c r="D288" s="2" t="s">
        <v>793</v>
      </c>
      <c r="E288" s="2" t="s">
        <v>794</v>
      </c>
      <c r="F288" s="6">
        <v>45709.48819444444</v>
      </c>
      <c r="G288" s="2">
        <v>45242.0</v>
      </c>
      <c r="H288" s="2">
        <v>45242.0</v>
      </c>
      <c r="I288" s="2">
        <v>36285.0</v>
      </c>
      <c r="J288" s="2">
        <v>251.0</v>
      </c>
      <c r="K288" s="2">
        <v>224.0</v>
      </c>
      <c r="L288" s="2">
        <v>2.0</v>
      </c>
      <c r="M288" s="4">
        <v>4079.0</v>
      </c>
      <c r="N288" s="2" t="s">
        <v>36</v>
      </c>
      <c r="O288" s="2">
        <v>71.0</v>
      </c>
      <c r="P288" s="2" t="s">
        <v>189</v>
      </c>
      <c r="Q288" s="2" t="s">
        <v>32</v>
      </c>
      <c r="R288" s="2">
        <v>36.0</v>
      </c>
      <c r="U288" s="2" t="b">
        <v>0</v>
      </c>
      <c r="V288" s="5">
        <v>0.0062</v>
      </c>
      <c r="W288" s="5">
        <v>0.0089</v>
      </c>
      <c r="X288" s="5">
        <v>5.5E-5</v>
      </c>
      <c r="Y288" s="2">
        <v>18.20982143</v>
      </c>
      <c r="AA288" s="2" t="s">
        <v>33</v>
      </c>
    </row>
    <row r="289">
      <c r="A289" s="2">
        <v>1656.0</v>
      </c>
      <c r="B289" s="2" t="s">
        <v>880</v>
      </c>
      <c r="C289" s="2" t="s">
        <v>7</v>
      </c>
      <c r="D289" s="2" t="s">
        <v>881</v>
      </c>
      <c r="E289" s="2" t="s">
        <v>882</v>
      </c>
      <c r="F289" s="6">
        <v>45712.475694444445</v>
      </c>
      <c r="G289" s="2">
        <v>58118.0</v>
      </c>
      <c r="H289" s="2">
        <v>58118.0</v>
      </c>
      <c r="I289" s="2">
        <v>49432.0</v>
      </c>
      <c r="J289" s="2">
        <v>327.0</v>
      </c>
      <c r="K289" s="2">
        <v>278.0</v>
      </c>
      <c r="L289" s="2">
        <v>6.0</v>
      </c>
      <c r="M289" s="4">
        <v>8862.0</v>
      </c>
      <c r="N289" s="2" t="s">
        <v>30</v>
      </c>
      <c r="O289" s="2">
        <v>70.0</v>
      </c>
      <c r="P289" s="2" t="s">
        <v>31</v>
      </c>
      <c r="Q289" s="2" t="s">
        <v>32</v>
      </c>
      <c r="R289" s="2">
        <v>23.0</v>
      </c>
      <c r="U289" s="2" t="b">
        <v>0</v>
      </c>
      <c r="V289" s="5">
        <v>0.0056</v>
      </c>
      <c r="W289" s="5">
        <v>0.0216</v>
      </c>
      <c r="X289" s="5">
        <v>1.21E-4</v>
      </c>
      <c r="Y289" s="2">
        <v>31.87769784</v>
      </c>
      <c r="Z289" s="2">
        <v>5083.0</v>
      </c>
      <c r="AA289" s="2" t="s">
        <v>33</v>
      </c>
    </row>
    <row r="290">
      <c r="A290" s="2">
        <v>1657.0</v>
      </c>
      <c r="B290" s="2" t="s">
        <v>883</v>
      </c>
      <c r="C290" s="2" t="s">
        <v>7</v>
      </c>
      <c r="D290" s="2" t="s">
        <v>884</v>
      </c>
      <c r="E290" s="2" t="s">
        <v>885</v>
      </c>
      <c r="F290" s="6">
        <v>45712.479166666664</v>
      </c>
      <c r="G290" s="2">
        <v>45105.0</v>
      </c>
      <c r="H290" s="2">
        <v>45105.0</v>
      </c>
      <c r="I290" s="2">
        <v>36137.0</v>
      </c>
      <c r="J290" s="2">
        <v>287.0</v>
      </c>
      <c r="K290" s="2">
        <v>241.0</v>
      </c>
      <c r="L290" s="2">
        <v>4.0</v>
      </c>
      <c r="M290" s="4">
        <v>31450.0</v>
      </c>
      <c r="N290" s="2" t="s">
        <v>36</v>
      </c>
      <c r="O290" s="2">
        <v>71.0</v>
      </c>
      <c r="P290" s="2" t="s">
        <v>189</v>
      </c>
      <c r="Q290" s="2" t="s">
        <v>32</v>
      </c>
      <c r="R290" s="2">
        <v>20.0</v>
      </c>
      <c r="T290" s="2" t="s">
        <v>58</v>
      </c>
      <c r="U290" s="2" t="b">
        <v>0</v>
      </c>
      <c r="V290" s="5">
        <v>0.0067</v>
      </c>
      <c r="W290" s="5">
        <v>0.0166</v>
      </c>
      <c r="X290" s="5">
        <v>1.11E-4</v>
      </c>
      <c r="Y290" s="2">
        <v>130.4979253</v>
      </c>
      <c r="AA290" s="2" t="s">
        <v>33</v>
      </c>
    </row>
    <row r="291">
      <c r="A291" s="2">
        <v>1659.0</v>
      </c>
      <c r="B291" s="2" t="s">
        <v>886</v>
      </c>
      <c r="C291" s="2" t="s">
        <v>7</v>
      </c>
      <c r="D291" s="2" t="s">
        <v>887</v>
      </c>
      <c r="E291" s="2" t="s">
        <v>888</v>
      </c>
      <c r="F291" s="6">
        <v>45712.625</v>
      </c>
      <c r="G291" s="2">
        <v>44907.0</v>
      </c>
      <c r="H291" s="2">
        <v>44907.0</v>
      </c>
      <c r="I291" s="2">
        <v>36374.0</v>
      </c>
      <c r="J291" s="2">
        <v>324.0</v>
      </c>
      <c r="K291" s="2">
        <v>272.0</v>
      </c>
      <c r="L291" s="2">
        <v>5.0</v>
      </c>
      <c r="M291" s="4">
        <v>23085.0</v>
      </c>
      <c r="N291" s="2" t="s">
        <v>36</v>
      </c>
      <c r="O291" s="2">
        <v>71.0</v>
      </c>
      <c r="P291" s="2" t="s">
        <v>189</v>
      </c>
      <c r="Q291" s="2" t="s">
        <v>32</v>
      </c>
      <c r="R291" s="2">
        <v>35.0</v>
      </c>
      <c r="T291" s="2" t="s">
        <v>143</v>
      </c>
      <c r="U291" s="2" t="b">
        <v>0</v>
      </c>
      <c r="V291" s="5">
        <v>0.0075</v>
      </c>
      <c r="W291" s="5">
        <v>0.0184</v>
      </c>
      <c r="X291" s="5">
        <v>1.37E-4</v>
      </c>
      <c r="Y291" s="2">
        <v>84.87132353</v>
      </c>
      <c r="AA291" s="2" t="s">
        <v>33</v>
      </c>
    </row>
    <row r="292">
      <c r="A292" s="2">
        <v>1658.0</v>
      </c>
      <c r="B292" s="2" t="s">
        <v>889</v>
      </c>
      <c r="C292" s="2" t="s">
        <v>7</v>
      </c>
      <c r="D292" s="2" t="s">
        <v>890</v>
      </c>
      <c r="E292" s="2" t="s">
        <v>891</v>
      </c>
      <c r="F292" s="6">
        <v>45712.625</v>
      </c>
      <c r="G292" s="2">
        <v>57979.0</v>
      </c>
      <c r="H292" s="2">
        <v>57979.0</v>
      </c>
      <c r="I292" s="2">
        <v>49592.0</v>
      </c>
      <c r="J292" s="2">
        <v>346.0</v>
      </c>
      <c r="K292" s="2">
        <v>301.0</v>
      </c>
      <c r="L292" s="2">
        <v>4.0</v>
      </c>
      <c r="M292" s="4">
        <v>12456.0</v>
      </c>
      <c r="N292" s="2" t="s">
        <v>30</v>
      </c>
      <c r="O292" s="2">
        <v>70.0</v>
      </c>
      <c r="P292" s="2" t="s">
        <v>189</v>
      </c>
      <c r="Q292" s="2" t="s">
        <v>32</v>
      </c>
      <c r="R292" s="2">
        <v>38.0</v>
      </c>
      <c r="T292" s="2" t="s">
        <v>143</v>
      </c>
      <c r="U292" s="2" t="b">
        <v>0</v>
      </c>
      <c r="V292" s="5">
        <v>0.0061</v>
      </c>
      <c r="W292" s="5">
        <v>0.0133</v>
      </c>
      <c r="X292" s="5">
        <v>8.1E-5</v>
      </c>
      <c r="Y292" s="2">
        <v>41.3820598</v>
      </c>
      <c r="Z292" s="2">
        <v>4763.0</v>
      </c>
      <c r="AA292" s="2" t="s">
        <v>33</v>
      </c>
    </row>
    <row r="293">
      <c r="A293" s="2">
        <v>1660.0</v>
      </c>
      <c r="B293" s="2" t="s">
        <v>892</v>
      </c>
      <c r="C293" s="2" t="s">
        <v>7</v>
      </c>
      <c r="D293" s="2" t="s">
        <v>893</v>
      </c>
      <c r="E293" s="2" t="s">
        <v>894</v>
      </c>
      <c r="F293" s="6">
        <v>45712.70763888889</v>
      </c>
      <c r="G293" s="2">
        <v>58007.0</v>
      </c>
      <c r="H293" s="2">
        <v>58007.0</v>
      </c>
      <c r="I293" s="2">
        <v>49599.0</v>
      </c>
      <c r="J293" s="2">
        <v>272.0</v>
      </c>
      <c r="K293" s="2">
        <v>245.0</v>
      </c>
      <c r="L293" s="2">
        <v>7.0</v>
      </c>
      <c r="M293" s="4">
        <v>33811.0</v>
      </c>
      <c r="N293" s="2" t="s">
        <v>30</v>
      </c>
      <c r="O293" s="2">
        <v>70.0</v>
      </c>
      <c r="P293" s="2" t="s">
        <v>31</v>
      </c>
      <c r="Q293" s="2" t="s">
        <v>32</v>
      </c>
      <c r="R293" s="2">
        <v>35.0</v>
      </c>
      <c r="U293" s="2" t="b">
        <v>0</v>
      </c>
      <c r="V293" s="5">
        <v>0.0049</v>
      </c>
      <c r="W293" s="5">
        <v>0.0286</v>
      </c>
      <c r="X293" s="5">
        <v>1.41E-4</v>
      </c>
      <c r="Y293" s="2">
        <v>138.0040816</v>
      </c>
      <c r="Z293" s="2" t="s">
        <v>182</v>
      </c>
      <c r="AA293" s="2" t="s">
        <v>33</v>
      </c>
    </row>
    <row r="294">
      <c r="A294" s="2">
        <v>1661.0</v>
      </c>
      <c r="B294" s="2" t="s">
        <v>895</v>
      </c>
      <c r="C294" s="2" t="s">
        <v>7</v>
      </c>
      <c r="D294" s="2" t="s">
        <v>893</v>
      </c>
      <c r="E294" s="2" t="s">
        <v>896</v>
      </c>
      <c r="F294" s="6">
        <v>45712.709027777775</v>
      </c>
      <c r="G294" s="2">
        <v>44896.0</v>
      </c>
      <c r="H294" s="2">
        <v>44896.0</v>
      </c>
      <c r="I294" s="2">
        <v>37213.0</v>
      </c>
      <c r="J294" s="2">
        <v>284.0</v>
      </c>
      <c r="K294" s="2">
        <v>237.0</v>
      </c>
      <c r="L294" s="2">
        <v>6.0</v>
      </c>
      <c r="M294" s="4">
        <v>22981.0</v>
      </c>
      <c r="N294" s="2" t="s">
        <v>36</v>
      </c>
      <c r="O294" s="2">
        <v>71.0</v>
      </c>
      <c r="P294" s="2" t="s">
        <v>189</v>
      </c>
      <c r="Q294" s="2" t="s">
        <v>32</v>
      </c>
      <c r="R294" s="2">
        <v>35.0</v>
      </c>
      <c r="T294" s="2" t="s">
        <v>47</v>
      </c>
      <c r="U294" s="2" t="b">
        <v>0</v>
      </c>
      <c r="V294" s="5">
        <v>0.0064</v>
      </c>
      <c r="W294" s="5">
        <v>0.0253</v>
      </c>
      <c r="X294" s="5">
        <v>1.61E-4</v>
      </c>
      <c r="Y294" s="2">
        <v>96.96624473</v>
      </c>
      <c r="AA294" s="2" t="s">
        <v>33</v>
      </c>
    </row>
    <row r="295">
      <c r="A295" s="2">
        <v>1663.0</v>
      </c>
      <c r="B295" s="2" t="s">
        <v>897</v>
      </c>
      <c r="C295" s="2" t="s">
        <v>7</v>
      </c>
      <c r="D295" s="2" t="s">
        <v>439</v>
      </c>
      <c r="E295" s="2" t="s">
        <v>898</v>
      </c>
      <c r="F295" s="6">
        <v>45713.375</v>
      </c>
      <c r="G295" s="2">
        <v>44878.0</v>
      </c>
      <c r="H295" s="2">
        <v>44878.0</v>
      </c>
      <c r="I295" s="2">
        <v>35840.0</v>
      </c>
      <c r="J295" s="2">
        <v>275.0</v>
      </c>
      <c r="K295" s="2">
        <v>228.0</v>
      </c>
      <c r="L295" s="2">
        <v>5.0</v>
      </c>
      <c r="M295" s="4">
        <v>18570.0</v>
      </c>
      <c r="N295" s="2" t="s">
        <v>36</v>
      </c>
      <c r="O295" s="2">
        <v>71.0</v>
      </c>
      <c r="P295" s="2" t="s">
        <v>189</v>
      </c>
      <c r="Q295" s="2" t="s">
        <v>32</v>
      </c>
      <c r="R295" s="2">
        <v>28.0</v>
      </c>
      <c r="U295" s="2" t="b">
        <v>0</v>
      </c>
      <c r="V295" s="5">
        <v>0.0064</v>
      </c>
      <c r="W295" s="5">
        <v>0.0219</v>
      </c>
      <c r="X295" s="5">
        <v>1.4E-4</v>
      </c>
      <c r="Y295" s="2">
        <v>81.44736842</v>
      </c>
      <c r="AA295" s="2" t="s">
        <v>33</v>
      </c>
    </row>
    <row r="296">
      <c r="A296" s="2">
        <v>1662.0</v>
      </c>
      <c r="B296" s="2" t="s">
        <v>899</v>
      </c>
      <c r="C296" s="2" t="s">
        <v>7</v>
      </c>
      <c r="D296" s="2" t="s">
        <v>187</v>
      </c>
      <c r="E296" s="2" t="s">
        <v>900</v>
      </c>
      <c r="F296" s="6">
        <v>45713.375</v>
      </c>
      <c r="G296" s="2">
        <v>58088.0</v>
      </c>
      <c r="H296" s="2">
        <v>58088.0</v>
      </c>
      <c r="I296" s="2">
        <v>49126.0</v>
      </c>
      <c r="J296" s="2">
        <v>390.0</v>
      </c>
      <c r="K296" s="2">
        <v>321.0</v>
      </c>
      <c r="L296" s="2">
        <v>5.0</v>
      </c>
      <c r="M296" s="4">
        <v>20476.0</v>
      </c>
      <c r="N296" s="2" t="s">
        <v>30</v>
      </c>
      <c r="O296" s="2">
        <v>70.0</v>
      </c>
      <c r="P296" s="2" t="s">
        <v>189</v>
      </c>
      <c r="Q296" s="2" t="s">
        <v>32</v>
      </c>
      <c r="R296" s="2">
        <v>28.0</v>
      </c>
      <c r="U296" s="2" t="b">
        <v>0</v>
      </c>
      <c r="V296" s="5">
        <v>0.0065</v>
      </c>
      <c r="W296" s="5">
        <v>0.0156</v>
      </c>
      <c r="X296" s="5">
        <v>1.02E-4</v>
      </c>
      <c r="Y296" s="2">
        <v>63.78816199</v>
      </c>
      <c r="Z296" s="2" t="s">
        <v>182</v>
      </c>
      <c r="AA296" s="2" t="s">
        <v>33</v>
      </c>
    </row>
    <row r="297">
      <c r="A297" s="2">
        <v>1665.0</v>
      </c>
      <c r="B297" s="2" t="s">
        <v>901</v>
      </c>
      <c r="C297" s="2" t="s">
        <v>7</v>
      </c>
      <c r="D297" s="2" t="s">
        <v>902</v>
      </c>
      <c r="E297" s="2" t="s">
        <v>903</v>
      </c>
      <c r="F297" s="6">
        <v>45713.625</v>
      </c>
      <c r="G297" s="2">
        <v>44914.0</v>
      </c>
      <c r="H297" s="2">
        <v>44914.0</v>
      </c>
      <c r="I297" s="2">
        <v>36378.0</v>
      </c>
      <c r="J297" s="2">
        <v>232.0</v>
      </c>
      <c r="K297" s="2">
        <v>183.0</v>
      </c>
      <c r="L297" s="2">
        <v>2.0</v>
      </c>
      <c r="M297" s="4">
        <v>8547.0</v>
      </c>
      <c r="N297" s="2" t="s">
        <v>36</v>
      </c>
      <c r="O297" s="2">
        <v>71.0</v>
      </c>
      <c r="P297" s="2" t="s">
        <v>31</v>
      </c>
      <c r="Q297" s="2" t="s">
        <v>32</v>
      </c>
      <c r="R297" s="2">
        <v>34.0</v>
      </c>
      <c r="T297" s="2" t="s">
        <v>904</v>
      </c>
      <c r="U297" s="2" t="b">
        <v>0</v>
      </c>
      <c r="V297" s="5">
        <v>0.005</v>
      </c>
      <c r="W297" s="5">
        <v>0.0109</v>
      </c>
      <c r="X297" s="5">
        <v>5.5E-5</v>
      </c>
      <c r="Y297" s="2">
        <v>46.70491803</v>
      </c>
      <c r="AA297" s="2" t="s">
        <v>33</v>
      </c>
    </row>
    <row r="298">
      <c r="A298" s="2">
        <v>1664.0</v>
      </c>
      <c r="B298" s="2" t="s">
        <v>905</v>
      </c>
      <c r="C298" s="2" t="s">
        <v>7</v>
      </c>
      <c r="D298" s="2" t="s">
        <v>906</v>
      </c>
      <c r="E298" s="2" t="s">
        <v>907</v>
      </c>
      <c r="F298" s="6">
        <v>45713.625</v>
      </c>
      <c r="G298" s="2">
        <v>58164.0</v>
      </c>
      <c r="H298" s="2">
        <v>58164.0</v>
      </c>
      <c r="I298" s="2">
        <v>49762.0</v>
      </c>
      <c r="J298" s="2">
        <v>263.0</v>
      </c>
      <c r="K298" s="2">
        <v>214.0</v>
      </c>
      <c r="L298" s="2">
        <v>1.0</v>
      </c>
      <c r="M298" s="4">
        <v>4290.0</v>
      </c>
      <c r="N298" s="2" t="s">
        <v>30</v>
      </c>
      <c r="O298" s="2">
        <v>70.0</v>
      </c>
      <c r="P298" s="2" t="s">
        <v>31</v>
      </c>
      <c r="Q298" s="2" t="s">
        <v>32</v>
      </c>
      <c r="R298" s="2">
        <v>37.0</v>
      </c>
      <c r="U298" s="2" t="b">
        <v>0</v>
      </c>
      <c r="V298" s="5">
        <v>0.0043</v>
      </c>
      <c r="W298" s="5">
        <v>0.0047</v>
      </c>
      <c r="X298" s="5">
        <v>2.0E-5</v>
      </c>
      <c r="Y298" s="2">
        <v>20.04672897</v>
      </c>
      <c r="Z298" s="2">
        <v>5005.0</v>
      </c>
      <c r="AA298" s="2" t="s">
        <v>33</v>
      </c>
    </row>
    <row r="299">
      <c r="A299" s="2">
        <v>1667.0</v>
      </c>
      <c r="B299" s="2" t="s">
        <v>908</v>
      </c>
      <c r="C299" s="2" t="s">
        <v>7</v>
      </c>
      <c r="D299" s="2" t="s">
        <v>909</v>
      </c>
      <c r="E299" s="2" t="s">
        <v>910</v>
      </c>
      <c r="F299" s="6">
        <v>45713.708333333336</v>
      </c>
      <c r="G299" s="2">
        <v>44889.0</v>
      </c>
      <c r="H299" s="2">
        <v>44889.0</v>
      </c>
      <c r="I299" s="2">
        <v>36366.0</v>
      </c>
      <c r="J299" s="2">
        <v>330.0</v>
      </c>
      <c r="K299" s="2">
        <v>264.0</v>
      </c>
      <c r="L299" s="2">
        <v>6.0</v>
      </c>
      <c r="M299" s="4">
        <v>22094.0</v>
      </c>
      <c r="N299" s="2" t="s">
        <v>36</v>
      </c>
      <c r="O299" s="2">
        <v>71.0</v>
      </c>
      <c r="P299" s="2" t="s">
        <v>189</v>
      </c>
      <c r="Q299" s="2" t="s">
        <v>32</v>
      </c>
      <c r="R299" s="2">
        <v>40.0</v>
      </c>
      <c r="U299" s="2" t="b">
        <v>0</v>
      </c>
      <c r="V299" s="5">
        <v>0.0073</v>
      </c>
      <c r="W299" s="5">
        <v>0.0227</v>
      </c>
      <c r="X299" s="5">
        <v>1.65E-4</v>
      </c>
      <c r="Y299" s="2">
        <v>83.68939394</v>
      </c>
      <c r="AA299" s="2" t="s">
        <v>33</v>
      </c>
    </row>
    <row r="300">
      <c r="A300" s="2">
        <v>1666.0</v>
      </c>
      <c r="B300" s="2" t="s">
        <v>911</v>
      </c>
      <c r="C300" s="2" t="s">
        <v>7</v>
      </c>
      <c r="D300" s="2" t="s">
        <v>912</v>
      </c>
      <c r="E300" s="2" t="s">
        <v>913</v>
      </c>
      <c r="F300" s="6">
        <v>45713.708333333336</v>
      </c>
      <c r="G300" s="2">
        <v>58193.0</v>
      </c>
      <c r="H300" s="2">
        <v>58193.0</v>
      </c>
      <c r="I300" s="2">
        <v>49677.0</v>
      </c>
      <c r="J300" s="2">
        <v>309.0</v>
      </c>
      <c r="K300" s="2">
        <v>253.0</v>
      </c>
      <c r="L300" s="2">
        <v>2.0</v>
      </c>
      <c r="M300" s="4">
        <v>3166.0</v>
      </c>
      <c r="N300" s="2" t="s">
        <v>30</v>
      </c>
      <c r="O300" s="2">
        <v>70.0</v>
      </c>
      <c r="P300" s="2" t="s">
        <v>189</v>
      </c>
      <c r="Q300" s="2" t="s">
        <v>32</v>
      </c>
      <c r="R300" s="2">
        <v>33.0</v>
      </c>
      <c r="U300" s="2" t="b">
        <v>0</v>
      </c>
      <c r="V300" s="5">
        <v>0.0051</v>
      </c>
      <c r="W300" s="5">
        <v>0.0079</v>
      </c>
      <c r="X300" s="5">
        <v>4.0E-5</v>
      </c>
      <c r="Y300" s="2">
        <v>12.51383399</v>
      </c>
      <c r="Z300" s="2">
        <v>5427.0</v>
      </c>
      <c r="AA300" s="2" t="s">
        <v>33</v>
      </c>
    </row>
    <row r="301">
      <c r="A301" s="2">
        <v>1672.0</v>
      </c>
      <c r="B301" s="2" t="s">
        <v>914</v>
      </c>
      <c r="C301" s="2" t="s">
        <v>7</v>
      </c>
      <c r="D301" s="2" t="s">
        <v>170</v>
      </c>
      <c r="E301" s="2" t="s">
        <v>288</v>
      </c>
      <c r="F301" s="6">
        <v>45714.470138888886</v>
      </c>
      <c r="G301" s="2">
        <v>58236.0</v>
      </c>
      <c r="H301" s="2">
        <v>58236.0</v>
      </c>
      <c r="I301" s="2">
        <v>49610.0</v>
      </c>
      <c r="J301" s="2">
        <v>263.0</v>
      </c>
      <c r="K301" s="2">
        <v>220.0</v>
      </c>
      <c r="L301" s="2">
        <v>5.0</v>
      </c>
      <c r="M301" s="4">
        <v>17664.0</v>
      </c>
      <c r="N301" s="2" t="s">
        <v>30</v>
      </c>
      <c r="O301" s="2">
        <v>70.0</v>
      </c>
      <c r="P301" s="2" t="s">
        <v>189</v>
      </c>
      <c r="Q301" s="2" t="s">
        <v>32</v>
      </c>
      <c r="R301" s="2">
        <v>27.0</v>
      </c>
      <c r="T301" s="2" t="s">
        <v>47</v>
      </c>
      <c r="U301" s="2" t="b">
        <v>0</v>
      </c>
      <c r="V301" s="5">
        <v>0.0044</v>
      </c>
      <c r="W301" s="5">
        <v>0.0227</v>
      </c>
      <c r="X301" s="5">
        <v>1.01E-4</v>
      </c>
      <c r="Y301" s="2">
        <v>80.29090909</v>
      </c>
      <c r="AA301" s="2" t="s">
        <v>33</v>
      </c>
    </row>
    <row r="302">
      <c r="A302" s="2">
        <v>1673.0</v>
      </c>
      <c r="B302" s="2" t="s">
        <v>915</v>
      </c>
      <c r="C302" s="2" t="s">
        <v>7</v>
      </c>
      <c r="D302" s="2" t="s">
        <v>172</v>
      </c>
      <c r="E302" s="2" t="s">
        <v>290</v>
      </c>
      <c r="F302" s="6">
        <v>45714.472916666666</v>
      </c>
      <c r="G302" s="2">
        <v>44881.0</v>
      </c>
      <c r="H302" s="2">
        <v>44881.0</v>
      </c>
      <c r="I302" s="2">
        <v>36120.0</v>
      </c>
      <c r="J302" s="2">
        <v>239.0</v>
      </c>
      <c r="K302" s="2">
        <v>201.0</v>
      </c>
      <c r="L302" s="2">
        <v>0.0</v>
      </c>
      <c r="M302" s="2">
        <v>0.0</v>
      </c>
      <c r="N302" s="2" t="s">
        <v>36</v>
      </c>
      <c r="O302" s="2">
        <v>71.0</v>
      </c>
      <c r="P302" s="2" t="s">
        <v>31</v>
      </c>
      <c r="Q302" s="2" t="s">
        <v>32</v>
      </c>
      <c r="R302" s="2">
        <v>24.0</v>
      </c>
      <c r="T302" s="2" t="s">
        <v>47</v>
      </c>
      <c r="U302" s="2" t="b">
        <v>0</v>
      </c>
      <c r="V302" s="5">
        <v>0.0056</v>
      </c>
      <c r="W302" s="5">
        <v>0.0</v>
      </c>
      <c r="X302" s="5">
        <v>0.0</v>
      </c>
      <c r="Y302" s="2">
        <v>0.0</v>
      </c>
      <c r="AA302" s="2" t="s">
        <v>33</v>
      </c>
    </row>
    <row r="303">
      <c r="A303" s="2">
        <v>1674.0</v>
      </c>
      <c r="B303" s="2" t="s">
        <v>916</v>
      </c>
      <c r="C303" s="2" t="s">
        <v>7</v>
      </c>
      <c r="D303" s="2" t="s">
        <v>917</v>
      </c>
      <c r="E303" s="2" t="s">
        <v>918</v>
      </c>
      <c r="F303" s="6">
        <v>45714.64375</v>
      </c>
      <c r="G303" s="2">
        <v>58262.0</v>
      </c>
      <c r="H303" s="2">
        <v>58262.0</v>
      </c>
      <c r="I303" s="2">
        <v>49841.0</v>
      </c>
      <c r="J303" s="2">
        <v>350.0</v>
      </c>
      <c r="K303" s="2">
        <v>287.0</v>
      </c>
      <c r="L303" s="2">
        <v>2.0</v>
      </c>
      <c r="M303" s="4">
        <v>2188.0</v>
      </c>
      <c r="N303" s="2" t="s">
        <v>30</v>
      </c>
      <c r="O303" s="2">
        <v>70.0</v>
      </c>
      <c r="P303" s="2" t="s">
        <v>189</v>
      </c>
      <c r="Q303" s="2" t="s">
        <v>32</v>
      </c>
      <c r="R303" s="2">
        <v>44.0</v>
      </c>
      <c r="U303" s="2" t="b">
        <v>0</v>
      </c>
      <c r="V303" s="5">
        <v>0.0058</v>
      </c>
      <c r="W303" s="5">
        <v>0.007</v>
      </c>
      <c r="X303" s="5">
        <v>4.0E-5</v>
      </c>
      <c r="Y303" s="2">
        <v>7.62369338</v>
      </c>
      <c r="Z303" s="2">
        <v>5041.0</v>
      </c>
      <c r="AA303" s="2" t="s">
        <v>33</v>
      </c>
    </row>
    <row r="304">
      <c r="A304" s="2">
        <v>1675.0</v>
      </c>
      <c r="B304" s="2" t="s">
        <v>919</v>
      </c>
      <c r="C304" s="2" t="s">
        <v>7</v>
      </c>
      <c r="D304" s="2" t="s">
        <v>920</v>
      </c>
      <c r="E304" s="2" t="s">
        <v>921</v>
      </c>
      <c r="F304" s="6">
        <v>45714.64513888889</v>
      </c>
      <c r="G304" s="2">
        <v>44891.0</v>
      </c>
      <c r="H304" s="2">
        <v>44891.0</v>
      </c>
      <c r="I304" s="2">
        <v>36341.0</v>
      </c>
      <c r="J304" s="2">
        <v>266.0</v>
      </c>
      <c r="K304" s="2">
        <v>202.0</v>
      </c>
      <c r="L304" s="2">
        <v>4.0</v>
      </c>
      <c r="M304" s="4">
        <v>3338.0</v>
      </c>
      <c r="N304" s="2" t="s">
        <v>36</v>
      </c>
      <c r="O304" s="2">
        <v>71.0</v>
      </c>
      <c r="P304" s="2" t="s">
        <v>189</v>
      </c>
      <c r="Q304" s="2" t="s">
        <v>32</v>
      </c>
      <c r="R304" s="2">
        <v>41.0</v>
      </c>
      <c r="T304" s="2" t="s">
        <v>922</v>
      </c>
      <c r="U304" s="2" t="b">
        <v>0</v>
      </c>
      <c r="V304" s="5">
        <v>0.0056</v>
      </c>
      <c r="W304" s="5">
        <v>0.0198</v>
      </c>
      <c r="X304" s="5">
        <v>1.1E-4</v>
      </c>
      <c r="Y304" s="2">
        <v>16.52475248</v>
      </c>
      <c r="AA304" s="2" t="s">
        <v>33</v>
      </c>
    </row>
    <row r="305">
      <c r="A305" s="2">
        <v>1676.0</v>
      </c>
      <c r="B305" s="2" t="s">
        <v>923</v>
      </c>
      <c r="C305" s="2" t="s">
        <v>7</v>
      </c>
      <c r="D305" s="2" t="s">
        <v>924</v>
      </c>
      <c r="E305" s="2" t="s">
        <v>925</v>
      </c>
      <c r="F305" s="6">
        <v>45714.717361111114</v>
      </c>
      <c r="G305" s="2">
        <v>58287.0</v>
      </c>
      <c r="H305" s="2">
        <v>58287.0</v>
      </c>
      <c r="I305" s="2">
        <v>49799.0</v>
      </c>
      <c r="J305" s="2">
        <v>340.0</v>
      </c>
      <c r="K305" s="2">
        <v>276.0</v>
      </c>
      <c r="L305" s="2">
        <v>7.0</v>
      </c>
      <c r="M305" s="4">
        <v>38650.0</v>
      </c>
      <c r="N305" s="2" t="s">
        <v>30</v>
      </c>
      <c r="O305" s="2">
        <v>70.0</v>
      </c>
      <c r="P305" s="2" t="s">
        <v>189</v>
      </c>
      <c r="Q305" s="2" t="s">
        <v>32</v>
      </c>
      <c r="R305" s="2">
        <v>16.0</v>
      </c>
      <c r="T305" s="2" t="s">
        <v>162</v>
      </c>
      <c r="U305" s="2" t="b">
        <v>0</v>
      </c>
      <c r="V305" s="5">
        <v>0.0055</v>
      </c>
      <c r="W305" s="5">
        <v>0.0254</v>
      </c>
      <c r="X305" s="5">
        <v>1.41E-4</v>
      </c>
      <c r="Y305" s="2">
        <v>140.0362319</v>
      </c>
      <c r="Z305" s="2">
        <v>5541.0</v>
      </c>
      <c r="AA305" s="2" t="s">
        <v>33</v>
      </c>
    </row>
    <row r="306">
      <c r="A306" s="2">
        <v>1677.0</v>
      </c>
      <c r="B306" s="2" t="s">
        <v>926</v>
      </c>
      <c r="C306" s="2" t="s">
        <v>7</v>
      </c>
      <c r="D306" s="2" t="s">
        <v>927</v>
      </c>
      <c r="E306" s="2" t="s">
        <v>928</v>
      </c>
      <c r="F306" s="6">
        <v>45714.71875</v>
      </c>
      <c r="G306" s="2">
        <v>44877.0</v>
      </c>
      <c r="H306" s="2">
        <v>44877.0</v>
      </c>
      <c r="I306" s="2">
        <v>36331.0</v>
      </c>
      <c r="J306" s="2">
        <v>316.0</v>
      </c>
      <c r="K306" s="2">
        <v>263.0</v>
      </c>
      <c r="L306" s="2">
        <v>4.0</v>
      </c>
      <c r="M306" s="4">
        <v>9564.0</v>
      </c>
      <c r="N306" s="2" t="s">
        <v>36</v>
      </c>
      <c r="O306" s="2">
        <v>71.0</v>
      </c>
      <c r="P306" s="2" t="s">
        <v>189</v>
      </c>
      <c r="Q306" s="2" t="s">
        <v>32</v>
      </c>
      <c r="R306" s="2">
        <v>16.0</v>
      </c>
      <c r="T306" s="2" t="s">
        <v>47</v>
      </c>
      <c r="U306" s="2" t="b">
        <v>0</v>
      </c>
      <c r="V306" s="5">
        <v>0.0072</v>
      </c>
      <c r="W306" s="5">
        <v>0.0152</v>
      </c>
      <c r="X306" s="5">
        <v>1.1E-4</v>
      </c>
      <c r="Y306" s="2">
        <v>36.36501901</v>
      </c>
      <c r="AA306" s="2" t="s">
        <v>33</v>
      </c>
    </row>
    <row r="307">
      <c r="A307" s="2">
        <v>1678.0</v>
      </c>
      <c r="B307" s="2" t="s">
        <v>929</v>
      </c>
      <c r="C307" s="2" t="s">
        <v>7</v>
      </c>
      <c r="D307" s="2" t="s">
        <v>930</v>
      </c>
      <c r="E307" s="2" t="s">
        <v>931</v>
      </c>
      <c r="F307" s="6">
        <v>45715.47708333333</v>
      </c>
      <c r="G307" s="2">
        <v>58297.0</v>
      </c>
      <c r="H307" s="2">
        <v>58297.0</v>
      </c>
      <c r="I307" s="2">
        <v>49718.0</v>
      </c>
      <c r="J307" s="2">
        <v>329.0</v>
      </c>
      <c r="K307" s="2">
        <v>285.0</v>
      </c>
      <c r="L307" s="2">
        <v>5.0</v>
      </c>
      <c r="M307" s="4">
        <v>14862.0</v>
      </c>
      <c r="N307" s="2" t="s">
        <v>30</v>
      </c>
      <c r="O307" s="2">
        <v>70.0</v>
      </c>
      <c r="P307" s="2" t="s">
        <v>31</v>
      </c>
      <c r="Q307" s="2" t="s">
        <v>32</v>
      </c>
      <c r="R307" s="2">
        <v>41.0</v>
      </c>
      <c r="T307" s="2" t="s">
        <v>47</v>
      </c>
      <c r="U307" s="2" t="b">
        <v>0</v>
      </c>
      <c r="V307" s="5">
        <v>0.0057</v>
      </c>
      <c r="W307" s="5">
        <v>0.0175</v>
      </c>
      <c r="X307" s="5">
        <v>1.01E-4</v>
      </c>
      <c r="Y307" s="2">
        <v>52.14736842</v>
      </c>
      <c r="Z307" s="2">
        <v>4889.0</v>
      </c>
      <c r="AA307" s="2" t="s">
        <v>33</v>
      </c>
    </row>
    <row r="308">
      <c r="A308" s="2">
        <v>1679.0</v>
      </c>
      <c r="B308" s="2" t="s">
        <v>932</v>
      </c>
      <c r="C308" s="2" t="s">
        <v>7</v>
      </c>
      <c r="D308" s="2" t="s">
        <v>933</v>
      </c>
      <c r="E308" s="2" t="s">
        <v>934</v>
      </c>
      <c r="F308" s="6">
        <v>45715.47777777778</v>
      </c>
      <c r="G308" s="2">
        <v>44838.0</v>
      </c>
      <c r="H308" s="2">
        <v>44838.0</v>
      </c>
      <c r="I308" s="2">
        <v>36141.0</v>
      </c>
      <c r="J308" s="2">
        <v>256.0</v>
      </c>
      <c r="K308" s="2">
        <v>225.0</v>
      </c>
      <c r="L308" s="2">
        <v>6.0</v>
      </c>
      <c r="M308" s="4">
        <v>30520.0</v>
      </c>
      <c r="N308" s="2" t="s">
        <v>36</v>
      </c>
      <c r="O308" s="2">
        <v>71.0</v>
      </c>
      <c r="P308" s="2" t="s">
        <v>189</v>
      </c>
      <c r="Q308" s="2" t="s">
        <v>32</v>
      </c>
      <c r="R308" s="2">
        <v>42.0</v>
      </c>
      <c r="T308" s="2" t="s">
        <v>47</v>
      </c>
      <c r="U308" s="2" t="b">
        <v>0</v>
      </c>
      <c r="V308" s="5">
        <v>0.0062</v>
      </c>
      <c r="W308" s="5">
        <v>0.0267</v>
      </c>
      <c r="X308" s="5">
        <v>1.66E-4</v>
      </c>
      <c r="Y308" s="2">
        <v>135.6444444</v>
      </c>
      <c r="AA308" s="2" t="s">
        <v>33</v>
      </c>
    </row>
    <row r="309">
      <c r="A309" s="2">
        <v>1681.0</v>
      </c>
      <c r="B309" s="2" t="s">
        <v>935</v>
      </c>
      <c r="C309" s="2" t="s">
        <v>7</v>
      </c>
      <c r="D309" s="2" t="s">
        <v>936</v>
      </c>
      <c r="E309" s="2" t="s">
        <v>937</v>
      </c>
      <c r="F309" s="6">
        <v>45715.625</v>
      </c>
      <c r="G309" s="2">
        <v>44830.0</v>
      </c>
      <c r="H309" s="2">
        <v>44830.0</v>
      </c>
      <c r="I309" s="2">
        <v>36312.0</v>
      </c>
      <c r="J309" s="2">
        <v>252.0</v>
      </c>
      <c r="K309" s="2">
        <v>212.0</v>
      </c>
      <c r="L309" s="2">
        <v>4.0</v>
      </c>
      <c r="M309" s="4">
        <v>10216.0</v>
      </c>
      <c r="N309" s="2" t="s">
        <v>36</v>
      </c>
      <c r="O309" s="2">
        <v>71.0</v>
      </c>
      <c r="P309" s="2" t="s">
        <v>189</v>
      </c>
      <c r="Q309" s="2" t="s">
        <v>32</v>
      </c>
      <c r="R309" s="2">
        <v>38.0</v>
      </c>
      <c r="U309" s="2" t="b">
        <v>0</v>
      </c>
      <c r="V309" s="5">
        <v>0.0058</v>
      </c>
      <c r="W309" s="5">
        <v>0.0189</v>
      </c>
      <c r="X309" s="5">
        <v>1.1E-4</v>
      </c>
      <c r="Y309" s="2">
        <v>48.18867925</v>
      </c>
      <c r="AA309" s="2" t="s">
        <v>33</v>
      </c>
    </row>
    <row r="310">
      <c r="A310" s="2">
        <v>1680.0</v>
      </c>
      <c r="B310" s="2" t="s">
        <v>938</v>
      </c>
      <c r="C310" s="2" t="s">
        <v>7</v>
      </c>
      <c r="D310" s="2" t="s">
        <v>939</v>
      </c>
      <c r="E310" s="2" t="s">
        <v>940</v>
      </c>
      <c r="F310" s="6">
        <v>45715.625</v>
      </c>
      <c r="G310" s="2">
        <v>58318.0</v>
      </c>
      <c r="H310" s="2">
        <v>58318.0</v>
      </c>
      <c r="I310" s="2">
        <v>49826.0</v>
      </c>
      <c r="J310" s="2">
        <v>217.0</v>
      </c>
      <c r="K310" s="2">
        <v>192.0</v>
      </c>
      <c r="L310" s="2">
        <v>0.0</v>
      </c>
      <c r="M310" s="2">
        <v>0.0</v>
      </c>
      <c r="N310" s="2" t="s">
        <v>30</v>
      </c>
      <c r="O310" s="2">
        <v>70.0</v>
      </c>
      <c r="P310" s="2" t="s">
        <v>189</v>
      </c>
      <c r="Q310" s="2" t="s">
        <v>32</v>
      </c>
      <c r="R310" s="2">
        <v>40.0</v>
      </c>
      <c r="T310" s="2" t="s">
        <v>47</v>
      </c>
      <c r="U310" s="2" t="b">
        <v>0</v>
      </c>
      <c r="V310" s="5">
        <v>0.0039</v>
      </c>
      <c r="W310" s="5">
        <v>0.0</v>
      </c>
      <c r="X310" s="5">
        <v>0.0</v>
      </c>
      <c r="Y310" s="2">
        <v>0.0</v>
      </c>
      <c r="AA310" s="2" t="s">
        <v>33</v>
      </c>
    </row>
    <row r="311">
      <c r="A311" s="2">
        <v>1683.0</v>
      </c>
      <c r="B311" s="2" t="s">
        <v>941</v>
      </c>
      <c r="C311" s="2" t="s">
        <v>7</v>
      </c>
      <c r="D311" s="2" t="s">
        <v>942</v>
      </c>
      <c r="E311" s="2" t="s">
        <v>943</v>
      </c>
      <c r="F311" s="6">
        <v>45715.708333333336</v>
      </c>
      <c r="G311" s="2">
        <v>44831.0</v>
      </c>
      <c r="H311" s="2">
        <v>44831.0</v>
      </c>
      <c r="I311" s="2">
        <v>36328.0</v>
      </c>
      <c r="J311" s="2">
        <v>286.0</v>
      </c>
      <c r="K311" s="2">
        <v>221.0</v>
      </c>
      <c r="L311" s="2">
        <v>4.0</v>
      </c>
      <c r="M311" s="4">
        <v>10261.0</v>
      </c>
      <c r="N311" s="2" t="s">
        <v>36</v>
      </c>
      <c r="O311" s="2">
        <v>71.0</v>
      </c>
      <c r="P311" s="2" t="s">
        <v>189</v>
      </c>
      <c r="Q311" s="2" t="s">
        <v>32</v>
      </c>
      <c r="R311" s="2">
        <v>35.0</v>
      </c>
      <c r="T311" s="2" t="s">
        <v>143</v>
      </c>
      <c r="U311" s="2" t="b">
        <v>0</v>
      </c>
      <c r="V311" s="5">
        <v>0.0061</v>
      </c>
      <c r="W311" s="5">
        <v>0.0181</v>
      </c>
      <c r="X311" s="5">
        <v>1.1E-4</v>
      </c>
      <c r="Y311" s="2">
        <v>46.42986425</v>
      </c>
      <c r="AA311" s="2" t="s">
        <v>33</v>
      </c>
    </row>
    <row r="312">
      <c r="A312" s="2">
        <v>1682.0</v>
      </c>
      <c r="B312" s="2" t="s">
        <v>944</v>
      </c>
      <c r="C312" s="2" t="s">
        <v>7</v>
      </c>
      <c r="D312" s="2" t="s">
        <v>945</v>
      </c>
      <c r="E312" s="2" t="s">
        <v>946</v>
      </c>
      <c r="F312" s="6">
        <v>45715.708333333336</v>
      </c>
      <c r="G312" s="2">
        <v>58341.0</v>
      </c>
      <c r="H312" s="2">
        <v>58341.0</v>
      </c>
      <c r="I312" s="2">
        <v>49830.0</v>
      </c>
      <c r="J312" s="2">
        <v>409.0</v>
      </c>
      <c r="K312" s="2">
        <v>338.0</v>
      </c>
      <c r="L312" s="2">
        <v>6.0</v>
      </c>
      <c r="M312" s="4">
        <v>15641.0</v>
      </c>
      <c r="N312" s="2" t="s">
        <v>30</v>
      </c>
      <c r="O312" s="2">
        <v>70.0</v>
      </c>
      <c r="P312" s="2" t="s">
        <v>31</v>
      </c>
      <c r="Q312" s="2" t="s">
        <v>32</v>
      </c>
      <c r="R312" s="2">
        <v>35.0</v>
      </c>
      <c r="T312" s="2" t="s">
        <v>143</v>
      </c>
      <c r="U312" s="2" t="b">
        <v>0</v>
      </c>
      <c r="V312" s="5">
        <v>0.0068</v>
      </c>
      <c r="W312" s="5">
        <v>0.0178</v>
      </c>
      <c r="X312" s="5">
        <v>1.2E-4</v>
      </c>
      <c r="Y312" s="2">
        <v>46.27514793</v>
      </c>
      <c r="Z312" s="2">
        <v>4227.0</v>
      </c>
      <c r="AA312" s="2" t="s">
        <v>33</v>
      </c>
    </row>
    <row r="313">
      <c r="A313" s="2">
        <v>1685.0</v>
      </c>
      <c r="B313" s="2" t="s">
        <v>947</v>
      </c>
      <c r="C313" s="2" t="s">
        <v>7</v>
      </c>
      <c r="D313" s="2" t="s">
        <v>948</v>
      </c>
      <c r="E313" s="2" t="s">
        <v>794</v>
      </c>
      <c r="F313" s="6">
        <v>45716.458333333336</v>
      </c>
      <c r="G313" s="2">
        <v>44794.0</v>
      </c>
      <c r="H313" s="2">
        <v>44794.0</v>
      </c>
      <c r="I313" s="2">
        <v>36033.0</v>
      </c>
      <c r="J313" s="2">
        <v>200.0</v>
      </c>
      <c r="K313" s="2">
        <v>167.0</v>
      </c>
      <c r="L313" s="2">
        <v>9.0</v>
      </c>
      <c r="M313" s="4">
        <v>25540.0</v>
      </c>
      <c r="N313" s="2" t="s">
        <v>36</v>
      </c>
      <c r="O313" s="2">
        <v>71.0</v>
      </c>
      <c r="P313" s="2" t="s">
        <v>189</v>
      </c>
      <c r="Q313" s="2" t="s">
        <v>32</v>
      </c>
      <c r="R313" s="2">
        <v>34.0</v>
      </c>
      <c r="T313" s="2" t="s">
        <v>47</v>
      </c>
      <c r="U313" s="2" t="b">
        <v>0</v>
      </c>
      <c r="V313" s="5">
        <v>0.0046</v>
      </c>
      <c r="W313" s="5">
        <v>0.0539</v>
      </c>
      <c r="X313" s="5">
        <v>2.5E-4</v>
      </c>
      <c r="Y313" s="2">
        <v>152.9341317</v>
      </c>
      <c r="AA313" s="2" t="s">
        <v>33</v>
      </c>
    </row>
    <row r="314">
      <c r="A314" s="2">
        <v>1684.0</v>
      </c>
      <c r="B314" s="2" t="s">
        <v>949</v>
      </c>
      <c r="C314" s="2" t="s">
        <v>7</v>
      </c>
      <c r="D314" s="2" t="s">
        <v>950</v>
      </c>
      <c r="E314" s="2" t="s">
        <v>951</v>
      </c>
      <c r="F314" s="6">
        <v>45716.458333333336</v>
      </c>
      <c r="G314" s="2">
        <v>58377.0</v>
      </c>
      <c r="H314" s="2">
        <v>58377.0</v>
      </c>
      <c r="I314" s="2">
        <v>49701.0</v>
      </c>
      <c r="J314" s="2">
        <v>253.0</v>
      </c>
      <c r="K314" s="2">
        <v>206.0</v>
      </c>
      <c r="L314" s="2">
        <v>4.0</v>
      </c>
      <c r="M314" s="4">
        <v>9613.0</v>
      </c>
      <c r="N314" s="2" t="s">
        <v>30</v>
      </c>
      <c r="O314" s="2">
        <v>70.0</v>
      </c>
      <c r="P314" s="2" t="s">
        <v>189</v>
      </c>
      <c r="Q314" s="2" t="s">
        <v>32</v>
      </c>
      <c r="R314" s="2">
        <v>40.0</v>
      </c>
      <c r="U314" s="2" t="b">
        <v>0</v>
      </c>
      <c r="V314" s="5">
        <v>0.0041</v>
      </c>
      <c r="W314" s="5">
        <v>0.0194</v>
      </c>
      <c r="X314" s="5">
        <v>8.0E-5</v>
      </c>
      <c r="Y314" s="2">
        <v>46.66504854</v>
      </c>
      <c r="AA314" s="2" t="s">
        <v>33</v>
      </c>
    </row>
    <row r="315">
      <c r="A315" s="2">
        <v>1687.0</v>
      </c>
      <c r="B315" s="2" t="s">
        <v>952</v>
      </c>
      <c r="C315" s="2" t="s">
        <v>7</v>
      </c>
      <c r="D315" s="2" t="s">
        <v>953</v>
      </c>
      <c r="E315" s="2" t="s">
        <v>954</v>
      </c>
      <c r="F315" s="6">
        <v>45716.625</v>
      </c>
      <c r="G315" s="2">
        <v>44802.0</v>
      </c>
      <c r="H315" s="2">
        <v>44802.0</v>
      </c>
      <c r="I315" s="2">
        <v>36340.0</v>
      </c>
      <c r="J315" s="2">
        <v>224.0</v>
      </c>
      <c r="K315" s="2">
        <v>183.0</v>
      </c>
      <c r="L315" s="2">
        <v>4.0</v>
      </c>
      <c r="M315" s="4">
        <v>28498.0</v>
      </c>
      <c r="N315" s="2" t="s">
        <v>36</v>
      </c>
      <c r="O315" s="2">
        <v>71.0</v>
      </c>
      <c r="P315" s="2" t="s">
        <v>189</v>
      </c>
      <c r="Q315" s="2" t="s">
        <v>32</v>
      </c>
      <c r="R315" s="2">
        <v>31.0</v>
      </c>
      <c r="T315" s="2" t="s">
        <v>58</v>
      </c>
      <c r="U315" s="2" t="b">
        <v>0</v>
      </c>
      <c r="V315" s="5">
        <v>0.005</v>
      </c>
      <c r="W315" s="5">
        <v>0.0219</v>
      </c>
      <c r="X315" s="5">
        <v>1.1E-4</v>
      </c>
      <c r="Y315" s="2">
        <v>155.726776</v>
      </c>
      <c r="AA315" s="2" t="s">
        <v>33</v>
      </c>
    </row>
    <row r="316">
      <c r="A316" s="2">
        <v>1686.0</v>
      </c>
      <c r="B316" s="2" t="s">
        <v>955</v>
      </c>
      <c r="C316" s="2" t="s">
        <v>7</v>
      </c>
      <c r="D316" s="2" t="s">
        <v>956</v>
      </c>
      <c r="E316" s="2" t="s">
        <v>957</v>
      </c>
      <c r="F316" s="6">
        <v>45716.625</v>
      </c>
      <c r="G316" s="2">
        <v>58404.0</v>
      </c>
      <c r="H316" s="2">
        <v>58404.0</v>
      </c>
      <c r="I316" s="2">
        <v>49894.0</v>
      </c>
      <c r="J316" s="2">
        <v>308.0</v>
      </c>
      <c r="K316" s="2">
        <v>252.0</v>
      </c>
      <c r="L316" s="2">
        <v>7.0</v>
      </c>
      <c r="M316" s="4">
        <v>12024.0</v>
      </c>
      <c r="N316" s="2" t="s">
        <v>30</v>
      </c>
      <c r="O316" s="2">
        <v>70.0</v>
      </c>
      <c r="P316" s="2" t="s">
        <v>189</v>
      </c>
      <c r="Q316" s="2" t="s">
        <v>32</v>
      </c>
      <c r="R316" s="2">
        <v>26.0</v>
      </c>
      <c r="U316" s="2" t="b">
        <v>0</v>
      </c>
      <c r="V316" s="5">
        <v>0.0051</v>
      </c>
      <c r="W316" s="5">
        <v>0.0278</v>
      </c>
      <c r="X316" s="5">
        <v>1.4E-4</v>
      </c>
      <c r="Y316" s="2">
        <v>47.71428571</v>
      </c>
      <c r="Z316" s="2" t="s">
        <v>958</v>
      </c>
      <c r="AA316" s="2" t="s">
        <v>33</v>
      </c>
    </row>
    <row r="317">
      <c r="A317" s="2">
        <v>1689.0</v>
      </c>
      <c r="B317" s="2" t="s">
        <v>959</v>
      </c>
      <c r="C317" s="2" t="s">
        <v>7</v>
      </c>
      <c r="D317" s="2" t="s">
        <v>960</v>
      </c>
      <c r="E317" s="2" t="s">
        <v>961</v>
      </c>
      <c r="F317" s="6">
        <v>45716.708333333336</v>
      </c>
      <c r="G317" s="2">
        <v>44784.0</v>
      </c>
      <c r="H317" s="2">
        <v>44784.0</v>
      </c>
      <c r="I317" s="2">
        <v>36333.0</v>
      </c>
      <c r="J317" s="2">
        <v>325.0</v>
      </c>
      <c r="K317" s="2">
        <v>270.0</v>
      </c>
      <c r="L317" s="2">
        <v>3.0</v>
      </c>
      <c r="M317" s="4">
        <v>6808.0</v>
      </c>
      <c r="N317" s="2" t="s">
        <v>36</v>
      </c>
      <c r="O317" s="2">
        <v>71.0</v>
      </c>
      <c r="P317" s="2" t="s">
        <v>189</v>
      </c>
      <c r="Q317" s="2" t="s">
        <v>32</v>
      </c>
      <c r="R317" s="2">
        <v>33.0</v>
      </c>
      <c r="U317" s="2" t="b">
        <v>0</v>
      </c>
      <c r="V317" s="5">
        <v>0.0074</v>
      </c>
      <c r="W317" s="5">
        <v>0.0111</v>
      </c>
      <c r="X317" s="5">
        <v>8.3E-5</v>
      </c>
      <c r="Y317" s="2">
        <v>25.21481481</v>
      </c>
      <c r="AA317" s="2" t="s">
        <v>33</v>
      </c>
    </row>
    <row r="318">
      <c r="A318" s="2">
        <v>1688.0</v>
      </c>
      <c r="B318" s="2" t="s">
        <v>962</v>
      </c>
      <c r="C318" s="2" t="s">
        <v>7</v>
      </c>
      <c r="D318" s="2" t="s">
        <v>963</v>
      </c>
      <c r="E318" s="2" t="s">
        <v>964</v>
      </c>
      <c r="F318" s="6">
        <v>45716.708333333336</v>
      </c>
      <c r="G318" s="2">
        <v>58439.0</v>
      </c>
      <c r="H318" s="2">
        <v>58439.0</v>
      </c>
      <c r="I318" s="2">
        <v>50750.0</v>
      </c>
      <c r="J318" s="2">
        <v>334.0</v>
      </c>
      <c r="K318" s="2">
        <v>281.0</v>
      </c>
      <c r="L318" s="2">
        <v>6.0</v>
      </c>
      <c r="M318" s="4">
        <v>20243.0</v>
      </c>
      <c r="N318" s="2" t="s">
        <v>30</v>
      </c>
      <c r="O318" s="2">
        <v>70.0</v>
      </c>
      <c r="P318" s="2" t="s">
        <v>189</v>
      </c>
      <c r="Q318" s="2" t="s">
        <v>32</v>
      </c>
      <c r="R318" s="2">
        <v>31.0</v>
      </c>
      <c r="T318" s="2" t="s">
        <v>47</v>
      </c>
      <c r="U318" s="2" t="b">
        <v>0</v>
      </c>
      <c r="V318" s="5">
        <v>0.0055</v>
      </c>
      <c r="W318" s="5">
        <v>0.0214</v>
      </c>
      <c r="X318" s="5">
        <v>1.18E-4</v>
      </c>
      <c r="Y318" s="2">
        <v>72.03914591</v>
      </c>
      <c r="AA318" s="2" t="s">
        <v>33</v>
      </c>
    </row>
    <row r="319">
      <c r="A319" s="2">
        <v>1691.0</v>
      </c>
      <c r="B319" s="2" t="s">
        <v>965</v>
      </c>
      <c r="C319" s="2" t="s">
        <v>7</v>
      </c>
      <c r="D319" s="2" t="s">
        <v>966</v>
      </c>
      <c r="E319" s="2" t="s">
        <v>967</v>
      </c>
      <c r="F319" s="6">
        <v>45717.458333333336</v>
      </c>
      <c r="G319" s="2">
        <v>44829.0</v>
      </c>
      <c r="H319" s="2">
        <v>44829.0</v>
      </c>
      <c r="I319" s="2">
        <v>36050.0</v>
      </c>
      <c r="J319" s="2">
        <v>232.0</v>
      </c>
      <c r="K319" s="2">
        <v>178.0</v>
      </c>
      <c r="L319" s="2">
        <v>4.0</v>
      </c>
      <c r="M319" s="4">
        <v>7199.0</v>
      </c>
      <c r="N319" s="2" t="s">
        <v>36</v>
      </c>
      <c r="O319" s="2">
        <v>71.0</v>
      </c>
      <c r="P319" s="2" t="s">
        <v>189</v>
      </c>
      <c r="Q319" s="2" t="s">
        <v>32</v>
      </c>
      <c r="R319" s="2">
        <v>30.0</v>
      </c>
      <c r="T319" s="2" t="s">
        <v>47</v>
      </c>
      <c r="U319" s="2" t="b">
        <v>0</v>
      </c>
      <c r="V319" s="5">
        <v>0.0049</v>
      </c>
      <c r="W319" s="5">
        <v>0.0225</v>
      </c>
      <c r="X319" s="5">
        <v>1.11E-4</v>
      </c>
      <c r="Y319" s="2">
        <v>40.44382022</v>
      </c>
      <c r="AA319" s="2" t="s">
        <v>33</v>
      </c>
    </row>
    <row r="320">
      <c r="A320" s="2">
        <v>1690.0</v>
      </c>
      <c r="B320" s="2" t="s">
        <v>968</v>
      </c>
      <c r="C320" s="2" t="s">
        <v>7</v>
      </c>
      <c r="D320" s="2" t="s">
        <v>969</v>
      </c>
      <c r="E320" s="2" t="s">
        <v>970</v>
      </c>
      <c r="F320" s="6">
        <v>45717.458333333336</v>
      </c>
      <c r="G320" s="2">
        <v>58470.0</v>
      </c>
      <c r="H320" s="2">
        <v>58470.0</v>
      </c>
      <c r="I320" s="2">
        <v>49645.0</v>
      </c>
      <c r="J320" s="2">
        <v>296.0</v>
      </c>
      <c r="K320" s="2">
        <v>244.0</v>
      </c>
      <c r="L320" s="2">
        <v>5.0</v>
      </c>
      <c r="M320" s="4">
        <v>15660.0</v>
      </c>
      <c r="N320" s="2" t="s">
        <v>30</v>
      </c>
      <c r="O320" s="2">
        <v>70.0</v>
      </c>
      <c r="P320" s="2" t="s">
        <v>189</v>
      </c>
      <c r="Q320" s="2" t="s">
        <v>32</v>
      </c>
      <c r="R320" s="2">
        <v>35.0</v>
      </c>
      <c r="U320" s="2" t="b">
        <v>0</v>
      </c>
      <c r="V320" s="5">
        <v>0.0049</v>
      </c>
      <c r="W320" s="5">
        <v>0.0205</v>
      </c>
      <c r="X320" s="5">
        <v>1.01E-4</v>
      </c>
      <c r="Y320" s="2">
        <v>64.18032787</v>
      </c>
      <c r="AA320" s="2" t="s">
        <v>33</v>
      </c>
    </row>
    <row r="321">
      <c r="A321" s="2">
        <v>1693.0</v>
      </c>
      <c r="B321" s="2" t="s">
        <v>971</v>
      </c>
      <c r="C321" s="2" t="s">
        <v>7</v>
      </c>
      <c r="D321" s="2" t="s">
        <v>972</v>
      </c>
      <c r="E321" s="2" t="s">
        <v>973</v>
      </c>
      <c r="F321" s="6">
        <v>45717.541666666664</v>
      </c>
      <c r="G321" s="2">
        <v>44821.0</v>
      </c>
      <c r="H321" s="2">
        <v>44821.0</v>
      </c>
      <c r="I321" s="2">
        <v>36198.0</v>
      </c>
      <c r="J321" s="2">
        <v>224.0</v>
      </c>
      <c r="K321" s="2">
        <v>170.0</v>
      </c>
      <c r="L321" s="2">
        <v>2.0</v>
      </c>
      <c r="M321" s="4">
        <v>7274.0</v>
      </c>
      <c r="N321" s="2" t="s">
        <v>36</v>
      </c>
      <c r="O321" s="2">
        <v>71.0</v>
      </c>
      <c r="P321" s="2" t="s">
        <v>189</v>
      </c>
      <c r="Q321" s="2" t="s">
        <v>32</v>
      </c>
      <c r="R321" s="2">
        <v>37.0</v>
      </c>
      <c r="U321" s="2" t="b">
        <v>0</v>
      </c>
      <c r="V321" s="5">
        <v>0.0047</v>
      </c>
      <c r="W321" s="5">
        <v>0.0118</v>
      </c>
      <c r="X321" s="5">
        <v>5.5E-5</v>
      </c>
      <c r="Y321" s="2">
        <v>42.78823529</v>
      </c>
      <c r="AA321" s="2" t="s">
        <v>33</v>
      </c>
    </row>
    <row r="322">
      <c r="A322" s="2">
        <v>1692.0</v>
      </c>
      <c r="B322" s="2" t="s">
        <v>974</v>
      </c>
      <c r="C322" s="2" t="s">
        <v>7</v>
      </c>
      <c r="D322" s="2" t="s">
        <v>975</v>
      </c>
      <c r="F322" s="6">
        <v>45717.541666666664</v>
      </c>
      <c r="G322" s="2">
        <v>58466.0</v>
      </c>
      <c r="H322" s="2">
        <v>58466.0</v>
      </c>
      <c r="I322" s="2">
        <v>49864.0</v>
      </c>
      <c r="J322" s="2">
        <v>248.0</v>
      </c>
      <c r="K322" s="2">
        <v>193.0</v>
      </c>
      <c r="L322" s="2">
        <v>3.0</v>
      </c>
      <c r="M322" s="4">
        <v>5863.0</v>
      </c>
      <c r="N322" s="2" t="s">
        <v>30</v>
      </c>
      <c r="O322" s="2">
        <v>70.0</v>
      </c>
      <c r="P322" s="2" t="s">
        <v>189</v>
      </c>
      <c r="Q322" s="2" t="s">
        <v>32</v>
      </c>
      <c r="R322" s="2">
        <v>35.0</v>
      </c>
      <c r="U322" s="2" t="b">
        <v>0</v>
      </c>
      <c r="V322" s="5">
        <v>0.0039</v>
      </c>
      <c r="W322" s="5">
        <v>0.0155</v>
      </c>
      <c r="X322" s="5">
        <v>6.0E-5</v>
      </c>
      <c r="Y322" s="2">
        <v>30.37823834</v>
      </c>
      <c r="AA322" s="2" t="s">
        <v>33</v>
      </c>
    </row>
    <row r="323">
      <c r="A323" s="2">
        <v>1695.0</v>
      </c>
      <c r="B323" s="2" t="s">
        <v>976</v>
      </c>
      <c r="C323" s="2" t="s">
        <v>7</v>
      </c>
      <c r="D323" s="2" t="s">
        <v>977</v>
      </c>
      <c r="E323" s="2" t="s">
        <v>978</v>
      </c>
      <c r="F323" s="6">
        <v>45717.625</v>
      </c>
      <c r="G323" s="2">
        <v>44844.0</v>
      </c>
      <c r="H323" s="2">
        <v>44844.0</v>
      </c>
      <c r="I323" s="2">
        <v>36256.0</v>
      </c>
      <c r="J323" s="2">
        <v>395.0</v>
      </c>
      <c r="K323" s="2">
        <v>313.0</v>
      </c>
      <c r="L323" s="2">
        <v>5.0</v>
      </c>
      <c r="M323" s="4">
        <v>36958.0</v>
      </c>
      <c r="N323" s="2" t="s">
        <v>36</v>
      </c>
      <c r="O323" s="2">
        <v>71.0</v>
      </c>
      <c r="P323" s="2" t="s">
        <v>189</v>
      </c>
      <c r="Q323" s="2" t="s">
        <v>32</v>
      </c>
      <c r="R323" s="2">
        <v>32.0</v>
      </c>
      <c r="T323" s="2" t="s">
        <v>47</v>
      </c>
      <c r="U323" s="2" t="b">
        <v>0</v>
      </c>
      <c r="V323" s="5">
        <v>0.0086</v>
      </c>
      <c r="W323" s="5">
        <v>0.016</v>
      </c>
      <c r="X323" s="5">
        <v>1.38E-4</v>
      </c>
      <c r="Y323" s="2">
        <v>118.0766773</v>
      </c>
      <c r="AA323" s="2" t="s">
        <v>33</v>
      </c>
    </row>
    <row r="324">
      <c r="A324" s="2">
        <v>1694.0</v>
      </c>
      <c r="B324" s="2" t="s">
        <v>979</v>
      </c>
      <c r="C324" s="2" t="s">
        <v>7</v>
      </c>
      <c r="D324" s="2" t="s">
        <v>980</v>
      </c>
      <c r="E324" s="2" t="s">
        <v>981</v>
      </c>
      <c r="F324" s="6">
        <v>45717.625</v>
      </c>
      <c r="G324" s="2">
        <v>58512.0</v>
      </c>
      <c r="H324" s="2">
        <v>58512.0</v>
      </c>
      <c r="I324" s="2">
        <v>49922.0</v>
      </c>
      <c r="J324" s="2">
        <v>412.0</v>
      </c>
      <c r="K324" s="2">
        <v>347.0</v>
      </c>
      <c r="L324" s="2">
        <v>7.0</v>
      </c>
      <c r="M324" s="4">
        <v>39995.0</v>
      </c>
      <c r="N324" s="2" t="s">
        <v>30</v>
      </c>
      <c r="O324" s="2">
        <v>70.0</v>
      </c>
      <c r="P324" s="2" t="s">
        <v>189</v>
      </c>
      <c r="Q324" s="2" t="s">
        <v>32</v>
      </c>
      <c r="R324" s="2">
        <v>34.0</v>
      </c>
      <c r="U324" s="2" t="b">
        <v>0</v>
      </c>
      <c r="V324" s="5">
        <v>0.007</v>
      </c>
      <c r="W324" s="5">
        <v>0.0202</v>
      </c>
      <c r="X324" s="5">
        <v>1.4E-4</v>
      </c>
      <c r="Y324" s="2">
        <v>115.259366</v>
      </c>
      <c r="Z324" s="2">
        <v>1747.0</v>
      </c>
      <c r="AA324" s="2" t="s">
        <v>33</v>
      </c>
    </row>
    <row r="325">
      <c r="A325" s="2">
        <v>1697.0</v>
      </c>
      <c r="B325" s="2" t="s">
        <v>982</v>
      </c>
      <c r="C325" s="2" t="s">
        <v>7</v>
      </c>
      <c r="D325" s="2" t="s">
        <v>983</v>
      </c>
      <c r="E325" s="2" t="s">
        <v>984</v>
      </c>
      <c r="F325" s="6">
        <v>45718.458333333336</v>
      </c>
      <c r="G325" s="2">
        <v>44870.0</v>
      </c>
      <c r="H325" s="2">
        <v>44870.0</v>
      </c>
      <c r="I325" s="2">
        <v>36008.0</v>
      </c>
      <c r="J325" s="2">
        <v>357.0</v>
      </c>
      <c r="K325" s="2">
        <v>280.0</v>
      </c>
      <c r="L325" s="2">
        <v>6.0</v>
      </c>
      <c r="M325" s="4">
        <v>12186.0</v>
      </c>
      <c r="N325" s="2" t="s">
        <v>36</v>
      </c>
      <c r="O325" s="2">
        <v>71.0</v>
      </c>
      <c r="P325" s="2" t="s">
        <v>31</v>
      </c>
      <c r="Q325" s="2" t="s">
        <v>32</v>
      </c>
      <c r="R325" s="2">
        <v>30.0</v>
      </c>
      <c r="T325" s="2" t="s">
        <v>985</v>
      </c>
      <c r="U325" s="2" t="b">
        <v>0</v>
      </c>
      <c r="V325" s="5">
        <v>0.0078</v>
      </c>
      <c r="W325" s="5">
        <v>0.0214</v>
      </c>
      <c r="X325" s="5">
        <v>1.67E-4</v>
      </c>
      <c r="Y325" s="2">
        <v>43.52142857</v>
      </c>
      <c r="AA325" s="2" t="s">
        <v>33</v>
      </c>
    </row>
    <row r="326">
      <c r="A326" s="2">
        <v>1696.0</v>
      </c>
      <c r="B326" s="2" t="s">
        <v>986</v>
      </c>
      <c r="C326" s="2" t="s">
        <v>7</v>
      </c>
      <c r="D326" s="2" t="s">
        <v>987</v>
      </c>
      <c r="E326" s="2" t="s">
        <v>988</v>
      </c>
      <c r="F326" s="6">
        <v>45718.458333333336</v>
      </c>
      <c r="G326" s="2">
        <v>58565.0</v>
      </c>
      <c r="H326" s="2">
        <v>58565.0</v>
      </c>
      <c r="I326" s="2">
        <v>49596.0</v>
      </c>
      <c r="J326" s="2">
        <v>533.0</v>
      </c>
      <c r="K326" s="2">
        <v>440.0</v>
      </c>
      <c r="L326" s="2">
        <v>9.0</v>
      </c>
      <c r="M326" s="4">
        <v>20350.0</v>
      </c>
      <c r="N326" s="2" t="s">
        <v>30</v>
      </c>
      <c r="O326" s="2">
        <v>70.0</v>
      </c>
      <c r="P326" s="2" t="s">
        <v>189</v>
      </c>
      <c r="Q326" s="2" t="s">
        <v>32</v>
      </c>
      <c r="R326" s="2">
        <v>30.0</v>
      </c>
      <c r="T326" s="2" t="s">
        <v>989</v>
      </c>
      <c r="U326" s="2" t="b">
        <v>0</v>
      </c>
      <c r="V326" s="5">
        <v>0.0089</v>
      </c>
      <c r="W326" s="5">
        <v>0.0205</v>
      </c>
      <c r="X326" s="5">
        <v>1.81E-4</v>
      </c>
      <c r="Y326" s="2">
        <v>46.25</v>
      </c>
      <c r="AA326" s="2" t="s">
        <v>33</v>
      </c>
    </row>
    <row r="327">
      <c r="A327" s="2">
        <v>1699.0</v>
      </c>
      <c r="B327" s="2" t="s">
        <v>990</v>
      </c>
      <c r="C327" s="2" t="s">
        <v>7</v>
      </c>
      <c r="D327" s="2" t="s">
        <v>991</v>
      </c>
      <c r="E327" s="2" t="s">
        <v>992</v>
      </c>
      <c r="F327" s="6">
        <v>45718.541666666664</v>
      </c>
      <c r="G327" s="2">
        <v>44822.0</v>
      </c>
      <c r="H327" s="2">
        <v>44822.0</v>
      </c>
      <c r="I327" s="2">
        <v>36141.0</v>
      </c>
      <c r="J327" s="2">
        <v>285.0</v>
      </c>
      <c r="K327" s="2">
        <v>218.0</v>
      </c>
      <c r="L327" s="2">
        <v>4.0</v>
      </c>
      <c r="M327" s="4">
        <v>14132.0</v>
      </c>
      <c r="N327" s="2" t="s">
        <v>36</v>
      </c>
      <c r="O327" s="2">
        <v>71.0</v>
      </c>
      <c r="P327" s="2" t="s">
        <v>189</v>
      </c>
      <c r="Q327" s="2" t="s">
        <v>32</v>
      </c>
      <c r="R327" s="2">
        <v>39.0</v>
      </c>
      <c r="T327" s="2" t="s">
        <v>993</v>
      </c>
      <c r="U327" s="2" t="b">
        <v>0</v>
      </c>
      <c r="V327" s="5">
        <v>0.006</v>
      </c>
      <c r="W327" s="5">
        <v>0.0183</v>
      </c>
      <c r="X327" s="5">
        <v>1.11E-4</v>
      </c>
      <c r="Y327" s="2">
        <v>64.82568807</v>
      </c>
      <c r="AA327" s="2" t="s">
        <v>33</v>
      </c>
    </row>
    <row r="328">
      <c r="A328" s="2">
        <v>1698.0</v>
      </c>
      <c r="B328" s="2" t="s">
        <v>994</v>
      </c>
      <c r="C328" s="2" t="s">
        <v>7</v>
      </c>
      <c r="D328" s="2" t="s">
        <v>995</v>
      </c>
      <c r="E328" s="2" t="s">
        <v>996</v>
      </c>
      <c r="F328" s="6">
        <v>45718.541666666664</v>
      </c>
      <c r="G328" s="2">
        <v>58544.0</v>
      </c>
      <c r="H328" s="2">
        <v>58544.0</v>
      </c>
      <c r="I328" s="2">
        <v>49874.0</v>
      </c>
      <c r="J328" s="2">
        <v>329.0</v>
      </c>
      <c r="K328" s="2">
        <v>275.0</v>
      </c>
      <c r="L328" s="2">
        <v>5.0</v>
      </c>
      <c r="M328" s="4">
        <v>19665.0</v>
      </c>
      <c r="N328" s="2" t="s">
        <v>30</v>
      </c>
      <c r="O328" s="2">
        <v>70.0</v>
      </c>
      <c r="P328" s="2" t="s">
        <v>189</v>
      </c>
      <c r="Q328" s="2" t="s">
        <v>32</v>
      </c>
      <c r="R328" s="2">
        <v>30.0</v>
      </c>
      <c r="U328" s="2" t="b">
        <v>0</v>
      </c>
      <c r="V328" s="5">
        <v>0.0055</v>
      </c>
      <c r="W328" s="5">
        <v>0.0182</v>
      </c>
      <c r="X328" s="5">
        <v>1.0E-4</v>
      </c>
      <c r="Y328" s="2">
        <v>71.50909091</v>
      </c>
      <c r="Z328" s="2">
        <v>5576.0</v>
      </c>
      <c r="AA328" s="2" t="s">
        <v>33</v>
      </c>
    </row>
    <row r="329">
      <c r="A329" s="2">
        <v>1701.0</v>
      </c>
      <c r="B329" s="2" t="s">
        <v>997</v>
      </c>
      <c r="C329" s="2" t="s">
        <v>7</v>
      </c>
      <c r="D329" s="2" t="s">
        <v>998</v>
      </c>
      <c r="E329" s="2" t="s">
        <v>999</v>
      </c>
      <c r="F329" s="6">
        <v>45718.625</v>
      </c>
      <c r="G329" s="2">
        <v>44852.0</v>
      </c>
      <c r="H329" s="2">
        <v>44852.0</v>
      </c>
      <c r="I329" s="2">
        <v>36117.0</v>
      </c>
      <c r="J329" s="2">
        <v>301.0</v>
      </c>
      <c r="K329" s="2">
        <v>230.0</v>
      </c>
      <c r="L329" s="2">
        <v>5.0</v>
      </c>
      <c r="M329" s="4">
        <v>13337.0</v>
      </c>
      <c r="N329" s="2" t="s">
        <v>36</v>
      </c>
      <c r="O329" s="2">
        <v>71.0</v>
      </c>
      <c r="P329" s="2" t="s">
        <v>31</v>
      </c>
      <c r="Q329" s="2" t="s">
        <v>32</v>
      </c>
      <c r="R329" s="2">
        <v>37.0</v>
      </c>
      <c r="T329" s="2" t="s">
        <v>143</v>
      </c>
      <c r="U329" s="2" t="b">
        <v>0</v>
      </c>
      <c r="V329" s="5">
        <v>0.0064</v>
      </c>
      <c r="W329" s="5">
        <v>0.0217</v>
      </c>
      <c r="X329" s="5">
        <v>1.38E-4</v>
      </c>
      <c r="Y329" s="2">
        <v>57.98695652</v>
      </c>
      <c r="AA329" s="2" t="s">
        <v>33</v>
      </c>
    </row>
    <row r="330">
      <c r="A330" s="2">
        <v>1700.0</v>
      </c>
      <c r="B330" s="2" t="s">
        <v>1000</v>
      </c>
      <c r="C330" s="2" t="s">
        <v>7</v>
      </c>
      <c r="D330" s="2" t="s">
        <v>1001</v>
      </c>
      <c r="E330" s="2" t="s">
        <v>1002</v>
      </c>
      <c r="F330" s="6">
        <v>45718.625</v>
      </c>
      <c r="G330" s="2">
        <v>58583.0</v>
      </c>
      <c r="H330" s="2">
        <v>58583.0</v>
      </c>
      <c r="I330" s="2">
        <v>49938.0</v>
      </c>
      <c r="J330" s="2">
        <v>452.0</v>
      </c>
      <c r="K330" s="2">
        <v>371.0</v>
      </c>
      <c r="L330" s="2">
        <v>7.0</v>
      </c>
      <c r="M330" s="4">
        <v>22360.0</v>
      </c>
      <c r="N330" s="2" t="s">
        <v>30</v>
      </c>
      <c r="O330" s="2">
        <v>70.0</v>
      </c>
      <c r="P330" s="2" t="s">
        <v>189</v>
      </c>
      <c r="Q330" s="2" t="s">
        <v>32</v>
      </c>
      <c r="R330" s="2">
        <v>37.0</v>
      </c>
      <c r="T330" s="2" t="s">
        <v>143</v>
      </c>
      <c r="U330" s="2" t="b">
        <v>0</v>
      </c>
      <c r="V330" s="5">
        <v>0.0074</v>
      </c>
      <c r="W330" s="5">
        <v>0.0189</v>
      </c>
      <c r="X330" s="5">
        <v>1.4E-4</v>
      </c>
      <c r="Y330" s="2">
        <v>60.26954178</v>
      </c>
      <c r="Z330" s="2" t="s">
        <v>84</v>
      </c>
      <c r="AA330" s="2" t="s">
        <v>33</v>
      </c>
    </row>
    <row r="331">
      <c r="A331" s="2">
        <v>1702.0</v>
      </c>
      <c r="B331" s="2" t="s">
        <v>1003</v>
      </c>
      <c r="C331" s="2" t="s">
        <v>7</v>
      </c>
      <c r="D331" s="2" t="s">
        <v>1004</v>
      </c>
      <c r="E331" s="2" t="s">
        <v>1005</v>
      </c>
      <c r="F331" s="6">
        <v>45720.657638888886</v>
      </c>
      <c r="G331" s="2">
        <v>56491.0</v>
      </c>
      <c r="H331" s="2">
        <v>56491.0</v>
      </c>
      <c r="I331" s="2">
        <v>47983.0</v>
      </c>
      <c r="J331" s="2">
        <v>349.0</v>
      </c>
      <c r="K331" s="2">
        <v>284.0</v>
      </c>
      <c r="L331" s="2">
        <v>7.0</v>
      </c>
      <c r="M331" s="4">
        <v>19357.0</v>
      </c>
      <c r="N331" s="2" t="s">
        <v>30</v>
      </c>
      <c r="O331" s="2">
        <v>70.0</v>
      </c>
      <c r="P331" s="2" t="s">
        <v>189</v>
      </c>
      <c r="Q331" s="2" t="s">
        <v>32</v>
      </c>
      <c r="R331" s="2">
        <v>30.0</v>
      </c>
      <c r="U331" s="2" t="b">
        <v>0</v>
      </c>
      <c r="V331" s="5">
        <v>0.0059</v>
      </c>
      <c r="W331" s="5">
        <v>0.0246</v>
      </c>
      <c r="X331" s="5">
        <v>1.46E-4</v>
      </c>
      <c r="Y331" s="2">
        <v>68.1584507</v>
      </c>
      <c r="AA331" s="2" t="s">
        <v>33</v>
      </c>
    </row>
    <row r="332">
      <c r="A332" s="2">
        <v>1703.0</v>
      </c>
      <c r="B332" s="2" t="s">
        <v>1006</v>
      </c>
      <c r="C332" s="2" t="s">
        <v>7</v>
      </c>
      <c r="D332" s="2" t="s">
        <v>1007</v>
      </c>
      <c r="E332" s="2" t="s">
        <v>1008</v>
      </c>
      <c r="F332" s="6">
        <v>45720.660416666666</v>
      </c>
      <c r="G332" s="2">
        <v>43750.0</v>
      </c>
      <c r="H332" s="2">
        <v>43750.0</v>
      </c>
      <c r="I332" s="2">
        <v>35243.0</v>
      </c>
      <c r="J332" s="2">
        <v>389.0</v>
      </c>
      <c r="K332" s="2">
        <v>315.0</v>
      </c>
      <c r="L332" s="2">
        <v>5.0</v>
      </c>
      <c r="M332" s="4">
        <v>26738.0</v>
      </c>
      <c r="N332" s="2" t="s">
        <v>36</v>
      </c>
      <c r="O332" s="2">
        <v>71.0</v>
      </c>
      <c r="P332" s="2" t="s">
        <v>189</v>
      </c>
      <c r="Q332" s="2" t="s">
        <v>32</v>
      </c>
      <c r="R332" s="2">
        <v>37.0</v>
      </c>
      <c r="U332" s="2" t="b">
        <v>0</v>
      </c>
      <c r="V332" s="5">
        <v>0.0089</v>
      </c>
      <c r="W332" s="5">
        <v>0.0159</v>
      </c>
      <c r="X332" s="5">
        <v>1.42E-4</v>
      </c>
      <c r="Y332" s="2">
        <v>84.88253968</v>
      </c>
      <c r="AA332" s="2" t="s">
        <v>33</v>
      </c>
    </row>
    <row r="333">
      <c r="A333" s="2">
        <v>1704.0</v>
      </c>
      <c r="B333" s="2" t="s">
        <v>1009</v>
      </c>
      <c r="C333" s="2" t="s">
        <v>7</v>
      </c>
      <c r="D333" s="2" t="s">
        <v>1010</v>
      </c>
      <c r="E333" s="2" t="s">
        <v>1011</v>
      </c>
      <c r="F333" s="6">
        <v>45721.47152777778</v>
      </c>
      <c r="G333" s="2">
        <v>57698.0</v>
      </c>
      <c r="H333" s="2">
        <v>57698.0</v>
      </c>
      <c r="I333" s="2">
        <v>49061.0</v>
      </c>
      <c r="J333" s="2">
        <v>271.0</v>
      </c>
      <c r="K333" s="2">
        <v>222.0</v>
      </c>
      <c r="L333" s="2">
        <v>2.0</v>
      </c>
      <c r="M333" s="4">
        <v>3669.0</v>
      </c>
      <c r="N333" s="2" t="s">
        <v>30</v>
      </c>
      <c r="O333" s="2">
        <v>70.0</v>
      </c>
      <c r="P333" s="2" t="s">
        <v>189</v>
      </c>
      <c r="Q333" s="2" t="s">
        <v>32</v>
      </c>
      <c r="R333" s="2">
        <v>26.0</v>
      </c>
      <c r="T333" s="2" t="s">
        <v>47</v>
      </c>
      <c r="U333" s="2" t="b">
        <v>0</v>
      </c>
      <c r="V333" s="5">
        <v>0.0045</v>
      </c>
      <c r="W333" s="5">
        <v>0.009</v>
      </c>
      <c r="X333" s="5">
        <v>4.1E-5</v>
      </c>
      <c r="Y333" s="2">
        <v>16.52702703</v>
      </c>
      <c r="AA333" s="2" t="s">
        <v>33</v>
      </c>
    </row>
    <row r="334">
      <c r="A334" s="2">
        <v>1705.0</v>
      </c>
      <c r="B334" s="2" t="s">
        <v>1012</v>
      </c>
      <c r="C334" s="2" t="s">
        <v>7</v>
      </c>
      <c r="D334" s="2" t="s">
        <v>1013</v>
      </c>
      <c r="E334" s="2" t="s">
        <v>1014</v>
      </c>
      <c r="F334" s="6">
        <v>45721.47222222222</v>
      </c>
      <c r="G334" s="2">
        <v>44279.0</v>
      </c>
      <c r="H334" s="2">
        <v>44279.0</v>
      </c>
      <c r="I334" s="2">
        <v>35554.0</v>
      </c>
      <c r="J334" s="2">
        <v>230.0</v>
      </c>
      <c r="K334" s="2">
        <v>187.0</v>
      </c>
      <c r="L334" s="2">
        <v>3.0</v>
      </c>
      <c r="M334" s="4">
        <v>7592.0</v>
      </c>
      <c r="N334" s="2" t="s">
        <v>36</v>
      </c>
      <c r="O334" s="2">
        <v>71.0</v>
      </c>
      <c r="P334" s="2" t="s">
        <v>189</v>
      </c>
      <c r="Q334" s="2" t="s">
        <v>32</v>
      </c>
      <c r="R334" s="2">
        <v>24.0</v>
      </c>
      <c r="T334" s="2" t="s">
        <v>47</v>
      </c>
      <c r="U334" s="2" t="b">
        <v>0</v>
      </c>
      <c r="V334" s="5">
        <v>0.0053</v>
      </c>
      <c r="W334" s="5">
        <v>0.016</v>
      </c>
      <c r="X334" s="5">
        <v>8.4E-5</v>
      </c>
      <c r="Y334" s="2">
        <v>40.59893048</v>
      </c>
      <c r="AA334" s="2" t="s">
        <v>33</v>
      </c>
    </row>
    <row r="335">
      <c r="A335" s="2">
        <v>1707.0</v>
      </c>
      <c r="B335" s="2" t="s">
        <v>1015</v>
      </c>
      <c r="C335" s="2" t="s">
        <v>7</v>
      </c>
      <c r="D335" s="2" t="s">
        <v>1016</v>
      </c>
      <c r="E335" s="2" t="s">
        <v>1017</v>
      </c>
      <c r="F335" s="6">
        <v>45721.625</v>
      </c>
      <c r="G335" s="2">
        <v>44236.0</v>
      </c>
      <c r="H335" s="2">
        <v>44236.0</v>
      </c>
      <c r="I335" s="2">
        <v>35752.0</v>
      </c>
      <c r="J335" s="2">
        <v>297.0</v>
      </c>
      <c r="K335" s="2">
        <v>235.0</v>
      </c>
      <c r="L335" s="2">
        <v>4.0</v>
      </c>
      <c r="M335" s="4">
        <v>19029.0</v>
      </c>
      <c r="N335" s="2" t="s">
        <v>36</v>
      </c>
      <c r="O335" s="2">
        <v>71.0</v>
      </c>
      <c r="P335" s="2" t="s">
        <v>189</v>
      </c>
      <c r="Q335" s="2" t="s">
        <v>32</v>
      </c>
      <c r="R335" s="2">
        <v>28.0</v>
      </c>
      <c r="T335" s="7" t="str">
        <f>IFERROR(__xludf.DUMMYFUNCTION("AI(""has offer Come X Pay X"",D774)"),"Has Offer Come X Pay X")</f>
        <v>Has Offer Come X Pay X</v>
      </c>
      <c r="U335" s="2" t="b">
        <v>0</v>
      </c>
      <c r="V335" s="5">
        <v>0.0066</v>
      </c>
      <c r="W335" s="5">
        <v>0.017</v>
      </c>
      <c r="X335" s="5">
        <v>1.12E-4</v>
      </c>
      <c r="Y335" s="2">
        <v>80.97446809</v>
      </c>
      <c r="AA335" s="2" t="s">
        <v>33</v>
      </c>
    </row>
    <row r="336">
      <c r="A336" s="2">
        <v>1706.0</v>
      </c>
      <c r="B336" s="2" t="s">
        <v>1018</v>
      </c>
      <c r="C336" s="2" t="s">
        <v>7</v>
      </c>
      <c r="D336" s="2" t="s">
        <v>1019</v>
      </c>
      <c r="E336" s="2" t="s">
        <v>1020</v>
      </c>
      <c r="F336" s="6">
        <v>45721.625</v>
      </c>
      <c r="G336" s="2">
        <v>57711.0</v>
      </c>
      <c r="H336" s="2">
        <v>57711.0</v>
      </c>
      <c r="I336" s="2">
        <v>49195.0</v>
      </c>
      <c r="J336" s="2">
        <v>324.0</v>
      </c>
      <c r="K336" s="2">
        <v>250.0</v>
      </c>
      <c r="L336" s="2">
        <v>4.0</v>
      </c>
      <c r="M336" s="4">
        <v>148926.0</v>
      </c>
      <c r="N336" s="2" t="s">
        <v>30</v>
      </c>
      <c r="O336" s="2">
        <v>70.0</v>
      </c>
      <c r="P336" s="2" t="s">
        <v>189</v>
      </c>
      <c r="Q336" s="2" t="s">
        <v>32</v>
      </c>
      <c r="R336" s="2">
        <v>27.0</v>
      </c>
      <c r="T336" s="2" t="s">
        <v>1021</v>
      </c>
      <c r="U336" s="2" t="b">
        <v>0</v>
      </c>
      <c r="V336" s="5">
        <v>0.0051</v>
      </c>
      <c r="W336" s="5">
        <v>0.016</v>
      </c>
      <c r="X336" s="5">
        <v>8.1E-5</v>
      </c>
      <c r="Y336" s="2">
        <v>595.704</v>
      </c>
      <c r="Z336" s="2" t="s">
        <v>1022</v>
      </c>
      <c r="AA336" s="2" t="s">
        <v>33</v>
      </c>
    </row>
    <row r="337">
      <c r="A337" s="2">
        <v>1709.0</v>
      </c>
      <c r="B337" s="2" t="s">
        <v>1023</v>
      </c>
      <c r="C337" s="2" t="s">
        <v>7</v>
      </c>
      <c r="D337" s="2" t="s">
        <v>1024</v>
      </c>
      <c r="E337" s="2" t="s">
        <v>1025</v>
      </c>
      <c r="F337" s="6">
        <v>45721.708333333336</v>
      </c>
      <c r="G337" s="2">
        <v>44259.0</v>
      </c>
      <c r="H337" s="2">
        <v>44259.0</v>
      </c>
      <c r="I337" s="2">
        <v>35827.0</v>
      </c>
      <c r="J337" s="2">
        <v>286.0</v>
      </c>
      <c r="K337" s="2">
        <v>226.0</v>
      </c>
      <c r="L337" s="2">
        <v>1.0</v>
      </c>
      <c r="M337" s="4">
        <v>10396.0</v>
      </c>
      <c r="N337" s="2" t="s">
        <v>36</v>
      </c>
      <c r="O337" s="2">
        <v>71.0</v>
      </c>
      <c r="P337" s="2" t="s">
        <v>189</v>
      </c>
      <c r="Q337" s="2" t="s">
        <v>32</v>
      </c>
      <c r="R337" s="2">
        <v>28.0</v>
      </c>
      <c r="U337" s="2" t="b">
        <v>0</v>
      </c>
      <c r="V337" s="5">
        <v>0.0063</v>
      </c>
      <c r="W337" s="5">
        <v>0.0044</v>
      </c>
      <c r="X337" s="5">
        <v>2.8E-5</v>
      </c>
      <c r="Y337" s="2">
        <v>46.0</v>
      </c>
      <c r="AA337" s="2" t="s">
        <v>33</v>
      </c>
    </row>
    <row r="338">
      <c r="A338" s="2">
        <v>1708.0</v>
      </c>
      <c r="B338" s="2" t="s">
        <v>1026</v>
      </c>
      <c r="C338" s="2" t="s">
        <v>7</v>
      </c>
      <c r="D338" s="2" t="s">
        <v>1027</v>
      </c>
      <c r="E338" s="2" t="s">
        <v>1028</v>
      </c>
      <c r="F338" s="6">
        <v>45721.708333333336</v>
      </c>
      <c r="G338" s="2">
        <v>57741.0</v>
      </c>
      <c r="H338" s="2">
        <v>57741.0</v>
      </c>
      <c r="I338" s="2">
        <v>49238.0</v>
      </c>
      <c r="J338" s="2">
        <v>261.0</v>
      </c>
      <c r="K338" s="2">
        <v>207.0</v>
      </c>
      <c r="L338" s="2">
        <v>5.0</v>
      </c>
      <c r="M338" s="4">
        <v>12133.0</v>
      </c>
      <c r="N338" s="2" t="s">
        <v>30</v>
      </c>
      <c r="O338" s="2">
        <v>70.0</v>
      </c>
      <c r="P338" s="2" t="s">
        <v>189</v>
      </c>
      <c r="Q338" s="2" t="s">
        <v>32</v>
      </c>
      <c r="R338" s="2">
        <v>27.0</v>
      </c>
      <c r="T338" s="2" t="s">
        <v>47</v>
      </c>
      <c r="U338" s="2" t="b">
        <v>0</v>
      </c>
      <c r="V338" s="5">
        <v>0.0042</v>
      </c>
      <c r="W338" s="5">
        <v>0.0242</v>
      </c>
      <c r="X338" s="5">
        <v>1.02E-4</v>
      </c>
      <c r="Y338" s="2">
        <v>58.61352657</v>
      </c>
      <c r="Z338" s="2">
        <v>3537.0</v>
      </c>
      <c r="AA338" s="2" t="s">
        <v>33</v>
      </c>
    </row>
    <row r="339">
      <c r="A339" s="2">
        <v>1710.0</v>
      </c>
      <c r="B339" s="2" t="s">
        <v>1029</v>
      </c>
      <c r="C339" s="2" t="s">
        <v>7</v>
      </c>
      <c r="D339" s="2" t="s">
        <v>1030</v>
      </c>
      <c r="E339" s="2" t="s">
        <v>1031</v>
      </c>
      <c r="F339" s="6">
        <v>45722.467361111114</v>
      </c>
      <c r="G339" s="2">
        <v>57792.0</v>
      </c>
      <c r="H339" s="2">
        <v>57792.0</v>
      </c>
      <c r="I339" s="2">
        <v>49098.0</v>
      </c>
      <c r="J339" s="2">
        <v>367.0</v>
      </c>
      <c r="K339" s="2">
        <v>322.0</v>
      </c>
      <c r="L339" s="2">
        <v>7.0</v>
      </c>
      <c r="M339" s="4">
        <v>29745.0</v>
      </c>
      <c r="N339" s="2" t="s">
        <v>30</v>
      </c>
      <c r="O339" s="2">
        <v>70.0</v>
      </c>
      <c r="P339" s="2" t="s">
        <v>189</v>
      </c>
      <c r="Q339" s="2" t="s">
        <v>32</v>
      </c>
      <c r="R339" s="2">
        <v>30.0</v>
      </c>
      <c r="T339" s="2" t="s">
        <v>143</v>
      </c>
      <c r="U339" s="2" t="b">
        <v>0</v>
      </c>
      <c r="V339" s="5">
        <v>0.0066</v>
      </c>
      <c r="W339" s="5">
        <v>0.0217</v>
      </c>
      <c r="X339" s="5">
        <v>1.43E-4</v>
      </c>
      <c r="Y339" s="2">
        <v>92.3757764</v>
      </c>
      <c r="AA339" s="2" t="s">
        <v>33</v>
      </c>
    </row>
    <row r="340">
      <c r="A340" s="2">
        <v>1711.0</v>
      </c>
      <c r="B340" s="2" t="s">
        <v>1032</v>
      </c>
      <c r="C340" s="2" t="s">
        <v>7</v>
      </c>
      <c r="D340" s="2" t="s">
        <v>1033</v>
      </c>
      <c r="E340" s="2" t="s">
        <v>1034</v>
      </c>
      <c r="F340" s="6">
        <v>45722.475</v>
      </c>
      <c r="G340" s="2">
        <v>44250.0</v>
      </c>
      <c r="H340" s="2">
        <v>44250.0</v>
      </c>
      <c r="I340" s="2">
        <v>35556.0</v>
      </c>
      <c r="J340" s="2">
        <v>274.0</v>
      </c>
      <c r="K340" s="2">
        <v>215.0</v>
      </c>
      <c r="L340" s="2">
        <v>2.0</v>
      </c>
      <c r="M340" s="4">
        <v>4180.0</v>
      </c>
      <c r="N340" s="2" t="s">
        <v>36</v>
      </c>
      <c r="O340" s="2">
        <v>71.0</v>
      </c>
      <c r="P340" s="2" t="s">
        <v>189</v>
      </c>
      <c r="Q340" s="2" t="s">
        <v>32</v>
      </c>
      <c r="R340" s="2">
        <v>33.0</v>
      </c>
      <c r="T340" s="2" t="s">
        <v>143</v>
      </c>
      <c r="U340" s="2" t="b">
        <v>0</v>
      </c>
      <c r="V340" s="5">
        <v>0.006</v>
      </c>
      <c r="W340" s="5">
        <v>0.0093</v>
      </c>
      <c r="X340" s="5">
        <v>5.6E-5</v>
      </c>
      <c r="Y340" s="2">
        <v>19.44186047</v>
      </c>
      <c r="AA340" s="2" t="s">
        <v>33</v>
      </c>
    </row>
    <row r="341">
      <c r="A341" s="2">
        <v>1712.0</v>
      </c>
      <c r="B341" s="2" t="s">
        <v>1035</v>
      </c>
      <c r="C341" s="2" t="s">
        <v>7</v>
      </c>
      <c r="D341" s="2" t="s">
        <v>1036</v>
      </c>
      <c r="E341" s="2" t="s">
        <v>1037</v>
      </c>
      <c r="F341" s="6">
        <v>45722.654861111114</v>
      </c>
      <c r="G341" s="2">
        <v>57845.0</v>
      </c>
      <c r="H341" s="2">
        <v>57845.0</v>
      </c>
      <c r="I341" s="2">
        <v>49317.0</v>
      </c>
      <c r="J341" s="2">
        <v>318.0</v>
      </c>
      <c r="K341" s="2">
        <v>267.0</v>
      </c>
      <c r="L341" s="2">
        <v>7.0</v>
      </c>
      <c r="M341" s="4">
        <v>20396.0</v>
      </c>
      <c r="N341" s="2" t="s">
        <v>30</v>
      </c>
      <c r="O341" s="2">
        <v>70.0</v>
      </c>
      <c r="P341" s="2" t="s">
        <v>189</v>
      </c>
      <c r="Q341" s="2" t="s">
        <v>32</v>
      </c>
      <c r="R341" s="2">
        <v>28.0</v>
      </c>
      <c r="U341" s="2" t="b">
        <v>0</v>
      </c>
      <c r="V341" s="5">
        <v>0.0054</v>
      </c>
      <c r="W341" s="5">
        <v>0.0262</v>
      </c>
      <c r="X341" s="5">
        <v>1.42E-4</v>
      </c>
      <c r="Y341" s="2">
        <v>76.38951311</v>
      </c>
      <c r="Z341" s="2">
        <v>3596.0</v>
      </c>
      <c r="AA341" s="2" t="s">
        <v>33</v>
      </c>
    </row>
    <row r="342">
      <c r="A342" s="2">
        <v>1713.0</v>
      </c>
      <c r="B342" s="2" t="s">
        <v>1038</v>
      </c>
      <c r="C342" s="2" t="s">
        <v>7</v>
      </c>
      <c r="D342" s="2" t="s">
        <v>1039</v>
      </c>
      <c r="E342" s="2" t="s">
        <v>1040</v>
      </c>
      <c r="F342" s="6">
        <v>45722.66875</v>
      </c>
      <c r="G342" s="2">
        <v>44240.0</v>
      </c>
      <c r="H342" s="2">
        <v>44240.0</v>
      </c>
      <c r="I342" s="2">
        <v>35421.0</v>
      </c>
      <c r="J342" s="2">
        <v>288.0</v>
      </c>
      <c r="K342" s="2">
        <v>212.0</v>
      </c>
      <c r="L342" s="2">
        <v>5.0</v>
      </c>
      <c r="M342" s="4">
        <v>9798.0</v>
      </c>
      <c r="N342" s="2" t="s">
        <v>36</v>
      </c>
      <c r="O342" s="2">
        <v>71.0</v>
      </c>
      <c r="P342" s="2" t="s">
        <v>189</v>
      </c>
      <c r="Q342" s="2" t="s">
        <v>32</v>
      </c>
      <c r="R342" s="2">
        <v>28.0</v>
      </c>
      <c r="T342" s="2" t="s">
        <v>143</v>
      </c>
      <c r="U342" s="2" t="b">
        <v>0</v>
      </c>
      <c r="V342" s="5">
        <v>0.006</v>
      </c>
      <c r="W342" s="5">
        <v>0.0236</v>
      </c>
      <c r="X342" s="5">
        <v>1.41E-4</v>
      </c>
      <c r="Y342" s="2">
        <v>46.21698113</v>
      </c>
      <c r="AA342" s="2" t="s">
        <v>33</v>
      </c>
    </row>
    <row r="343">
      <c r="A343" s="2">
        <v>1715.0</v>
      </c>
      <c r="B343" s="2" t="s">
        <v>1041</v>
      </c>
      <c r="C343" s="2" t="s">
        <v>7</v>
      </c>
      <c r="D343" s="2" t="s">
        <v>1042</v>
      </c>
      <c r="E343" s="2" t="s">
        <v>1043</v>
      </c>
      <c r="F343" s="6">
        <v>45722.708333333336</v>
      </c>
      <c r="G343" s="2">
        <v>44229.0</v>
      </c>
      <c r="H343" s="2">
        <v>44229.0</v>
      </c>
      <c r="I343" s="2">
        <v>35870.0</v>
      </c>
      <c r="J343" s="2">
        <v>226.0</v>
      </c>
      <c r="K343" s="2">
        <v>182.0</v>
      </c>
      <c r="L343" s="2">
        <v>4.0</v>
      </c>
      <c r="M343" s="4">
        <v>31908.0</v>
      </c>
      <c r="N343" s="2" t="s">
        <v>36</v>
      </c>
      <c r="O343" s="2">
        <v>71.0</v>
      </c>
      <c r="P343" s="2" t="s">
        <v>189</v>
      </c>
      <c r="Q343" s="2" t="s">
        <v>32</v>
      </c>
      <c r="R343" s="2">
        <v>33.0</v>
      </c>
      <c r="T343" s="2" t="s">
        <v>47</v>
      </c>
      <c r="U343" s="2" t="b">
        <v>0</v>
      </c>
      <c r="V343" s="5">
        <v>0.0051</v>
      </c>
      <c r="W343" s="5">
        <v>0.022</v>
      </c>
      <c r="X343" s="5">
        <v>1.12E-4</v>
      </c>
      <c r="Y343" s="2">
        <v>175.3186813</v>
      </c>
      <c r="AA343" s="2" t="s">
        <v>33</v>
      </c>
    </row>
    <row r="344">
      <c r="A344" s="2">
        <v>1714.0</v>
      </c>
      <c r="B344" s="2" t="s">
        <v>1044</v>
      </c>
      <c r="C344" s="2" t="s">
        <v>7</v>
      </c>
      <c r="D344" s="2" t="s">
        <v>1045</v>
      </c>
      <c r="E344" s="2" t="s">
        <v>1046</v>
      </c>
      <c r="F344" s="6">
        <v>45722.708333333336</v>
      </c>
      <c r="G344" s="2">
        <v>57859.0</v>
      </c>
      <c r="H344" s="2">
        <v>57859.0</v>
      </c>
      <c r="I344" s="2">
        <v>49356.0</v>
      </c>
      <c r="J344" s="2">
        <v>288.0</v>
      </c>
      <c r="K344" s="2">
        <v>244.0</v>
      </c>
      <c r="L344" s="2">
        <v>5.0</v>
      </c>
      <c r="M344" s="4">
        <v>24338.0</v>
      </c>
      <c r="N344" s="2" t="s">
        <v>30</v>
      </c>
      <c r="O344" s="2">
        <v>70.0</v>
      </c>
      <c r="P344" s="2" t="s">
        <v>31</v>
      </c>
      <c r="Q344" s="2" t="s">
        <v>32</v>
      </c>
      <c r="R344" s="2">
        <v>33.0</v>
      </c>
      <c r="T344" s="2" t="s">
        <v>47</v>
      </c>
      <c r="U344" s="2" t="b">
        <v>0</v>
      </c>
      <c r="V344" s="5">
        <v>0.0049</v>
      </c>
      <c r="W344" s="5">
        <v>0.0205</v>
      </c>
      <c r="X344" s="5">
        <v>1.01E-4</v>
      </c>
      <c r="Y344" s="2">
        <v>99.74590164</v>
      </c>
      <c r="Z344" s="2">
        <v>5524.0</v>
      </c>
      <c r="AA344" s="2" t="s">
        <v>33</v>
      </c>
    </row>
    <row r="345">
      <c r="A345" s="2">
        <v>1717.0</v>
      </c>
      <c r="B345" s="2" t="s">
        <v>1047</v>
      </c>
      <c r="C345" s="2" t="s">
        <v>7</v>
      </c>
      <c r="D345" s="2" t="s">
        <v>1048</v>
      </c>
      <c r="E345" s="2" t="s">
        <v>1049</v>
      </c>
      <c r="F345" s="6">
        <v>45723.416666666664</v>
      </c>
      <c r="G345" s="2">
        <v>44248.0</v>
      </c>
      <c r="H345" s="2">
        <v>44248.0</v>
      </c>
      <c r="I345" s="2">
        <v>35400.0</v>
      </c>
      <c r="J345" s="2">
        <v>213.0</v>
      </c>
      <c r="K345" s="2">
        <v>180.0</v>
      </c>
      <c r="L345" s="2">
        <v>0.0</v>
      </c>
      <c r="M345" s="2">
        <v>0.0</v>
      </c>
      <c r="N345" s="2" t="s">
        <v>36</v>
      </c>
      <c r="O345" s="2">
        <v>71.0</v>
      </c>
      <c r="P345" s="2" t="s">
        <v>189</v>
      </c>
      <c r="Q345" s="2" t="s">
        <v>32</v>
      </c>
      <c r="R345" s="2">
        <v>33.0</v>
      </c>
      <c r="T345" s="2" t="s">
        <v>1050</v>
      </c>
      <c r="U345" s="2" t="b">
        <v>0</v>
      </c>
      <c r="V345" s="5">
        <v>0.0051</v>
      </c>
      <c r="W345" s="5">
        <v>0.0</v>
      </c>
      <c r="X345" s="5">
        <v>0.0</v>
      </c>
      <c r="Y345" s="2">
        <v>0.0</v>
      </c>
      <c r="AA345" s="2" t="s">
        <v>33</v>
      </c>
    </row>
    <row r="346">
      <c r="A346" s="2">
        <v>1716.0</v>
      </c>
      <c r="B346" s="2" t="s">
        <v>1051</v>
      </c>
      <c r="C346" s="2" t="s">
        <v>7</v>
      </c>
      <c r="D346" s="2" t="s">
        <v>1052</v>
      </c>
      <c r="E346" s="2" t="s">
        <v>1053</v>
      </c>
      <c r="F346" s="6">
        <v>45723.416666666664</v>
      </c>
      <c r="G346" s="2">
        <v>57925.0</v>
      </c>
      <c r="H346" s="2">
        <v>57925.0</v>
      </c>
      <c r="I346" s="2">
        <v>48975.0</v>
      </c>
      <c r="J346" s="2">
        <v>212.0</v>
      </c>
      <c r="K346" s="2">
        <v>192.0</v>
      </c>
      <c r="L346" s="2">
        <v>1.0</v>
      </c>
      <c r="M346" s="4">
        <v>5996.0</v>
      </c>
      <c r="N346" s="2" t="s">
        <v>30</v>
      </c>
      <c r="O346" s="2">
        <v>70.0</v>
      </c>
      <c r="P346" s="2" t="s">
        <v>189</v>
      </c>
      <c r="Q346" s="2" t="s">
        <v>32</v>
      </c>
      <c r="R346" s="2">
        <v>35.0</v>
      </c>
      <c r="U346" s="2" t="b">
        <v>0</v>
      </c>
      <c r="V346" s="5">
        <v>0.0039</v>
      </c>
      <c r="W346" s="5">
        <v>0.0052</v>
      </c>
      <c r="X346" s="5">
        <v>2.0E-5</v>
      </c>
      <c r="Y346" s="2">
        <v>31.22916667</v>
      </c>
      <c r="AA346" s="2" t="s">
        <v>33</v>
      </c>
    </row>
    <row r="347">
      <c r="A347" s="2">
        <v>1719.0</v>
      </c>
      <c r="B347" s="2" t="s">
        <v>1054</v>
      </c>
      <c r="C347" s="2" t="s">
        <v>7</v>
      </c>
      <c r="D347" s="2" t="s">
        <v>1055</v>
      </c>
      <c r="E347" s="2" t="s">
        <v>1056</v>
      </c>
      <c r="F347" s="6">
        <v>45723.625</v>
      </c>
      <c r="G347" s="2">
        <v>44249.0</v>
      </c>
      <c r="H347" s="2">
        <v>44249.0</v>
      </c>
      <c r="I347" s="2">
        <v>35916.0</v>
      </c>
      <c r="J347" s="2">
        <v>280.0</v>
      </c>
      <c r="K347" s="2">
        <v>219.0</v>
      </c>
      <c r="L347" s="2">
        <v>5.0</v>
      </c>
      <c r="M347" s="4">
        <v>40591.0</v>
      </c>
      <c r="N347" s="2" t="s">
        <v>36</v>
      </c>
      <c r="O347" s="2">
        <v>71.0</v>
      </c>
      <c r="P347" s="2" t="s">
        <v>189</v>
      </c>
      <c r="Q347" s="2" t="s">
        <v>32</v>
      </c>
      <c r="R347" s="2">
        <v>23.0</v>
      </c>
      <c r="U347" s="2" t="b">
        <v>0</v>
      </c>
      <c r="V347" s="5">
        <v>0.0061</v>
      </c>
      <c r="W347" s="5">
        <v>0.0228</v>
      </c>
      <c r="X347" s="5">
        <v>1.39E-4</v>
      </c>
      <c r="Y347" s="2">
        <v>185.347032</v>
      </c>
      <c r="AA347" s="2" t="s">
        <v>33</v>
      </c>
    </row>
    <row r="348">
      <c r="A348" s="2">
        <v>1718.0</v>
      </c>
      <c r="B348" s="2" t="s">
        <v>1057</v>
      </c>
      <c r="C348" s="2" t="s">
        <v>7</v>
      </c>
      <c r="D348" s="2" t="s">
        <v>1058</v>
      </c>
      <c r="E348" s="2" t="s">
        <v>1059</v>
      </c>
      <c r="F348" s="6">
        <v>45723.625</v>
      </c>
      <c r="G348" s="2">
        <v>57973.0</v>
      </c>
      <c r="H348" s="2">
        <v>57973.0</v>
      </c>
      <c r="I348" s="2">
        <v>49342.0</v>
      </c>
      <c r="J348" s="2">
        <v>301.0</v>
      </c>
      <c r="K348" s="2">
        <v>247.0</v>
      </c>
      <c r="L348" s="2">
        <v>4.0</v>
      </c>
      <c r="M348" s="4">
        <v>7070.0</v>
      </c>
      <c r="N348" s="2" t="s">
        <v>30</v>
      </c>
      <c r="O348" s="2">
        <v>70.0</v>
      </c>
      <c r="P348" s="2" t="s">
        <v>189</v>
      </c>
      <c r="Q348" s="2" t="s">
        <v>32</v>
      </c>
      <c r="R348" s="2">
        <v>22.0</v>
      </c>
      <c r="U348" s="2" t="b">
        <v>0</v>
      </c>
      <c r="V348" s="5">
        <v>0.005</v>
      </c>
      <c r="W348" s="5">
        <v>0.0162</v>
      </c>
      <c r="X348" s="5">
        <v>8.1E-5</v>
      </c>
      <c r="Y348" s="2">
        <v>28.62348178</v>
      </c>
      <c r="Z348" s="2">
        <v>875.0</v>
      </c>
      <c r="AA348" s="2" t="s">
        <v>33</v>
      </c>
    </row>
    <row r="349">
      <c r="A349" s="2">
        <v>1721.0</v>
      </c>
      <c r="B349" s="2" t="s">
        <v>1060</v>
      </c>
      <c r="C349" s="2" t="s">
        <v>7</v>
      </c>
      <c r="D349" s="2" t="s">
        <v>1061</v>
      </c>
      <c r="E349" s="2" t="s">
        <v>1062</v>
      </c>
      <c r="F349" s="6">
        <v>45723.708333333336</v>
      </c>
      <c r="G349" s="2">
        <v>44257.0</v>
      </c>
      <c r="H349" s="2">
        <v>44257.0</v>
      </c>
      <c r="I349" s="2">
        <v>35880.0</v>
      </c>
      <c r="J349" s="2">
        <v>249.0</v>
      </c>
      <c r="K349" s="2">
        <v>209.0</v>
      </c>
      <c r="L349" s="2">
        <v>3.0</v>
      </c>
      <c r="M349" s="4">
        <v>3969.0</v>
      </c>
      <c r="N349" s="2" t="s">
        <v>36</v>
      </c>
      <c r="O349" s="2">
        <v>71.0</v>
      </c>
      <c r="P349" s="2" t="s">
        <v>189</v>
      </c>
      <c r="Q349" s="2" t="s">
        <v>32</v>
      </c>
      <c r="R349" s="2">
        <v>32.0</v>
      </c>
      <c r="T349" s="2" t="s">
        <v>47</v>
      </c>
      <c r="U349" s="2" t="b">
        <v>0</v>
      </c>
      <c r="V349" s="5">
        <v>0.0058</v>
      </c>
      <c r="W349" s="5">
        <v>0.0144</v>
      </c>
      <c r="X349" s="5">
        <v>8.4E-5</v>
      </c>
      <c r="Y349" s="2">
        <v>18.99043062</v>
      </c>
      <c r="AA349" s="2" t="s">
        <v>33</v>
      </c>
    </row>
    <row r="350">
      <c r="A350" s="2">
        <v>1720.0</v>
      </c>
      <c r="B350" s="2" t="s">
        <v>1063</v>
      </c>
      <c r="C350" s="2" t="s">
        <v>7</v>
      </c>
      <c r="D350" s="2" t="s">
        <v>1064</v>
      </c>
      <c r="E350" s="2" t="s">
        <v>1065</v>
      </c>
      <c r="F350" s="6">
        <v>45723.708333333336</v>
      </c>
      <c r="G350" s="2">
        <v>57986.0</v>
      </c>
      <c r="H350" s="2">
        <v>57986.0</v>
      </c>
      <c r="I350" s="2">
        <v>49364.0</v>
      </c>
      <c r="J350" s="2">
        <v>276.0</v>
      </c>
      <c r="K350" s="2">
        <v>221.0</v>
      </c>
      <c r="L350" s="2">
        <v>2.0</v>
      </c>
      <c r="M350" s="4">
        <v>3753.0</v>
      </c>
      <c r="N350" s="2" t="s">
        <v>30</v>
      </c>
      <c r="O350" s="2">
        <v>70.0</v>
      </c>
      <c r="P350" s="2" t="s">
        <v>189</v>
      </c>
      <c r="Q350" s="2" t="s">
        <v>32</v>
      </c>
      <c r="R350" s="2">
        <v>28.0</v>
      </c>
      <c r="T350" s="2" t="s">
        <v>47</v>
      </c>
      <c r="U350" s="2" t="b">
        <v>0</v>
      </c>
      <c r="V350" s="5">
        <v>0.0045</v>
      </c>
      <c r="W350" s="5">
        <v>0.009</v>
      </c>
      <c r="X350" s="5">
        <v>4.1E-5</v>
      </c>
      <c r="Y350" s="2">
        <v>16.98190045</v>
      </c>
      <c r="AA350" s="2" t="s">
        <v>33</v>
      </c>
    </row>
    <row r="351">
      <c r="A351" s="2">
        <v>1723.0</v>
      </c>
      <c r="B351" s="2" t="s">
        <v>1066</v>
      </c>
      <c r="C351" s="2" t="s">
        <v>7</v>
      </c>
      <c r="D351" s="2" t="s">
        <v>1067</v>
      </c>
      <c r="E351" s="2" t="s">
        <v>1068</v>
      </c>
      <c r="F351" s="6">
        <v>45724.458333333336</v>
      </c>
      <c r="G351" s="2">
        <v>44294.0</v>
      </c>
      <c r="H351" s="2">
        <v>44294.0</v>
      </c>
      <c r="I351" s="2">
        <v>35578.0</v>
      </c>
      <c r="J351" s="2">
        <v>282.0</v>
      </c>
      <c r="K351" s="2">
        <v>237.0</v>
      </c>
      <c r="L351" s="2">
        <v>6.0</v>
      </c>
      <c r="M351" s="4">
        <v>31599.0</v>
      </c>
      <c r="N351" s="2" t="s">
        <v>36</v>
      </c>
      <c r="O351" s="2">
        <v>71.0</v>
      </c>
      <c r="P351" s="2" t="s">
        <v>189</v>
      </c>
      <c r="Q351" s="2" t="s">
        <v>32</v>
      </c>
      <c r="R351" s="2">
        <v>47.0</v>
      </c>
      <c r="T351" s="2" t="s">
        <v>47</v>
      </c>
      <c r="U351" s="2" t="b">
        <v>0</v>
      </c>
      <c r="V351" s="5">
        <v>0.0067</v>
      </c>
      <c r="W351" s="5">
        <v>0.0253</v>
      </c>
      <c r="X351" s="5">
        <v>1.69E-4</v>
      </c>
      <c r="Y351" s="2">
        <v>133.3291139</v>
      </c>
      <c r="AA351" s="2" t="s">
        <v>33</v>
      </c>
    </row>
    <row r="352">
      <c r="A352" s="2">
        <v>1722.0</v>
      </c>
      <c r="B352" s="2" t="s">
        <v>1069</v>
      </c>
      <c r="C352" s="2" t="s">
        <v>7</v>
      </c>
      <c r="D352" s="2" t="s">
        <v>1070</v>
      </c>
      <c r="E352" s="2" t="s">
        <v>1071</v>
      </c>
      <c r="F352" s="6">
        <v>45724.458333333336</v>
      </c>
      <c r="G352" s="2">
        <v>58047.0</v>
      </c>
      <c r="H352" s="2">
        <v>58047.0</v>
      </c>
      <c r="I352" s="2">
        <v>49100.0</v>
      </c>
      <c r="J352" s="2">
        <v>304.0</v>
      </c>
      <c r="K352" s="2">
        <v>268.0</v>
      </c>
      <c r="L352" s="2">
        <v>5.0</v>
      </c>
      <c r="M352" s="4">
        <v>9694.0</v>
      </c>
      <c r="N352" s="2" t="s">
        <v>30</v>
      </c>
      <c r="O352" s="2">
        <v>70.0</v>
      </c>
      <c r="P352" s="2" t="s">
        <v>189</v>
      </c>
      <c r="Q352" s="2" t="s">
        <v>32</v>
      </c>
      <c r="R352" s="2">
        <v>37.0</v>
      </c>
      <c r="T352" s="2" t="s">
        <v>47</v>
      </c>
      <c r="U352" s="2" t="b">
        <v>0</v>
      </c>
      <c r="V352" s="5">
        <v>0.0055</v>
      </c>
      <c r="W352" s="5">
        <v>0.0187</v>
      </c>
      <c r="X352" s="5">
        <v>1.02E-4</v>
      </c>
      <c r="Y352" s="2">
        <v>36.17164179</v>
      </c>
      <c r="AA352" s="2" t="s">
        <v>33</v>
      </c>
    </row>
    <row r="353">
      <c r="A353" s="2">
        <v>1725.0</v>
      </c>
      <c r="B353" s="2" t="s">
        <v>1072</v>
      </c>
      <c r="C353" s="2" t="s">
        <v>7</v>
      </c>
      <c r="D353" s="2" t="s">
        <v>1073</v>
      </c>
      <c r="E353" s="2" t="s">
        <v>1074</v>
      </c>
      <c r="F353" s="6">
        <v>45724.541666666664</v>
      </c>
      <c r="G353" s="2">
        <v>44273.0</v>
      </c>
      <c r="H353" s="2">
        <v>44273.0</v>
      </c>
      <c r="I353" s="2">
        <v>35724.0</v>
      </c>
      <c r="J353" s="2">
        <v>253.0</v>
      </c>
      <c r="K353" s="2">
        <v>199.0</v>
      </c>
      <c r="L353" s="2">
        <v>5.0</v>
      </c>
      <c r="M353" s="4">
        <v>21178.0</v>
      </c>
      <c r="N353" s="2" t="s">
        <v>36</v>
      </c>
      <c r="O353" s="2">
        <v>71.0</v>
      </c>
      <c r="P353" s="2" t="s">
        <v>189</v>
      </c>
      <c r="Q353" s="2" t="s">
        <v>32</v>
      </c>
      <c r="R353" s="2">
        <v>35.0</v>
      </c>
      <c r="U353" s="2" t="b">
        <v>0</v>
      </c>
      <c r="V353" s="5">
        <v>0.0056</v>
      </c>
      <c r="W353" s="5">
        <v>0.0251</v>
      </c>
      <c r="X353" s="5">
        <v>1.4E-4</v>
      </c>
      <c r="Y353" s="2">
        <v>106.4221106</v>
      </c>
      <c r="AA353" s="2" t="s">
        <v>33</v>
      </c>
    </row>
    <row r="354">
      <c r="A354" s="2">
        <v>1724.0</v>
      </c>
      <c r="B354" s="2" t="s">
        <v>1075</v>
      </c>
      <c r="C354" s="2" t="s">
        <v>7</v>
      </c>
      <c r="D354" s="2" t="s">
        <v>1076</v>
      </c>
      <c r="E354" s="2" t="s">
        <v>1077</v>
      </c>
      <c r="F354" s="6">
        <v>45724.541666666664</v>
      </c>
      <c r="G354" s="2">
        <v>58037.0</v>
      </c>
      <c r="H354" s="2">
        <v>58037.0</v>
      </c>
      <c r="I354" s="2">
        <v>49245.0</v>
      </c>
      <c r="J354" s="2">
        <v>313.0</v>
      </c>
      <c r="K354" s="2">
        <v>249.0</v>
      </c>
      <c r="L354" s="2">
        <v>2.0</v>
      </c>
      <c r="M354" s="4">
        <v>5900.0</v>
      </c>
      <c r="N354" s="2" t="s">
        <v>30</v>
      </c>
      <c r="O354" s="2">
        <v>70.0</v>
      </c>
      <c r="P354" s="2" t="s">
        <v>189</v>
      </c>
      <c r="Q354" s="2" t="s">
        <v>32</v>
      </c>
      <c r="R354" s="2">
        <v>34.0</v>
      </c>
      <c r="T354" s="2" t="s">
        <v>47</v>
      </c>
      <c r="U354" s="2" t="b">
        <v>0</v>
      </c>
      <c r="V354" s="5">
        <v>0.0051</v>
      </c>
      <c r="W354" s="5">
        <v>0.008</v>
      </c>
      <c r="X354" s="5">
        <v>4.1E-5</v>
      </c>
      <c r="Y354" s="2">
        <v>23.69477912</v>
      </c>
      <c r="AA354" s="2" t="s">
        <v>33</v>
      </c>
    </row>
    <row r="355">
      <c r="A355" s="2">
        <v>1727.0</v>
      </c>
      <c r="B355" s="2" t="s">
        <v>1078</v>
      </c>
      <c r="C355" s="2" t="s">
        <v>7</v>
      </c>
      <c r="D355" s="2" t="s">
        <v>1079</v>
      </c>
      <c r="E355" s="2" t="s">
        <v>1080</v>
      </c>
      <c r="F355" s="6">
        <v>45724.625</v>
      </c>
      <c r="G355" s="2">
        <v>44302.0</v>
      </c>
      <c r="H355" s="2">
        <v>44302.0</v>
      </c>
      <c r="I355" s="2">
        <v>35854.0</v>
      </c>
      <c r="J355" s="2">
        <v>263.0</v>
      </c>
      <c r="K355" s="2">
        <v>230.0</v>
      </c>
      <c r="L355" s="2">
        <v>1.0</v>
      </c>
      <c r="M355" s="4">
        <v>3960.0</v>
      </c>
      <c r="N355" s="2" t="s">
        <v>36</v>
      </c>
      <c r="O355" s="2">
        <v>71.0</v>
      </c>
      <c r="P355" s="2" t="s">
        <v>31</v>
      </c>
      <c r="Q355" s="2" t="s">
        <v>32</v>
      </c>
      <c r="R355" s="2">
        <v>37.0</v>
      </c>
      <c r="T355" s="2" t="s">
        <v>47</v>
      </c>
      <c r="U355" s="2" t="b">
        <v>0</v>
      </c>
      <c r="V355" s="5">
        <v>0.0064</v>
      </c>
      <c r="W355" s="5">
        <v>0.0043</v>
      </c>
      <c r="X355" s="5">
        <v>2.8E-5</v>
      </c>
      <c r="Y355" s="2">
        <v>17.2173913</v>
      </c>
      <c r="AA355" s="2" t="s">
        <v>33</v>
      </c>
    </row>
    <row r="356">
      <c r="A356" s="2">
        <v>1726.0</v>
      </c>
      <c r="B356" s="2" t="s">
        <v>1081</v>
      </c>
      <c r="C356" s="2" t="s">
        <v>7</v>
      </c>
      <c r="D356" s="2" t="s">
        <v>1082</v>
      </c>
      <c r="E356" s="2" t="s">
        <v>1083</v>
      </c>
      <c r="F356" s="6">
        <v>45724.625</v>
      </c>
      <c r="G356" s="2">
        <v>58077.0</v>
      </c>
      <c r="H356" s="2">
        <v>58077.0</v>
      </c>
      <c r="I356" s="2">
        <v>49293.0</v>
      </c>
      <c r="J356" s="2">
        <v>397.0</v>
      </c>
      <c r="K356" s="2">
        <v>336.0</v>
      </c>
      <c r="L356" s="2">
        <v>8.0</v>
      </c>
      <c r="M356" s="4">
        <v>19277.0</v>
      </c>
      <c r="N356" s="2" t="s">
        <v>30</v>
      </c>
      <c r="O356" s="2">
        <v>70.0</v>
      </c>
      <c r="P356" s="2" t="s">
        <v>31</v>
      </c>
      <c r="Q356" s="2" t="s">
        <v>32</v>
      </c>
      <c r="R356" s="2">
        <v>34.0</v>
      </c>
      <c r="T356" s="2" t="s">
        <v>47</v>
      </c>
      <c r="U356" s="2" t="b">
        <v>0</v>
      </c>
      <c r="V356" s="5">
        <v>0.0068</v>
      </c>
      <c r="W356" s="5">
        <v>0.0238</v>
      </c>
      <c r="X356" s="5">
        <v>1.62E-4</v>
      </c>
      <c r="Y356" s="2">
        <v>57.37202381</v>
      </c>
      <c r="Z356" s="2" t="s">
        <v>1084</v>
      </c>
      <c r="AA356" s="2" t="s">
        <v>33</v>
      </c>
    </row>
    <row r="357">
      <c r="A357" s="2">
        <v>1734.0</v>
      </c>
      <c r="B357" s="2" t="s">
        <v>1085</v>
      </c>
      <c r="C357" s="2" t="s">
        <v>7</v>
      </c>
      <c r="D357" s="2" t="s">
        <v>1086</v>
      </c>
      <c r="E357" s="2" t="s">
        <v>1087</v>
      </c>
      <c r="F357" s="6">
        <v>45725.37013888889</v>
      </c>
      <c r="G357" s="2">
        <v>56833.0</v>
      </c>
      <c r="H357" s="2">
        <v>56833.0</v>
      </c>
      <c r="I357" s="2">
        <v>47174.0</v>
      </c>
      <c r="J357" s="2">
        <v>316.0</v>
      </c>
      <c r="K357" s="2">
        <v>273.0</v>
      </c>
      <c r="L357" s="2">
        <v>2.0</v>
      </c>
      <c r="M357" s="4">
        <v>2745.0</v>
      </c>
      <c r="N357" s="2" t="s">
        <v>30</v>
      </c>
      <c r="O357" s="2">
        <v>70.0</v>
      </c>
      <c r="P357" s="2" t="s">
        <v>189</v>
      </c>
      <c r="Q357" s="2" t="s">
        <v>32</v>
      </c>
      <c r="R357" s="2">
        <v>41.0</v>
      </c>
      <c r="T357" s="2" t="s">
        <v>47</v>
      </c>
      <c r="U357" s="2" t="b">
        <v>0</v>
      </c>
      <c r="V357" s="5">
        <v>0.0058</v>
      </c>
      <c r="W357" s="5">
        <v>0.0073</v>
      </c>
      <c r="X357" s="5">
        <v>4.2E-5</v>
      </c>
      <c r="Y357" s="2">
        <v>10.05494505</v>
      </c>
      <c r="AA357" s="2" t="s">
        <v>33</v>
      </c>
    </row>
    <row r="358">
      <c r="A358" s="2">
        <v>1735.0</v>
      </c>
      <c r="B358" s="2" t="s">
        <v>1088</v>
      </c>
      <c r="C358" s="2" t="s">
        <v>7</v>
      </c>
      <c r="D358" s="2" t="s">
        <v>1089</v>
      </c>
      <c r="E358" s="2" t="s">
        <v>1090</v>
      </c>
      <c r="F358" s="6">
        <v>45725.37222222222</v>
      </c>
      <c r="G358" s="2">
        <v>43622.0</v>
      </c>
      <c r="H358" s="2">
        <v>43622.0</v>
      </c>
      <c r="I358" s="2">
        <v>34512.0</v>
      </c>
      <c r="J358" s="2">
        <v>271.0</v>
      </c>
      <c r="K358" s="2">
        <v>233.0</v>
      </c>
      <c r="L358" s="2">
        <v>4.0</v>
      </c>
      <c r="M358" s="4">
        <v>18995.0</v>
      </c>
      <c r="N358" s="2" t="s">
        <v>36</v>
      </c>
      <c r="O358" s="2">
        <v>71.0</v>
      </c>
      <c r="P358" s="2" t="s">
        <v>31</v>
      </c>
      <c r="Q358" s="2" t="s">
        <v>32</v>
      </c>
      <c r="R358" s="2">
        <v>40.0</v>
      </c>
      <c r="T358" s="2" t="s">
        <v>47</v>
      </c>
      <c r="U358" s="2" t="b">
        <v>0</v>
      </c>
      <c r="V358" s="5">
        <v>0.0068</v>
      </c>
      <c r="W358" s="5">
        <v>0.0172</v>
      </c>
      <c r="X358" s="5">
        <v>1.16E-4</v>
      </c>
      <c r="Y358" s="2">
        <v>81.52360515</v>
      </c>
      <c r="AA358" s="2" t="s">
        <v>33</v>
      </c>
    </row>
    <row r="359">
      <c r="A359" s="2">
        <v>1729.0</v>
      </c>
      <c r="B359" s="2" t="s">
        <v>1091</v>
      </c>
      <c r="C359" s="2" t="s">
        <v>7</v>
      </c>
      <c r="D359" s="2" t="s">
        <v>1092</v>
      </c>
      <c r="E359" s="2" t="s">
        <v>1093</v>
      </c>
      <c r="F359" s="6">
        <v>45725.458333333336</v>
      </c>
      <c r="G359" s="2">
        <v>44295.0</v>
      </c>
      <c r="H359" s="2">
        <v>44295.0</v>
      </c>
      <c r="I359" s="2">
        <v>35525.0</v>
      </c>
      <c r="J359" s="2">
        <v>214.0</v>
      </c>
      <c r="K359" s="2">
        <v>184.0</v>
      </c>
      <c r="L359" s="2">
        <v>5.0</v>
      </c>
      <c r="M359" s="4">
        <v>11639.0</v>
      </c>
      <c r="N359" s="2" t="s">
        <v>36</v>
      </c>
      <c r="O359" s="2">
        <v>71.0</v>
      </c>
      <c r="P359" s="2" t="s">
        <v>31</v>
      </c>
      <c r="Q359" s="2" t="s">
        <v>32</v>
      </c>
      <c r="R359" s="2">
        <v>35.0</v>
      </c>
      <c r="T359" s="2" t="s">
        <v>47</v>
      </c>
      <c r="U359" s="2" t="b">
        <v>0</v>
      </c>
      <c r="V359" s="5">
        <v>0.0052</v>
      </c>
      <c r="W359" s="5">
        <v>0.0272</v>
      </c>
      <c r="X359" s="5">
        <v>1.41E-4</v>
      </c>
      <c r="Y359" s="2">
        <v>63.25543478</v>
      </c>
      <c r="AA359" s="2" t="s">
        <v>33</v>
      </c>
    </row>
    <row r="360">
      <c r="A360" s="2">
        <v>1728.0</v>
      </c>
      <c r="B360" s="2" t="s">
        <v>1094</v>
      </c>
      <c r="C360" s="2" t="s">
        <v>7</v>
      </c>
      <c r="D360" s="2" t="s">
        <v>1095</v>
      </c>
      <c r="E360" s="2" t="s">
        <v>1096</v>
      </c>
      <c r="F360" s="6">
        <v>45725.458333333336</v>
      </c>
      <c r="G360" s="2">
        <v>58122.0</v>
      </c>
      <c r="H360" s="2">
        <v>58122.0</v>
      </c>
      <c r="I360" s="2">
        <v>49058.0</v>
      </c>
      <c r="J360" s="2">
        <v>271.0</v>
      </c>
      <c r="K360" s="2">
        <v>233.0</v>
      </c>
      <c r="L360" s="2">
        <v>5.0</v>
      </c>
      <c r="M360" s="4">
        <v>12814.0</v>
      </c>
      <c r="N360" s="2" t="s">
        <v>30</v>
      </c>
      <c r="O360" s="2">
        <v>70.0</v>
      </c>
      <c r="P360" s="2" t="s">
        <v>189</v>
      </c>
      <c r="Q360" s="2" t="s">
        <v>32</v>
      </c>
      <c r="R360" s="2">
        <v>29.0</v>
      </c>
      <c r="U360" s="2" t="b">
        <v>0</v>
      </c>
      <c r="V360" s="5">
        <v>0.0047</v>
      </c>
      <c r="W360" s="5">
        <v>0.0215</v>
      </c>
      <c r="X360" s="5">
        <v>1.02E-4</v>
      </c>
      <c r="Y360" s="2">
        <v>54.99570815</v>
      </c>
      <c r="Z360" s="2">
        <v>4633.0</v>
      </c>
      <c r="AA360" s="2" t="s">
        <v>33</v>
      </c>
    </row>
    <row r="361">
      <c r="A361" s="2">
        <v>1731.0</v>
      </c>
      <c r="B361" s="2" t="s">
        <v>1097</v>
      </c>
      <c r="C361" s="2" t="s">
        <v>7</v>
      </c>
      <c r="D361" s="2" t="s">
        <v>1098</v>
      </c>
      <c r="E361" s="2" t="s">
        <v>1099</v>
      </c>
      <c r="F361" s="6">
        <v>45725.541666666664</v>
      </c>
      <c r="G361" s="2">
        <v>44313.0</v>
      </c>
      <c r="H361" s="2">
        <v>44313.0</v>
      </c>
      <c r="I361" s="2">
        <v>35758.0</v>
      </c>
      <c r="J361" s="2">
        <v>253.0</v>
      </c>
      <c r="K361" s="2">
        <v>206.0</v>
      </c>
      <c r="L361" s="2">
        <v>0.0</v>
      </c>
      <c r="M361" s="2">
        <v>0.0</v>
      </c>
      <c r="N361" s="2" t="s">
        <v>36</v>
      </c>
      <c r="O361" s="2">
        <v>71.0</v>
      </c>
      <c r="P361" s="2" t="s">
        <v>189</v>
      </c>
      <c r="Q361" s="2" t="s">
        <v>32</v>
      </c>
      <c r="R361" s="2">
        <v>26.0</v>
      </c>
      <c r="U361" s="2" t="b">
        <v>0</v>
      </c>
      <c r="V361" s="5">
        <v>0.0058</v>
      </c>
      <c r="W361" s="5">
        <v>0.0</v>
      </c>
      <c r="X361" s="5">
        <v>0.0</v>
      </c>
      <c r="Y361" s="2">
        <v>0.0</v>
      </c>
      <c r="AA361" s="2" t="s">
        <v>33</v>
      </c>
    </row>
    <row r="362">
      <c r="A362" s="2">
        <v>1730.0</v>
      </c>
      <c r="B362" s="2" t="s">
        <v>1100</v>
      </c>
      <c r="C362" s="2" t="s">
        <v>7</v>
      </c>
      <c r="D362" s="2" t="s">
        <v>1101</v>
      </c>
      <c r="E362" s="2" t="s">
        <v>1102</v>
      </c>
      <c r="F362" s="6">
        <v>45725.541666666664</v>
      </c>
      <c r="G362" s="2">
        <v>58169.0</v>
      </c>
      <c r="H362" s="2">
        <v>58169.0</v>
      </c>
      <c r="I362" s="2">
        <v>49346.0</v>
      </c>
      <c r="J362" s="2">
        <v>234.0</v>
      </c>
      <c r="K362" s="2">
        <v>206.0</v>
      </c>
      <c r="L362" s="2">
        <v>2.0</v>
      </c>
      <c r="M362" s="4">
        <v>7120.0</v>
      </c>
      <c r="N362" s="2" t="s">
        <v>30</v>
      </c>
      <c r="O362" s="2">
        <v>70.0</v>
      </c>
      <c r="P362" s="2" t="s">
        <v>189</v>
      </c>
      <c r="Q362" s="2" t="s">
        <v>32</v>
      </c>
      <c r="R362" s="2">
        <v>25.0</v>
      </c>
      <c r="T362" s="2" t="s">
        <v>47</v>
      </c>
      <c r="U362" s="2" t="b">
        <v>0</v>
      </c>
      <c r="V362" s="5">
        <v>0.0042</v>
      </c>
      <c r="W362" s="5">
        <v>0.0097</v>
      </c>
      <c r="X362" s="5">
        <v>4.1E-5</v>
      </c>
      <c r="Y362" s="2">
        <v>34.5631068</v>
      </c>
      <c r="Z362" s="2" t="s">
        <v>1103</v>
      </c>
      <c r="AA362" s="2" t="s">
        <v>33</v>
      </c>
    </row>
    <row r="363">
      <c r="A363" s="2">
        <v>1737.0</v>
      </c>
      <c r="B363" s="2" t="s">
        <v>1104</v>
      </c>
      <c r="C363" s="2" t="s">
        <v>7</v>
      </c>
      <c r="D363" s="2" t="s">
        <v>1105</v>
      </c>
      <c r="E363" s="2" t="s">
        <v>1106</v>
      </c>
      <c r="F363" s="6">
        <v>45725.625</v>
      </c>
      <c r="G363" s="2">
        <v>44328.0</v>
      </c>
      <c r="H363" s="2">
        <v>44328.0</v>
      </c>
      <c r="I363" s="2">
        <v>35786.0</v>
      </c>
      <c r="J363" s="2">
        <v>255.0</v>
      </c>
      <c r="K363" s="2">
        <v>222.0</v>
      </c>
      <c r="L363" s="2">
        <v>3.0</v>
      </c>
      <c r="M363" s="4">
        <v>12928.0</v>
      </c>
      <c r="N363" s="2" t="s">
        <v>36</v>
      </c>
      <c r="O363" s="2">
        <v>71.0</v>
      </c>
      <c r="P363" s="2" t="s">
        <v>189</v>
      </c>
      <c r="Q363" s="2" t="s">
        <v>32</v>
      </c>
      <c r="R363" s="2">
        <v>33.0</v>
      </c>
      <c r="T363" s="2" t="s">
        <v>47</v>
      </c>
      <c r="U363" s="2" t="b">
        <v>0</v>
      </c>
      <c r="V363" s="5">
        <v>0.0062</v>
      </c>
      <c r="W363" s="5">
        <v>0.0135</v>
      </c>
      <c r="X363" s="5">
        <v>8.4E-5</v>
      </c>
      <c r="Y363" s="2">
        <v>58.23423423</v>
      </c>
      <c r="AA363" s="2" t="s">
        <v>33</v>
      </c>
    </row>
    <row r="364">
      <c r="A364" s="2">
        <v>1736.0</v>
      </c>
      <c r="B364" s="2" t="s">
        <v>1107</v>
      </c>
      <c r="C364" s="2" t="s">
        <v>7</v>
      </c>
      <c r="D364" s="2" t="s">
        <v>1105</v>
      </c>
      <c r="E364" s="2" t="s">
        <v>1108</v>
      </c>
      <c r="F364" s="6">
        <v>45725.625</v>
      </c>
      <c r="G364" s="2">
        <v>58204.0</v>
      </c>
      <c r="H364" s="2">
        <v>58204.0</v>
      </c>
      <c r="I364" s="2">
        <v>49334.0</v>
      </c>
      <c r="J364" s="2">
        <v>288.0</v>
      </c>
      <c r="K364" s="2">
        <v>252.0</v>
      </c>
      <c r="L364" s="2">
        <v>5.0</v>
      </c>
      <c r="M364" s="4">
        <v>21919.0</v>
      </c>
      <c r="N364" s="2" t="s">
        <v>30</v>
      </c>
      <c r="O364" s="2">
        <v>70.0</v>
      </c>
      <c r="P364" s="2" t="s">
        <v>189</v>
      </c>
      <c r="Q364" s="2" t="s">
        <v>32</v>
      </c>
      <c r="R364" s="2">
        <v>33.0</v>
      </c>
      <c r="U364" s="2" t="b">
        <v>0</v>
      </c>
      <c r="V364" s="5">
        <v>0.0051</v>
      </c>
      <c r="W364" s="5">
        <v>0.0198</v>
      </c>
      <c r="X364" s="5">
        <v>1.01E-4</v>
      </c>
      <c r="Y364" s="2">
        <v>86.98015873</v>
      </c>
      <c r="Z364" s="2" t="s">
        <v>182</v>
      </c>
      <c r="AA364" s="2" t="s">
        <v>33</v>
      </c>
    </row>
    <row r="365">
      <c r="A365" s="2">
        <v>1733.0</v>
      </c>
      <c r="B365" s="2" t="s">
        <v>1109</v>
      </c>
      <c r="C365" s="2" t="s">
        <v>7</v>
      </c>
      <c r="D365" s="2" t="s">
        <v>439</v>
      </c>
      <c r="E365" s="2" t="s">
        <v>1110</v>
      </c>
      <c r="F365" s="6">
        <v>45726.375</v>
      </c>
      <c r="G365" s="2">
        <v>44271.0</v>
      </c>
      <c r="H365" s="2">
        <v>44271.0</v>
      </c>
      <c r="I365" s="2">
        <v>35325.0</v>
      </c>
      <c r="J365" s="2">
        <v>280.0</v>
      </c>
      <c r="K365" s="2">
        <v>230.0</v>
      </c>
      <c r="L365" s="2">
        <v>2.0</v>
      </c>
      <c r="M365" s="4">
        <v>15190.0</v>
      </c>
      <c r="N365" s="2" t="s">
        <v>36</v>
      </c>
      <c r="O365" s="2">
        <v>71.0</v>
      </c>
      <c r="P365" s="2" t="s">
        <v>189</v>
      </c>
      <c r="Q365" s="2" t="s">
        <v>32</v>
      </c>
      <c r="R365" s="2">
        <v>28.0</v>
      </c>
      <c r="U365" s="2" t="b">
        <v>0</v>
      </c>
      <c r="V365" s="5">
        <v>0.0065</v>
      </c>
      <c r="W365" s="5">
        <v>0.0087</v>
      </c>
      <c r="X365" s="5">
        <v>5.7E-5</v>
      </c>
      <c r="Y365" s="2">
        <v>66.04347826</v>
      </c>
      <c r="AA365" s="2" t="s">
        <v>33</v>
      </c>
    </row>
    <row r="366">
      <c r="A366" s="2">
        <v>1732.0</v>
      </c>
      <c r="B366" s="2" t="s">
        <v>1111</v>
      </c>
      <c r="C366" s="2" t="s">
        <v>7</v>
      </c>
      <c r="D366" s="2" t="s">
        <v>187</v>
      </c>
      <c r="E366" s="2" t="s">
        <v>1112</v>
      </c>
      <c r="F366" s="6">
        <v>45726.375</v>
      </c>
      <c r="G366" s="2">
        <v>58280.0</v>
      </c>
      <c r="H366" s="2">
        <v>58280.0</v>
      </c>
      <c r="I366" s="2">
        <v>49045.0</v>
      </c>
      <c r="J366" s="2">
        <v>335.0</v>
      </c>
      <c r="K366" s="2">
        <v>276.0</v>
      </c>
      <c r="L366" s="2">
        <v>5.0</v>
      </c>
      <c r="M366" s="4">
        <v>23463.0</v>
      </c>
      <c r="N366" s="2" t="s">
        <v>30</v>
      </c>
      <c r="O366" s="2">
        <v>70.0</v>
      </c>
      <c r="P366" s="2" t="s">
        <v>189</v>
      </c>
      <c r="Q366" s="2" t="s">
        <v>32</v>
      </c>
      <c r="R366" s="2">
        <v>28.0</v>
      </c>
      <c r="T366" s="2" t="s">
        <v>47</v>
      </c>
      <c r="U366" s="2" t="b">
        <v>0</v>
      </c>
      <c r="V366" s="5">
        <v>0.0056</v>
      </c>
      <c r="W366" s="5">
        <v>0.0181</v>
      </c>
      <c r="X366" s="5">
        <v>1.02E-4</v>
      </c>
      <c r="Y366" s="2">
        <v>85.01086957</v>
      </c>
      <c r="Z366" s="2" t="s">
        <v>182</v>
      </c>
      <c r="AA366" s="2" t="s">
        <v>33</v>
      </c>
    </row>
    <row r="367">
      <c r="A367" s="2">
        <v>1739.0</v>
      </c>
      <c r="B367" s="2" t="s">
        <v>1113</v>
      </c>
      <c r="C367" s="2" t="s">
        <v>7</v>
      </c>
      <c r="D367" s="2" t="s">
        <v>1114</v>
      </c>
      <c r="F367" s="6">
        <v>45726.625</v>
      </c>
      <c r="G367" s="2">
        <v>781.0</v>
      </c>
      <c r="H367" s="2">
        <v>781.0</v>
      </c>
      <c r="I367" s="2">
        <v>683.0</v>
      </c>
      <c r="J367" s="2">
        <v>5.0</v>
      </c>
      <c r="K367" s="2">
        <v>4.0</v>
      </c>
      <c r="L367" s="2">
        <v>0.0</v>
      </c>
      <c r="M367" s="2">
        <v>0.0</v>
      </c>
      <c r="N367" s="2" t="s">
        <v>1115</v>
      </c>
      <c r="O367" s="2">
        <v>85.0</v>
      </c>
      <c r="P367" s="2" t="s">
        <v>31</v>
      </c>
      <c r="Q367" s="2" t="s">
        <v>32</v>
      </c>
      <c r="R367" s="2">
        <v>36.0</v>
      </c>
      <c r="T367" s="7" t="str">
        <f>IFERROR(__xludf.DUMMYFUNCTION("AI(""has offer Come X Pay X"",D367)"),"Come to X and experience the creator offers, where you can get paid based on engagement from X Premium users.")</f>
        <v>Come to X and experience the creator offers, where you can get paid based on engagement from X Premium users.</v>
      </c>
      <c r="U367" s="2" t="b">
        <v>0</v>
      </c>
      <c r="V367" s="5">
        <v>0.0059</v>
      </c>
      <c r="W367" s="5">
        <v>0.0</v>
      </c>
      <c r="X367" s="5">
        <v>0.0</v>
      </c>
      <c r="Y367" s="2">
        <v>0.0</v>
      </c>
      <c r="AA367" s="2" t="s">
        <v>33</v>
      </c>
    </row>
    <row r="368">
      <c r="A368" s="2">
        <v>1738.0</v>
      </c>
      <c r="B368" s="2" t="s">
        <v>1116</v>
      </c>
      <c r="C368" s="2" t="s">
        <v>7</v>
      </c>
      <c r="D368" s="2" t="s">
        <v>1117</v>
      </c>
      <c r="F368" s="6">
        <v>45726.625</v>
      </c>
      <c r="G368" s="2">
        <v>1411.0</v>
      </c>
      <c r="H368" s="2">
        <v>1411.0</v>
      </c>
      <c r="I368" s="2">
        <v>1231.0</v>
      </c>
      <c r="J368" s="2">
        <v>15.0</v>
      </c>
      <c r="K368" s="2">
        <v>13.0</v>
      </c>
      <c r="L368" s="2">
        <v>1.0</v>
      </c>
      <c r="M368" s="4">
        <v>3395.0</v>
      </c>
      <c r="N368" s="2" t="s">
        <v>1118</v>
      </c>
      <c r="O368" s="2">
        <v>84.0</v>
      </c>
      <c r="P368" s="2" t="s">
        <v>189</v>
      </c>
      <c r="Q368" s="2" t="s">
        <v>32</v>
      </c>
      <c r="R368" s="2">
        <v>30.0</v>
      </c>
      <c r="U368" s="2" t="b">
        <v>0</v>
      </c>
      <c r="V368" s="5">
        <v>0.0106</v>
      </c>
      <c r="W368" s="5">
        <v>0.0769</v>
      </c>
      <c r="X368" s="5">
        <v>8.12E-4</v>
      </c>
      <c r="Y368" s="2">
        <v>261.1538462</v>
      </c>
      <c r="AA368" s="2" t="s">
        <v>33</v>
      </c>
    </row>
    <row r="369">
      <c r="A369" s="2">
        <v>1740.0</v>
      </c>
      <c r="B369" s="2" t="s">
        <v>1119</v>
      </c>
      <c r="C369" s="2" t="s">
        <v>7</v>
      </c>
      <c r="D369" s="2" t="s">
        <v>1120</v>
      </c>
      <c r="F369" s="6">
        <v>45726.62847222222</v>
      </c>
      <c r="G369" s="2">
        <v>1310.0</v>
      </c>
      <c r="H369" s="2">
        <v>1310.0</v>
      </c>
      <c r="I369" s="2">
        <v>1174.0</v>
      </c>
      <c r="J369" s="2">
        <v>24.0</v>
      </c>
      <c r="K369" s="2">
        <v>23.0</v>
      </c>
      <c r="L369" s="2">
        <v>3.0</v>
      </c>
      <c r="M369" s="4">
        <v>1948.0</v>
      </c>
      <c r="N369" s="2" t="s">
        <v>1121</v>
      </c>
      <c r="O369" s="2">
        <v>108.0</v>
      </c>
      <c r="P369" s="2" t="s">
        <v>189</v>
      </c>
      <c r="Q369" s="2" t="s">
        <v>32</v>
      </c>
      <c r="R369" s="2">
        <v>30.0</v>
      </c>
      <c r="T369" s="2" t="s">
        <v>47</v>
      </c>
      <c r="U369" s="2" t="b">
        <v>0</v>
      </c>
      <c r="V369" s="5">
        <v>0.0196</v>
      </c>
      <c r="W369" s="5">
        <v>0.1304</v>
      </c>
      <c r="X369" s="5">
        <v>0.002555</v>
      </c>
      <c r="Y369" s="2">
        <v>84.69565217</v>
      </c>
      <c r="AA369" s="2" t="s">
        <v>33</v>
      </c>
    </row>
    <row r="370">
      <c r="A370" s="2">
        <v>1741.0</v>
      </c>
      <c r="B370" s="2" t="s">
        <v>1122</v>
      </c>
      <c r="C370" s="2" t="s">
        <v>7</v>
      </c>
      <c r="D370" s="2" t="s">
        <v>1123</v>
      </c>
      <c r="F370" s="6">
        <v>45726.631944444445</v>
      </c>
      <c r="G370" s="2">
        <v>695.0</v>
      </c>
      <c r="H370" s="2">
        <v>695.0</v>
      </c>
      <c r="I370" s="2">
        <v>627.0</v>
      </c>
      <c r="J370" s="2">
        <v>12.0</v>
      </c>
      <c r="K370" s="2">
        <v>11.0</v>
      </c>
      <c r="L370" s="2">
        <v>1.0</v>
      </c>
      <c r="M370" s="4">
        <v>1774.0</v>
      </c>
      <c r="N370" s="2" t="s">
        <v>1124</v>
      </c>
      <c r="O370" s="2">
        <v>109.0</v>
      </c>
      <c r="P370" s="2" t="s">
        <v>189</v>
      </c>
      <c r="Q370" s="2" t="s">
        <v>32</v>
      </c>
      <c r="R370" s="2">
        <v>36.0</v>
      </c>
      <c r="T370" s="2" t="s">
        <v>47</v>
      </c>
      <c r="U370" s="2" t="b">
        <v>0</v>
      </c>
      <c r="V370" s="5">
        <v>0.0175</v>
      </c>
      <c r="W370" s="5">
        <v>0.0909</v>
      </c>
      <c r="X370" s="5">
        <v>0.001595</v>
      </c>
      <c r="Y370" s="2">
        <v>161.2727273</v>
      </c>
      <c r="AA370" s="2" t="s">
        <v>33</v>
      </c>
    </row>
    <row r="371">
      <c r="A371" s="2">
        <v>1743.0</v>
      </c>
      <c r="B371" s="2" t="s">
        <v>1125</v>
      </c>
      <c r="C371" s="2" t="s">
        <v>7</v>
      </c>
      <c r="D371" s="2" t="s">
        <v>1126</v>
      </c>
      <c r="E371" s="2" t="s">
        <v>1127</v>
      </c>
      <c r="F371" s="6">
        <v>45726.708333333336</v>
      </c>
      <c r="G371" s="2">
        <v>44318.0</v>
      </c>
      <c r="H371" s="2">
        <v>44318.0</v>
      </c>
      <c r="I371" s="2">
        <v>35973.0</v>
      </c>
      <c r="J371" s="2">
        <v>351.0</v>
      </c>
      <c r="K371" s="2">
        <v>294.0</v>
      </c>
      <c r="L371" s="2">
        <v>8.0</v>
      </c>
      <c r="M371" s="4">
        <v>54057.0</v>
      </c>
      <c r="N371" s="2" t="s">
        <v>36</v>
      </c>
      <c r="O371" s="2">
        <v>71.0</v>
      </c>
      <c r="P371" s="2" t="s">
        <v>189</v>
      </c>
      <c r="Q371" s="2" t="s">
        <v>32</v>
      </c>
      <c r="R371" s="2">
        <v>30.0</v>
      </c>
      <c r="T371" s="2" t="s">
        <v>405</v>
      </c>
      <c r="U371" s="2" t="b">
        <v>0</v>
      </c>
      <c r="V371" s="5">
        <v>0.0082</v>
      </c>
      <c r="W371" s="5">
        <v>0.0272</v>
      </c>
      <c r="X371" s="5">
        <v>2.22E-4</v>
      </c>
      <c r="Y371" s="2">
        <v>183.8673469</v>
      </c>
      <c r="AA371" s="2" t="s">
        <v>33</v>
      </c>
    </row>
    <row r="372">
      <c r="A372" s="2">
        <v>1742.0</v>
      </c>
      <c r="B372" s="2" t="s">
        <v>1128</v>
      </c>
      <c r="C372" s="2" t="s">
        <v>7</v>
      </c>
      <c r="D372" s="2" t="s">
        <v>1129</v>
      </c>
      <c r="E372" s="2" t="s">
        <v>1130</v>
      </c>
      <c r="F372" s="6">
        <v>45726.708333333336</v>
      </c>
      <c r="G372" s="2">
        <v>58393.0</v>
      </c>
      <c r="H372" s="2">
        <v>58393.0</v>
      </c>
      <c r="I372" s="2">
        <v>49709.0</v>
      </c>
      <c r="J372" s="2">
        <v>559.0</v>
      </c>
      <c r="K372" s="2">
        <v>482.0</v>
      </c>
      <c r="L372" s="2">
        <v>9.0</v>
      </c>
      <c r="M372" s="4">
        <v>22772.0</v>
      </c>
      <c r="N372" s="2" t="s">
        <v>30</v>
      </c>
      <c r="O372" s="2">
        <v>70.0</v>
      </c>
      <c r="P372" s="2" t="s">
        <v>189</v>
      </c>
      <c r="Q372" s="2" t="s">
        <v>32</v>
      </c>
      <c r="R372" s="2">
        <v>30.0</v>
      </c>
      <c r="U372" s="2" t="b">
        <v>0</v>
      </c>
      <c r="V372" s="5">
        <v>0.0097</v>
      </c>
      <c r="W372" s="5">
        <v>0.0187</v>
      </c>
      <c r="X372" s="5">
        <v>1.81E-4</v>
      </c>
      <c r="Y372" s="2">
        <v>47.24481328</v>
      </c>
      <c r="Z372" s="2">
        <v>370.0</v>
      </c>
      <c r="AA372" s="2" t="s">
        <v>33</v>
      </c>
    </row>
    <row r="373">
      <c r="A373" s="2">
        <v>1747.0</v>
      </c>
      <c r="B373" s="2" t="s">
        <v>1131</v>
      </c>
      <c r="C373" s="2" t="s">
        <v>7</v>
      </c>
      <c r="D373" s="2" t="s">
        <v>1132</v>
      </c>
      <c r="E373" s="2" t="s">
        <v>1133</v>
      </c>
      <c r="F373" s="6">
        <v>45727.6375</v>
      </c>
      <c r="G373" s="2">
        <v>58422.0</v>
      </c>
      <c r="H373" s="2">
        <v>58422.0</v>
      </c>
      <c r="I373" s="2">
        <v>49795.0</v>
      </c>
      <c r="J373" s="2">
        <v>252.0</v>
      </c>
      <c r="K373" s="2">
        <v>221.0</v>
      </c>
      <c r="L373" s="2">
        <v>6.0</v>
      </c>
      <c r="M373" s="4">
        <v>11475.0</v>
      </c>
      <c r="N373" s="2" t="s">
        <v>30</v>
      </c>
      <c r="O373" s="2">
        <v>70.0</v>
      </c>
      <c r="P373" s="2" t="s">
        <v>189</v>
      </c>
      <c r="Q373" s="2" t="s">
        <v>32</v>
      </c>
      <c r="R373" s="2">
        <v>39.0</v>
      </c>
      <c r="U373" s="2" t="b">
        <v>0</v>
      </c>
      <c r="V373" s="5">
        <v>0.0044</v>
      </c>
      <c r="W373" s="5">
        <v>0.0271</v>
      </c>
      <c r="X373" s="5">
        <v>1.2E-4</v>
      </c>
      <c r="Y373" s="2">
        <v>51.92307692</v>
      </c>
      <c r="Z373" s="2" t="s">
        <v>307</v>
      </c>
      <c r="AA373" s="2" t="s">
        <v>33</v>
      </c>
    </row>
    <row r="374">
      <c r="A374" s="2">
        <v>1748.0</v>
      </c>
      <c r="B374" s="2" t="s">
        <v>1134</v>
      </c>
      <c r="C374" s="2" t="s">
        <v>7</v>
      </c>
      <c r="D374" s="2" t="s">
        <v>1135</v>
      </c>
      <c r="E374" s="2" t="s">
        <v>1136</v>
      </c>
      <c r="F374" s="6">
        <v>45727.638194444444</v>
      </c>
      <c r="G374" s="2">
        <v>44317.0</v>
      </c>
      <c r="H374" s="2">
        <v>44317.0</v>
      </c>
      <c r="I374" s="2">
        <v>35930.0</v>
      </c>
      <c r="J374" s="2">
        <v>219.0</v>
      </c>
      <c r="K374" s="2">
        <v>186.0</v>
      </c>
      <c r="L374" s="2">
        <v>3.0</v>
      </c>
      <c r="M374" s="4">
        <v>18166.0</v>
      </c>
      <c r="N374" s="2" t="s">
        <v>36</v>
      </c>
      <c r="O374" s="2">
        <v>71.0</v>
      </c>
      <c r="P374" s="2" t="s">
        <v>189</v>
      </c>
      <c r="Q374" s="2" t="s">
        <v>32</v>
      </c>
      <c r="R374" s="2">
        <v>34.0</v>
      </c>
      <c r="T374" s="2" t="s">
        <v>47</v>
      </c>
      <c r="U374" s="2" t="b">
        <v>0</v>
      </c>
      <c r="V374" s="5">
        <v>0.0052</v>
      </c>
      <c r="W374" s="5">
        <v>0.0161</v>
      </c>
      <c r="X374" s="5">
        <v>8.3E-5</v>
      </c>
      <c r="Y374" s="2">
        <v>97.66666667</v>
      </c>
      <c r="AA374" s="2" t="s">
        <v>33</v>
      </c>
    </row>
    <row r="375">
      <c r="A375" s="2">
        <v>1750.0</v>
      </c>
      <c r="B375" s="2" t="s">
        <v>1137</v>
      </c>
      <c r="C375" s="2" t="s">
        <v>7</v>
      </c>
      <c r="D375" s="2" t="s">
        <v>1138</v>
      </c>
      <c r="E375" s="2" t="s">
        <v>1139</v>
      </c>
      <c r="F375" s="6">
        <v>45727.708333333336</v>
      </c>
      <c r="G375" s="2">
        <v>44276.0</v>
      </c>
      <c r="H375" s="2">
        <v>44276.0</v>
      </c>
      <c r="I375" s="2">
        <v>35939.0</v>
      </c>
      <c r="J375" s="2">
        <v>248.0</v>
      </c>
      <c r="K375" s="2">
        <v>189.0</v>
      </c>
      <c r="L375" s="2">
        <v>3.0</v>
      </c>
      <c r="M375" s="4">
        <v>14886.0</v>
      </c>
      <c r="N375" s="2" t="s">
        <v>36</v>
      </c>
      <c r="O375" s="2">
        <v>71.0</v>
      </c>
      <c r="P375" s="2" t="s">
        <v>189</v>
      </c>
      <c r="Q375" s="2" t="s">
        <v>32</v>
      </c>
      <c r="R375" s="2">
        <v>57.0</v>
      </c>
      <c r="U375" s="2" t="b">
        <v>0</v>
      </c>
      <c r="V375" s="5">
        <v>0.0053</v>
      </c>
      <c r="W375" s="5">
        <v>0.0159</v>
      </c>
      <c r="X375" s="5">
        <v>8.3E-5</v>
      </c>
      <c r="Y375" s="2">
        <v>78.76190476</v>
      </c>
      <c r="AA375" s="2" t="s">
        <v>33</v>
      </c>
    </row>
    <row r="376">
      <c r="A376" s="2">
        <v>1749.0</v>
      </c>
      <c r="B376" s="2" t="s">
        <v>1140</v>
      </c>
      <c r="C376" s="2" t="s">
        <v>7</v>
      </c>
      <c r="D376" s="2" t="s">
        <v>1141</v>
      </c>
      <c r="E376" s="2" t="s">
        <v>1142</v>
      </c>
      <c r="F376" s="6">
        <v>45727.708333333336</v>
      </c>
      <c r="G376" s="2">
        <v>58391.0</v>
      </c>
      <c r="H376" s="2">
        <v>58391.0</v>
      </c>
      <c r="I376" s="2">
        <v>49776.0</v>
      </c>
      <c r="J376" s="2">
        <v>323.0</v>
      </c>
      <c r="K376" s="2">
        <v>251.0</v>
      </c>
      <c r="L376" s="2">
        <v>3.0</v>
      </c>
      <c r="M376" s="4">
        <v>9802.0</v>
      </c>
      <c r="N376" s="2" t="s">
        <v>30</v>
      </c>
      <c r="O376" s="2">
        <v>70.0</v>
      </c>
      <c r="P376" s="2" t="s">
        <v>189</v>
      </c>
      <c r="Q376" s="2" t="s">
        <v>32</v>
      </c>
      <c r="R376" s="2">
        <v>42.0</v>
      </c>
      <c r="T376" s="2" t="s">
        <v>47</v>
      </c>
      <c r="U376" s="2" t="b">
        <v>0</v>
      </c>
      <c r="V376" s="5">
        <v>0.005</v>
      </c>
      <c r="W376" s="5">
        <v>0.012</v>
      </c>
      <c r="X376" s="5">
        <v>6.0E-5</v>
      </c>
      <c r="Y376" s="2">
        <v>39.05179283</v>
      </c>
      <c r="AA376" s="2" t="s">
        <v>33</v>
      </c>
    </row>
    <row r="377">
      <c r="A377" s="2">
        <v>1752.0</v>
      </c>
      <c r="B377" s="2" t="s">
        <v>1143</v>
      </c>
      <c r="C377" s="2" t="s">
        <v>7</v>
      </c>
      <c r="D377" s="2" t="s">
        <v>1144</v>
      </c>
      <c r="E377" s="2" t="s">
        <v>1145</v>
      </c>
      <c r="F377" s="6">
        <v>45727.791666666664</v>
      </c>
      <c r="G377" s="2">
        <v>44295.0</v>
      </c>
      <c r="H377" s="2">
        <v>44295.0</v>
      </c>
      <c r="I377" s="2">
        <v>36072.0</v>
      </c>
      <c r="J377" s="2">
        <v>366.0</v>
      </c>
      <c r="K377" s="2">
        <v>283.0</v>
      </c>
      <c r="L377" s="2">
        <v>4.0</v>
      </c>
      <c r="M377" s="4">
        <v>9441.0</v>
      </c>
      <c r="N377" s="2" t="s">
        <v>36</v>
      </c>
      <c r="O377" s="2">
        <v>71.0</v>
      </c>
      <c r="P377" s="2" t="s">
        <v>31</v>
      </c>
      <c r="Q377" s="2" t="s">
        <v>32</v>
      </c>
      <c r="R377" s="2">
        <v>34.0</v>
      </c>
      <c r="T377" s="2" t="s">
        <v>1146</v>
      </c>
      <c r="U377" s="2" t="b">
        <v>0</v>
      </c>
      <c r="V377" s="5">
        <v>0.0078</v>
      </c>
      <c r="W377" s="5">
        <v>0.0141</v>
      </c>
      <c r="X377" s="5">
        <v>1.11E-4</v>
      </c>
      <c r="Y377" s="2">
        <v>33.36042403</v>
      </c>
      <c r="AA377" s="2" t="s">
        <v>33</v>
      </c>
    </row>
    <row r="378">
      <c r="A378" s="2">
        <v>1751.0</v>
      </c>
      <c r="B378" s="2" t="s">
        <v>1147</v>
      </c>
      <c r="C378" s="2" t="s">
        <v>7</v>
      </c>
      <c r="D378" s="2" t="s">
        <v>1148</v>
      </c>
      <c r="E378" s="2" t="s">
        <v>1149</v>
      </c>
      <c r="F378" s="6">
        <v>45727.791666666664</v>
      </c>
      <c r="G378" s="2">
        <v>58432.0</v>
      </c>
      <c r="H378" s="2">
        <v>58432.0</v>
      </c>
      <c r="I378" s="2">
        <v>49880.0</v>
      </c>
      <c r="J378" s="2">
        <v>524.0</v>
      </c>
      <c r="K378" s="2">
        <v>429.0</v>
      </c>
      <c r="L378" s="2">
        <v>7.0</v>
      </c>
      <c r="M378" s="4">
        <v>18674.0</v>
      </c>
      <c r="N378" s="2" t="s">
        <v>30</v>
      </c>
      <c r="O378" s="2">
        <v>70.0</v>
      </c>
      <c r="P378" s="2" t="s">
        <v>31</v>
      </c>
      <c r="Q378" s="2" t="s">
        <v>32</v>
      </c>
      <c r="R378" s="2">
        <v>34.0</v>
      </c>
      <c r="T378" s="7" t="str">
        <f>IFERROR(__xludf.DUMMYFUNCTION("AI(""has offer Come X Pay X"",D378)"),"Special Offer")</f>
        <v>Special Offer</v>
      </c>
      <c r="U378" s="2" t="b">
        <v>0</v>
      </c>
      <c r="V378" s="5">
        <v>0.0086</v>
      </c>
      <c r="W378" s="5">
        <v>0.0163</v>
      </c>
      <c r="X378" s="5">
        <v>1.4E-4</v>
      </c>
      <c r="Y378" s="2">
        <v>43.52913753</v>
      </c>
      <c r="Z378" s="2">
        <v>4831.0</v>
      </c>
      <c r="AA378" s="2" t="s">
        <v>33</v>
      </c>
    </row>
    <row r="379">
      <c r="A379" s="2">
        <v>1753.0</v>
      </c>
      <c r="B379" s="2" t="s">
        <v>1150</v>
      </c>
      <c r="C379" s="2" t="s">
        <v>7</v>
      </c>
      <c r="D379" s="2" t="s">
        <v>170</v>
      </c>
      <c r="E379" s="2" t="s">
        <v>288</v>
      </c>
      <c r="F379" s="6">
        <v>45728.46805555555</v>
      </c>
      <c r="G379" s="2">
        <v>58333.0</v>
      </c>
      <c r="H379" s="2">
        <v>58333.0</v>
      </c>
      <c r="I379" s="2">
        <v>49632.0</v>
      </c>
      <c r="J379" s="2">
        <v>264.0</v>
      </c>
      <c r="K379" s="2">
        <v>220.0</v>
      </c>
      <c r="L379" s="2">
        <v>5.0</v>
      </c>
      <c r="M379" s="4">
        <v>37579.0</v>
      </c>
      <c r="N379" s="2" t="s">
        <v>30</v>
      </c>
      <c r="O379" s="2">
        <v>70.0</v>
      </c>
      <c r="P379" s="2" t="s">
        <v>189</v>
      </c>
      <c r="Q379" s="2" t="s">
        <v>32</v>
      </c>
      <c r="R379" s="2">
        <v>27.0</v>
      </c>
      <c r="U379" s="2" t="b">
        <v>0</v>
      </c>
      <c r="V379" s="5">
        <v>0.0044</v>
      </c>
      <c r="W379" s="5">
        <v>0.0227</v>
      </c>
      <c r="X379" s="5">
        <v>1.01E-4</v>
      </c>
      <c r="Y379" s="2">
        <v>170.8136364</v>
      </c>
      <c r="AA379" s="2" t="s">
        <v>33</v>
      </c>
    </row>
    <row r="380">
      <c r="A380" s="2">
        <v>1754.0</v>
      </c>
      <c r="B380" s="2" t="s">
        <v>1151</v>
      </c>
      <c r="C380" s="2" t="s">
        <v>7</v>
      </c>
      <c r="D380" s="2" t="s">
        <v>172</v>
      </c>
      <c r="E380" s="2" t="s">
        <v>290</v>
      </c>
      <c r="F380" s="6">
        <v>45728.47152777778</v>
      </c>
      <c r="G380" s="2">
        <v>44194.0</v>
      </c>
      <c r="H380" s="2">
        <v>44194.0</v>
      </c>
      <c r="I380" s="2">
        <v>35717.0</v>
      </c>
      <c r="J380" s="2">
        <v>238.0</v>
      </c>
      <c r="K380" s="2">
        <v>194.0</v>
      </c>
      <c r="L380" s="2">
        <v>6.0</v>
      </c>
      <c r="M380" s="4">
        <v>49408.0</v>
      </c>
      <c r="N380" s="2" t="s">
        <v>36</v>
      </c>
      <c r="O380" s="2">
        <v>71.0</v>
      </c>
      <c r="P380" s="2" t="s">
        <v>189</v>
      </c>
      <c r="Q380" s="2" t="s">
        <v>32</v>
      </c>
      <c r="R380" s="2">
        <v>24.0</v>
      </c>
      <c r="U380" s="2" t="b">
        <v>0</v>
      </c>
      <c r="V380" s="5">
        <v>0.0054</v>
      </c>
      <c r="W380" s="5">
        <v>0.0309</v>
      </c>
      <c r="X380" s="5">
        <v>1.68E-4</v>
      </c>
      <c r="Y380" s="2">
        <v>254.6804124</v>
      </c>
      <c r="AA380" s="2" t="s">
        <v>33</v>
      </c>
    </row>
    <row r="381">
      <c r="A381" s="2">
        <v>1756.0</v>
      </c>
      <c r="B381" s="2" t="s">
        <v>1152</v>
      </c>
      <c r="C381" s="2" t="s">
        <v>7</v>
      </c>
      <c r="D381" s="2" t="s">
        <v>1153</v>
      </c>
      <c r="E381" s="2" t="s">
        <v>1154</v>
      </c>
      <c r="F381" s="6">
        <v>45728.625</v>
      </c>
      <c r="G381" s="2">
        <v>44192.0</v>
      </c>
      <c r="H381" s="2">
        <v>44192.0</v>
      </c>
      <c r="I381" s="2">
        <v>35933.0</v>
      </c>
      <c r="J381" s="2">
        <v>212.0</v>
      </c>
      <c r="K381" s="2">
        <v>173.0</v>
      </c>
      <c r="L381" s="2">
        <v>3.0</v>
      </c>
      <c r="M381" s="4">
        <v>20668.0</v>
      </c>
      <c r="N381" s="2" t="s">
        <v>36</v>
      </c>
      <c r="O381" s="2">
        <v>71.0</v>
      </c>
      <c r="P381" s="2" t="s">
        <v>189</v>
      </c>
      <c r="Q381" s="2" t="s">
        <v>32</v>
      </c>
      <c r="R381" s="2">
        <v>28.0</v>
      </c>
      <c r="T381" s="2" t="s">
        <v>47</v>
      </c>
      <c r="U381" s="2" t="b">
        <v>0</v>
      </c>
      <c r="V381" s="5">
        <v>0.0048</v>
      </c>
      <c r="W381" s="5">
        <v>0.0173</v>
      </c>
      <c r="X381" s="5">
        <v>8.3E-5</v>
      </c>
      <c r="Y381" s="2">
        <v>119.4682081</v>
      </c>
      <c r="AA381" s="2" t="s">
        <v>33</v>
      </c>
    </row>
    <row r="382">
      <c r="A382" s="2">
        <v>1755.0</v>
      </c>
      <c r="B382" s="2" t="s">
        <v>1155</v>
      </c>
      <c r="C382" s="2" t="s">
        <v>7</v>
      </c>
      <c r="D382" s="2" t="s">
        <v>1156</v>
      </c>
      <c r="E382" s="2" t="s">
        <v>1157</v>
      </c>
      <c r="F382" s="6">
        <v>45728.625</v>
      </c>
      <c r="G382" s="2">
        <v>58325.0</v>
      </c>
      <c r="H382" s="2">
        <v>58325.0</v>
      </c>
      <c r="I382" s="2">
        <v>49769.0</v>
      </c>
      <c r="J382" s="2">
        <v>242.0</v>
      </c>
      <c r="K382" s="2">
        <v>207.0</v>
      </c>
      <c r="L382" s="2">
        <v>4.0</v>
      </c>
      <c r="M382" s="4">
        <v>8711.0</v>
      </c>
      <c r="N382" s="2" t="s">
        <v>30</v>
      </c>
      <c r="O382" s="2">
        <v>70.0</v>
      </c>
      <c r="P382" s="2" t="s">
        <v>189</v>
      </c>
      <c r="Q382" s="2" t="s">
        <v>32</v>
      </c>
      <c r="R382" s="2">
        <v>27.0</v>
      </c>
      <c r="U382" s="2" t="b">
        <v>0</v>
      </c>
      <c r="V382" s="5">
        <v>0.0042</v>
      </c>
      <c r="W382" s="5">
        <v>0.0193</v>
      </c>
      <c r="X382" s="5">
        <v>8.0E-5</v>
      </c>
      <c r="Y382" s="2">
        <v>42.0821256</v>
      </c>
      <c r="AA382" s="2" t="s">
        <v>33</v>
      </c>
    </row>
    <row r="383">
      <c r="A383" s="2">
        <v>1758.0</v>
      </c>
      <c r="B383" s="2" t="s">
        <v>1158</v>
      </c>
      <c r="C383" s="2" t="s">
        <v>7</v>
      </c>
      <c r="D383" s="2" t="s">
        <v>1159</v>
      </c>
      <c r="E383" s="2" t="s">
        <v>1160</v>
      </c>
      <c r="F383" s="6">
        <v>45728.708333333336</v>
      </c>
      <c r="G383" s="2">
        <v>44213.0</v>
      </c>
      <c r="H383" s="2">
        <v>44213.0</v>
      </c>
      <c r="I383" s="2">
        <v>35941.0</v>
      </c>
      <c r="J383" s="2">
        <v>314.0</v>
      </c>
      <c r="K383" s="2">
        <v>254.0</v>
      </c>
      <c r="L383" s="2">
        <v>5.0</v>
      </c>
      <c r="M383" s="4">
        <v>16472.0</v>
      </c>
      <c r="N383" s="2" t="s">
        <v>36</v>
      </c>
      <c r="O383" s="2">
        <v>71.0</v>
      </c>
      <c r="P383" s="2" t="s">
        <v>189</v>
      </c>
      <c r="Q383" s="2" t="s">
        <v>32</v>
      </c>
      <c r="R383" s="2">
        <v>30.0</v>
      </c>
      <c r="T383" s="2" t="s">
        <v>58</v>
      </c>
      <c r="U383" s="2" t="b">
        <v>0</v>
      </c>
      <c r="V383" s="5">
        <v>0.0071</v>
      </c>
      <c r="W383" s="5">
        <v>0.0197</v>
      </c>
      <c r="X383" s="5">
        <v>1.39E-4</v>
      </c>
      <c r="Y383" s="2">
        <v>64.8503937</v>
      </c>
      <c r="AA383" s="2" t="s">
        <v>33</v>
      </c>
    </row>
    <row r="384">
      <c r="A384" s="2">
        <v>1757.0</v>
      </c>
      <c r="B384" s="2" t="s">
        <v>1161</v>
      </c>
      <c r="C384" s="2" t="s">
        <v>7</v>
      </c>
      <c r="D384" s="2" t="s">
        <v>1162</v>
      </c>
      <c r="E384" s="2" t="s">
        <v>1163</v>
      </c>
      <c r="F384" s="6">
        <v>45728.708333333336</v>
      </c>
      <c r="G384" s="2">
        <v>58360.0</v>
      </c>
      <c r="H384" s="2">
        <v>58360.0</v>
      </c>
      <c r="I384" s="2">
        <v>49812.0</v>
      </c>
      <c r="J384" s="2">
        <v>405.0</v>
      </c>
      <c r="K384" s="2">
        <v>329.0</v>
      </c>
      <c r="L384" s="2">
        <v>5.0</v>
      </c>
      <c r="M384" s="4">
        <v>20654.0</v>
      </c>
      <c r="N384" s="2" t="s">
        <v>30</v>
      </c>
      <c r="O384" s="2">
        <v>70.0</v>
      </c>
      <c r="P384" s="2" t="s">
        <v>189</v>
      </c>
      <c r="Q384" s="2" t="s">
        <v>32</v>
      </c>
      <c r="R384" s="2">
        <v>30.0</v>
      </c>
      <c r="T384" s="2" t="s">
        <v>143</v>
      </c>
      <c r="U384" s="2" t="b">
        <v>0</v>
      </c>
      <c r="V384" s="5">
        <v>0.0066</v>
      </c>
      <c r="W384" s="5">
        <v>0.0152</v>
      </c>
      <c r="X384" s="5">
        <v>1.0E-4</v>
      </c>
      <c r="Y384" s="2">
        <v>62.7781155</v>
      </c>
      <c r="Z384" s="2">
        <v>5196.0</v>
      </c>
      <c r="AA384" s="2" t="s">
        <v>33</v>
      </c>
    </row>
    <row r="385">
      <c r="A385" s="2">
        <v>1760.0</v>
      </c>
      <c r="B385" s="2" t="s">
        <v>1164</v>
      </c>
      <c r="C385" s="2" t="s">
        <v>7</v>
      </c>
      <c r="D385" s="2" t="s">
        <v>1165</v>
      </c>
      <c r="E385" s="2" t="s">
        <v>1166</v>
      </c>
      <c r="F385" s="6">
        <v>45729.46527777778</v>
      </c>
      <c r="G385" s="2">
        <v>58401.0</v>
      </c>
      <c r="H385" s="2">
        <v>58401.0</v>
      </c>
      <c r="I385" s="2">
        <v>49628.0</v>
      </c>
      <c r="J385" s="2">
        <v>374.0</v>
      </c>
      <c r="K385" s="2">
        <v>317.0</v>
      </c>
      <c r="L385" s="2">
        <v>3.0</v>
      </c>
      <c r="M385" s="4">
        <v>6230.0</v>
      </c>
      <c r="N385" s="2" t="s">
        <v>30</v>
      </c>
      <c r="O385" s="2">
        <v>70.0</v>
      </c>
      <c r="P385" s="2" t="s">
        <v>31</v>
      </c>
      <c r="Q385" s="2" t="s">
        <v>32</v>
      </c>
      <c r="R385" s="2">
        <v>33.0</v>
      </c>
      <c r="U385" s="2" t="b">
        <v>0</v>
      </c>
      <c r="V385" s="5">
        <v>0.0064</v>
      </c>
      <c r="W385" s="5">
        <v>0.0095</v>
      </c>
      <c r="X385" s="5">
        <v>6.0E-5</v>
      </c>
      <c r="Y385" s="2">
        <v>19.65299685</v>
      </c>
      <c r="Z385" s="2">
        <v>3891.0</v>
      </c>
      <c r="AA385" s="2" t="s">
        <v>33</v>
      </c>
    </row>
    <row r="386">
      <c r="A386" s="2">
        <v>1761.0</v>
      </c>
      <c r="B386" s="2" t="s">
        <v>1167</v>
      </c>
      <c r="C386" s="2" t="s">
        <v>7</v>
      </c>
      <c r="D386" s="2" t="s">
        <v>1168</v>
      </c>
      <c r="E386" s="2" t="s">
        <v>1169</v>
      </c>
      <c r="F386" s="6">
        <v>45729.46597222222</v>
      </c>
      <c r="G386" s="2">
        <v>44261.0</v>
      </c>
      <c r="H386" s="2">
        <v>44261.0</v>
      </c>
      <c r="I386" s="2">
        <v>35633.0</v>
      </c>
      <c r="J386" s="2">
        <v>289.0</v>
      </c>
      <c r="K386" s="2">
        <v>227.0</v>
      </c>
      <c r="L386" s="2">
        <v>3.0</v>
      </c>
      <c r="M386" s="4">
        <v>7153.0</v>
      </c>
      <c r="N386" s="2" t="s">
        <v>36</v>
      </c>
      <c r="O386" s="2">
        <v>71.0</v>
      </c>
      <c r="P386" s="2" t="s">
        <v>189</v>
      </c>
      <c r="Q386" s="2" t="s">
        <v>32</v>
      </c>
      <c r="R386" s="2">
        <v>33.0</v>
      </c>
      <c r="U386" s="2" t="b">
        <v>0</v>
      </c>
      <c r="V386" s="5">
        <v>0.0064</v>
      </c>
      <c r="W386" s="5">
        <v>0.0132</v>
      </c>
      <c r="X386" s="5">
        <v>8.4E-5</v>
      </c>
      <c r="Y386" s="2">
        <v>31.51101322</v>
      </c>
      <c r="AA386" s="2" t="s">
        <v>33</v>
      </c>
    </row>
    <row r="387">
      <c r="A387" s="2">
        <v>1763.0</v>
      </c>
      <c r="B387" s="2" t="s">
        <v>1170</v>
      </c>
      <c r="C387" s="2" t="s">
        <v>7</v>
      </c>
      <c r="D387" s="2" t="s">
        <v>1171</v>
      </c>
      <c r="E387" s="2" t="s">
        <v>1172</v>
      </c>
      <c r="F387" s="6">
        <v>45729.625</v>
      </c>
      <c r="G387" s="2">
        <v>44260.0</v>
      </c>
      <c r="H387" s="2">
        <v>44260.0</v>
      </c>
      <c r="I387" s="2">
        <v>35914.0</v>
      </c>
      <c r="J387" s="2">
        <v>262.0</v>
      </c>
      <c r="K387" s="2">
        <v>211.0</v>
      </c>
      <c r="L387" s="2">
        <v>4.0</v>
      </c>
      <c r="M387" s="4">
        <v>12572.0</v>
      </c>
      <c r="N387" s="2" t="s">
        <v>36</v>
      </c>
      <c r="O387" s="2">
        <v>71.0</v>
      </c>
      <c r="P387" s="2" t="s">
        <v>189</v>
      </c>
      <c r="Q387" s="2" t="s">
        <v>32</v>
      </c>
      <c r="R387" s="2">
        <v>41.0</v>
      </c>
      <c r="T387" s="2" t="s">
        <v>47</v>
      </c>
      <c r="U387" s="2" t="b">
        <v>0</v>
      </c>
      <c r="V387" s="5">
        <v>0.0059</v>
      </c>
      <c r="W387" s="5">
        <v>0.019</v>
      </c>
      <c r="X387" s="5">
        <v>1.11E-4</v>
      </c>
      <c r="Y387" s="2">
        <v>59.58293839</v>
      </c>
      <c r="AA387" s="2" t="s">
        <v>33</v>
      </c>
    </row>
    <row r="388">
      <c r="A388" s="2">
        <v>1762.0</v>
      </c>
      <c r="B388" s="2" t="s">
        <v>1173</v>
      </c>
      <c r="C388" s="2" t="s">
        <v>7</v>
      </c>
      <c r="D388" s="2" t="s">
        <v>1174</v>
      </c>
      <c r="E388" s="2" t="s">
        <v>1175</v>
      </c>
      <c r="F388" s="6">
        <v>45729.625</v>
      </c>
      <c r="G388" s="2">
        <v>58416.0</v>
      </c>
      <c r="H388" s="2">
        <v>58416.0</v>
      </c>
      <c r="I388" s="2">
        <v>49795.0</v>
      </c>
      <c r="J388" s="2">
        <v>270.0</v>
      </c>
      <c r="K388" s="2">
        <v>227.0</v>
      </c>
      <c r="L388" s="2">
        <v>4.0</v>
      </c>
      <c r="M388" s="4">
        <v>4901.0</v>
      </c>
      <c r="N388" s="2" t="s">
        <v>30</v>
      </c>
      <c r="O388" s="2">
        <v>70.0</v>
      </c>
      <c r="P388" s="2" t="s">
        <v>189</v>
      </c>
      <c r="Q388" s="2" t="s">
        <v>32</v>
      </c>
      <c r="R388" s="2">
        <v>39.0</v>
      </c>
      <c r="T388" s="2" t="s">
        <v>47</v>
      </c>
      <c r="U388" s="2" t="b">
        <v>0</v>
      </c>
      <c r="V388" s="5">
        <v>0.0046</v>
      </c>
      <c r="W388" s="5">
        <v>0.0176</v>
      </c>
      <c r="X388" s="5">
        <v>8.0E-5</v>
      </c>
      <c r="Y388" s="2">
        <v>21.59030837</v>
      </c>
      <c r="Z388" s="2">
        <v>5223.0</v>
      </c>
      <c r="AA388" s="2" t="s">
        <v>33</v>
      </c>
    </row>
    <row r="389">
      <c r="A389" s="2">
        <v>1765.0</v>
      </c>
      <c r="B389" s="2" t="s">
        <v>1176</v>
      </c>
      <c r="C389" s="2" t="s">
        <v>7</v>
      </c>
      <c r="D389" s="2" t="s">
        <v>1177</v>
      </c>
      <c r="E389" s="2" t="s">
        <v>1178</v>
      </c>
      <c r="F389" s="6">
        <v>45729.708333333336</v>
      </c>
      <c r="G389" s="2">
        <v>44257.0</v>
      </c>
      <c r="H389" s="2">
        <v>44257.0</v>
      </c>
      <c r="I389" s="2">
        <v>35880.0</v>
      </c>
      <c r="J389" s="2">
        <v>285.0</v>
      </c>
      <c r="K389" s="2">
        <v>223.0</v>
      </c>
      <c r="L389" s="2">
        <v>3.0</v>
      </c>
      <c r="M389" s="4">
        <v>2030.0</v>
      </c>
      <c r="N389" s="2" t="s">
        <v>36</v>
      </c>
      <c r="O389" s="2">
        <v>71.0</v>
      </c>
      <c r="P389" s="2" t="s">
        <v>189</v>
      </c>
      <c r="Q389" s="2" t="s">
        <v>32</v>
      </c>
      <c r="R389" s="2">
        <v>36.0</v>
      </c>
      <c r="U389" s="2" t="b">
        <v>0</v>
      </c>
      <c r="V389" s="5">
        <v>0.0062</v>
      </c>
      <c r="W389" s="5">
        <v>0.0135</v>
      </c>
      <c r="X389" s="5">
        <v>8.4E-5</v>
      </c>
      <c r="Y389" s="2">
        <v>9.103139013</v>
      </c>
      <c r="AA389" s="2" t="s">
        <v>33</v>
      </c>
    </row>
    <row r="390">
      <c r="A390" s="2">
        <v>1764.0</v>
      </c>
      <c r="B390" s="2" t="s">
        <v>1179</v>
      </c>
      <c r="C390" s="2" t="s">
        <v>7</v>
      </c>
      <c r="D390" s="2" t="s">
        <v>1180</v>
      </c>
      <c r="E390" s="2" t="s">
        <v>1181</v>
      </c>
      <c r="F390" s="6">
        <v>45729.708333333336</v>
      </c>
      <c r="G390" s="2">
        <v>58448.0</v>
      </c>
      <c r="H390" s="2">
        <v>58448.0</v>
      </c>
      <c r="I390" s="2">
        <v>49796.0</v>
      </c>
      <c r="J390" s="2">
        <v>365.0</v>
      </c>
      <c r="K390" s="2">
        <v>302.0</v>
      </c>
      <c r="L390" s="2">
        <v>4.0</v>
      </c>
      <c r="M390" s="4">
        <v>8918.0</v>
      </c>
      <c r="N390" s="2" t="s">
        <v>30</v>
      </c>
      <c r="O390" s="2">
        <v>70.0</v>
      </c>
      <c r="P390" s="2" t="s">
        <v>189</v>
      </c>
      <c r="Q390" s="2" t="s">
        <v>32</v>
      </c>
      <c r="R390" s="2">
        <v>33.0</v>
      </c>
      <c r="T390" s="2" t="s">
        <v>47</v>
      </c>
      <c r="U390" s="2" t="b">
        <v>0</v>
      </c>
      <c r="V390" s="5">
        <v>0.0061</v>
      </c>
      <c r="W390" s="5">
        <v>0.0132</v>
      </c>
      <c r="X390" s="5">
        <v>8.0E-5</v>
      </c>
      <c r="Y390" s="2">
        <v>29.52980132</v>
      </c>
      <c r="Z390" s="2">
        <v>5423.0</v>
      </c>
      <c r="AA390" s="2" t="s">
        <v>33</v>
      </c>
    </row>
    <row r="391">
      <c r="A391" s="2">
        <v>1767.0</v>
      </c>
      <c r="B391" s="2" t="s">
        <v>1182</v>
      </c>
      <c r="C391" s="2" t="s">
        <v>7</v>
      </c>
      <c r="D391" s="2" t="s">
        <v>1183</v>
      </c>
      <c r="E391" s="2" t="s">
        <v>1184</v>
      </c>
      <c r="F391" s="6">
        <v>45730.458333333336</v>
      </c>
      <c r="G391" s="2">
        <v>44259.0</v>
      </c>
      <c r="H391" s="2">
        <v>44259.0</v>
      </c>
      <c r="I391" s="2">
        <v>35600.0</v>
      </c>
      <c r="J391" s="2">
        <v>260.0</v>
      </c>
      <c r="K391" s="2">
        <v>226.0</v>
      </c>
      <c r="L391" s="2">
        <v>7.0</v>
      </c>
      <c r="M391" s="4">
        <v>18998.0</v>
      </c>
      <c r="N391" s="2" t="s">
        <v>36</v>
      </c>
      <c r="O391" s="2">
        <v>71.0</v>
      </c>
      <c r="P391" s="2" t="s">
        <v>189</v>
      </c>
      <c r="Q391" s="2" t="s">
        <v>32</v>
      </c>
      <c r="R391" s="2">
        <v>33.0</v>
      </c>
      <c r="T391" s="2" t="s">
        <v>1185</v>
      </c>
      <c r="U391" s="2" t="b">
        <v>0</v>
      </c>
      <c r="V391" s="5">
        <v>0.0063</v>
      </c>
      <c r="W391" s="5">
        <v>0.031</v>
      </c>
      <c r="X391" s="5">
        <v>1.97E-4</v>
      </c>
      <c r="Y391" s="2">
        <v>84.0619469</v>
      </c>
      <c r="AA391" s="2" t="s">
        <v>33</v>
      </c>
    </row>
    <row r="392">
      <c r="A392" s="2">
        <v>1766.0</v>
      </c>
      <c r="B392" s="2" t="s">
        <v>1186</v>
      </c>
      <c r="C392" s="2" t="s">
        <v>7</v>
      </c>
      <c r="D392" s="2" t="s">
        <v>1187</v>
      </c>
      <c r="E392" s="2" t="s">
        <v>1188</v>
      </c>
      <c r="F392" s="6">
        <v>45730.458333333336</v>
      </c>
      <c r="G392" s="2">
        <v>58415.0</v>
      </c>
      <c r="H392" s="2">
        <v>58415.0</v>
      </c>
      <c r="I392" s="2">
        <v>49687.0</v>
      </c>
      <c r="J392" s="2">
        <v>362.0</v>
      </c>
      <c r="K392" s="2">
        <v>320.0</v>
      </c>
      <c r="L392" s="2">
        <v>4.0</v>
      </c>
      <c r="M392" s="4">
        <v>6765.0</v>
      </c>
      <c r="N392" s="2" t="s">
        <v>30</v>
      </c>
      <c r="O392" s="2">
        <v>70.0</v>
      </c>
      <c r="P392" s="2" t="s">
        <v>189</v>
      </c>
      <c r="Q392" s="2" t="s">
        <v>32</v>
      </c>
      <c r="R392" s="2">
        <v>33.0</v>
      </c>
      <c r="U392" s="2" t="b">
        <v>0</v>
      </c>
      <c r="V392" s="5">
        <v>0.0064</v>
      </c>
      <c r="W392" s="5">
        <v>0.0125</v>
      </c>
      <c r="X392" s="5">
        <v>8.1E-5</v>
      </c>
      <c r="Y392" s="2">
        <v>21.140625</v>
      </c>
      <c r="Z392" s="2">
        <v>4254.0</v>
      </c>
      <c r="AA392" s="2" t="s">
        <v>33</v>
      </c>
    </row>
    <row r="393">
      <c r="A393" s="2">
        <v>1770.0</v>
      </c>
      <c r="B393" s="2" t="s">
        <v>1189</v>
      </c>
      <c r="C393" s="2" t="s">
        <v>7</v>
      </c>
      <c r="D393" s="2" t="s">
        <v>1190</v>
      </c>
      <c r="E393" s="2" t="s">
        <v>1191</v>
      </c>
      <c r="F393" s="6">
        <v>45730.625</v>
      </c>
      <c r="G393" s="2">
        <v>44260.0</v>
      </c>
      <c r="H393" s="2">
        <v>44260.0</v>
      </c>
      <c r="I393" s="2">
        <v>35970.0</v>
      </c>
      <c r="J393" s="2">
        <v>219.0</v>
      </c>
      <c r="K393" s="2">
        <v>179.0</v>
      </c>
      <c r="L393" s="2">
        <v>3.0</v>
      </c>
      <c r="M393" s="4">
        <v>9324.0</v>
      </c>
      <c r="N393" s="2" t="s">
        <v>36</v>
      </c>
      <c r="O393" s="2">
        <v>71.0</v>
      </c>
      <c r="P393" s="2" t="s">
        <v>189</v>
      </c>
      <c r="Q393" s="2" t="s">
        <v>32</v>
      </c>
      <c r="R393" s="2">
        <v>25.0</v>
      </c>
      <c r="U393" s="2" t="b">
        <v>0</v>
      </c>
      <c r="V393" s="5">
        <v>0.005</v>
      </c>
      <c r="W393" s="5">
        <v>0.0168</v>
      </c>
      <c r="X393" s="5">
        <v>8.3E-5</v>
      </c>
      <c r="Y393" s="2">
        <v>52.08938547</v>
      </c>
      <c r="AA393" s="2" t="s">
        <v>33</v>
      </c>
    </row>
    <row r="394">
      <c r="A394" s="2">
        <v>1769.0</v>
      </c>
      <c r="B394" s="2" t="s">
        <v>1192</v>
      </c>
      <c r="C394" s="2" t="s">
        <v>7</v>
      </c>
      <c r="D394" s="2" t="s">
        <v>1193</v>
      </c>
      <c r="E394" s="2" t="s">
        <v>1194</v>
      </c>
      <c r="F394" s="6">
        <v>45730.625</v>
      </c>
      <c r="G394" s="2">
        <v>58429.0</v>
      </c>
      <c r="H394" s="2">
        <v>58429.0</v>
      </c>
      <c r="I394" s="2">
        <v>49839.0</v>
      </c>
      <c r="J394" s="2">
        <v>246.0</v>
      </c>
      <c r="K394" s="2">
        <v>194.0</v>
      </c>
      <c r="L394" s="2">
        <v>4.0</v>
      </c>
      <c r="M394" s="4">
        <v>10916.0</v>
      </c>
      <c r="N394" s="2" t="s">
        <v>30</v>
      </c>
      <c r="O394" s="2">
        <v>70.0</v>
      </c>
      <c r="P394" s="2" t="s">
        <v>31</v>
      </c>
      <c r="Q394" s="2" t="s">
        <v>32</v>
      </c>
      <c r="R394" s="2">
        <v>29.0</v>
      </c>
      <c r="T394" s="2" t="s">
        <v>1195</v>
      </c>
      <c r="U394" s="2" t="b">
        <v>0</v>
      </c>
      <c r="V394" s="5">
        <v>0.0039</v>
      </c>
      <c r="W394" s="5">
        <v>0.0206</v>
      </c>
      <c r="X394" s="5">
        <v>8.0E-5</v>
      </c>
      <c r="Y394" s="2">
        <v>56.26804124</v>
      </c>
      <c r="Z394" s="2">
        <v>4655.0</v>
      </c>
      <c r="AA394" s="2" t="s">
        <v>33</v>
      </c>
    </row>
    <row r="395">
      <c r="A395" s="2">
        <v>1772.0</v>
      </c>
      <c r="B395" s="2" t="s">
        <v>1196</v>
      </c>
      <c r="C395" s="2" t="s">
        <v>7</v>
      </c>
      <c r="D395" s="2" t="s">
        <v>1197</v>
      </c>
      <c r="E395" s="2" t="s">
        <v>1198</v>
      </c>
      <c r="F395" s="6">
        <v>45730.708333333336</v>
      </c>
      <c r="G395" s="2">
        <v>44269.0</v>
      </c>
      <c r="H395" s="2">
        <v>44269.0</v>
      </c>
      <c r="I395" s="2">
        <v>35903.0</v>
      </c>
      <c r="J395" s="2">
        <v>272.0</v>
      </c>
      <c r="K395" s="2">
        <v>225.0</v>
      </c>
      <c r="L395" s="2">
        <v>6.0</v>
      </c>
      <c r="M395" s="4">
        <v>33465.0</v>
      </c>
      <c r="N395" s="2" t="s">
        <v>36</v>
      </c>
      <c r="O395" s="2">
        <v>71.0</v>
      </c>
      <c r="P395" s="2" t="s">
        <v>189</v>
      </c>
      <c r="Q395" s="2" t="s">
        <v>32</v>
      </c>
      <c r="R395" s="2">
        <v>51.0</v>
      </c>
      <c r="T395" s="2" t="s">
        <v>47</v>
      </c>
      <c r="U395" s="2" t="b">
        <v>0</v>
      </c>
      <c r="V395" s="5">
        <v>0.0063</v>
      </c>
      <c r="W395" s="5">
        <v>0.0267</v>
      </c>
      <c r="X395" s="5">
        <v>1.67E-4</v>
      </c>
      <c r="Y395" s="2">
        <v>148.7333333</v>
      </c>
      <c r="AA395" s="2" t="s">
        <v>33</v>
      </c>
    </row>
    <row r="396">
      <c r="A396" s="2">
        <v>1771.0</v>
      </c>
      <c r="B396" s="2" t="s">
        <v>1199</v>
      </c>
      <c r="C396" s="2" t="s">
        <v>7</v>
      </c>
      <c r="D396" s="2" t="s">
        <v>1200</v>
      </c>
      <c r="E396" s="2" t="s">
        <v>1201</v>
      </c>
      <c r="F396" s="6">
        <v>45730.708333333336</v>
      </c>
      <c r="G396" s="2">
        <v>58456.0</v>
      </c>
      <c r="H396" s="2">
        <v>58456.0</v>
      </c>
      <c r="I396" s="2">
        <v>49831.0</v>
      </c>
      <c r="J396" s="2">
        <v>413.0</v>
      </c>
      <c r="K396" s="2">
        <v>331.0</v>
      </c>
      <c r="L396" s="2">
        <v>3.0</v>
      </c>
      <c r="M396" s="4">
        <v>6234.0</v>
      </c>
      <c r="N396" s="2" t="s">
        <v>30</v>
      </c>
      <c r="O396" s="2">
        <v>70.0</v>
      </c>
      <c r="P396" s="2" t="s">
        <v>189</v>
      </c>
      <c r="Q396" s="2" t="s">
        <v>32</v>
      </c>
      <c r="R396" s="2">
        <v>32.0</v>
      </c>
      <c r="T396" s="2" t="s">
        <v>1202</v>
      </c>
      <c r="U396" s="2" t="b">
        <v>0</v>
      </c>
      <c r="V396" s="5">
        <v>0.0066</v>
      </c>
      <c r="W396" s="5">
        <v>0.0091</v>
      </c>
      <c r="X396" s="5">
        <v>6.0E-5</v>
      </c>
      <c r="Y396" s="2">
        <v>18.83383686</v>
      </c>
      <c r="Z396" s="2">
        <v>843.0</v>
      </c>
      <c r="AA396" s="2" t="s">
        <v>33</v>
      </c>
    </row>
    <row r="397">
      <c r="A397" s="2">
        <v>1774.0</v>
      </c>
      <c r="B397" s="2" t="s">
        <v>1203</v>
      </c>
      <c r="C397" s="2" t="s">
        <v>7</v>
      </c>
      <c r="D397" s="2" t="s">
        <v>1204</v>
      </c>
      <c r="E397" s="2" t="s">
        <v>1205</v>
      </c>
      <c r="F397" s="6">
        <v>45731.458333333336</v>
      </c>
      <c r="G397" s="2">
        <v>44270.0</v>
      </c>
      <c r="H397" s="2">
        <v>44270.0</v>
      </c>
      <c r="I397" s="2">
        <v>35633.0</v>
      </c>
      <c r="J397" s="2">
        <v>190.0</v>
      </c>
      <c r="K397" s="2">
        <v>150.0</v>
      </c>
      <c r="L397" s="2">
        <v>1.0</v>
      </c>
      <c r="M397" s="4">
        <v>1110.0</v>
      </c>
      <c r="N397" s="2" t="s">
        <v>36</v>
      </c>
      <c r="O397" s="2">
        <v>71.0</v>
      </c>
      <c r="P397" s="2" t="s">
        <v>31</v>
      </c>
      <c r="Q397" s="2" t="s">
        <v>32</v>
      </c>
      <c r="R397" s="2">
        <v>27.0</v>
      </c>
      <c r="T397" s="2" t="s">
        <v>47</v>
      </c>
      <c r="U397" s="2" t="b">
        <v>0</v>
      </c>
      <c r="V397" s="5">
        <v>0.0042</v>
      </c>
      <c r="W397" s="5">
        <v>0.0067</v>
      </c>
      <c r="X397" s="5">
        <v>2.8E-5</v>
      </c>
      <c r="Y397" s="2">
        <v>7.4</v>
      </c>
      <c r="AA397" s="2" t="s">
        <v>33</v>
      </c>
    </row>
    <row r="398">
      <c r="A398" s="2">
        <v>1773.0</v>
      </c>
      <c r="B398" s="2" t="s">
        <v>1206</v>
      </c>
      <c r="C398" s="2" t="s">
        <v>7</v>
      </c>
      <c r="D398" s="2" t="s">
        <v>1207</v>
      </c>
      <c r="E398" s="2" t="s">
        <v>1208</v>
      </c>
      <c r="F398" s="6">
        <v>45731.458333333336</v>
      </c>
      <c r="G398" s="2">
        <v>738.0</v>
      </c>
      <c r="H398" s="2">
        <v>738.0</v>
      </c>
      <c r="I398" s="2">
        <v>654.0</v>
      </c>
      <c r="J398" s="2">
        <v>1.0</v>
      </c>
      <c r="K398" s="2">
        <v>1.0</v>
      </c>
      <c r="L398" s="2">
        <v>0.0</v>
      </c>
      <c r="M398" s="2">
        <v>0.0</v>
      </c>
      <c r="N398" s="2" t="s">
        <v>30</v>
      </c>
      <c r="O398" s="2">
        <v>70.0</v>
      </c>
      <c r="P398" s="2" t="s">
        <v>31</v>
      </c>
      <c r="Q398" s="2" t="s">
        <v>32</v>
      </c>
      <c r="R398" s="2">
        <v>26.0</v>
      </c>
      <c r="T398" s="2" t="s">
        <v>47</v>
      </c>
      <c r="U398" s="2" t="b">
        <v>0</v>
      </c>
      <c r="V398" s="5">
        <v>0.0015</v>
      </c>
      <c r="W398" s="5">
        <v>0.0</v>
      </c>
      <c r="X398" s="5">
        <v>0.0</v>
      </c>
      <c r="Y398" s="2">
        <v>0.0</v>
      </c>
      <c r="AA398" s="2" t="s">
        <v>33</v>
      </c>
    </row>
    <row r="399">
      <c r="A399" s="2">
        <v>1776.0</v>
      </c>
      <c r="B399" s="2" t="s">
        <v>1209</v>
      </c>
      <c r="C399" s="2" t="s">
        <v>7</v>
      </c>
      <c r="D399" s="2" t="s">
        <v>1210</v>
      </c>
      <c r="E399" s="2" t="s">
        <v>1211</v>
      </c>
      <c r="F399" s="6">
        <v>45731.541666666664</v>
      </c>
      <c r="G399" s="2">
        <v>44270.0</v>
      </c>
      <c r="H399" s="2">
        <v>44270.0</v>
      </c>
      <c r="I399" s="2">
        <v>35786.0</v>
      </c>
      <c r="J399" s="2">
        <v>278.0</v>
      </c>
      <c r="K399" s="2">
        <v>226.0</v>
      </c>
      <c r="L399" s="2">
        <v>3.0</v>
      </c>
      <c r="M399" s="4">
        <v>7529.0</v>
      </c>
      <c r="N399" s="2" t="s">
        <v>36</v>
      </c>
      <c r="O399" s="2">
        <v>71.0</v>
      </c>
      <c r="P399" s="2" t="s">
        <v>189</v>
      </c>
      <c r="Q399" s="2" t="s">
        <v>32</v>
      </c>
      <c r="R399" s="2">
        <v>28.0</v>
      </c>
      <c r="T399" s="2" t="s">
        <v>47</v>
      </c>
      <c r="U399" s="2" t="b">
        <v>0</v>
      </c>
      <c r="V399" s="5">
        <v>0.0063</v>
      </c>
      <c r="W399" s="5">
        <v>0.0133</v>
      </c>
      <c r="X399" s="5">
        <v>8.4E-5</v>
      </c>
      <c r="Y399" s="2">
        <v>33.31415929</v>
      </c>
      <c r="AA399" s="2" t="s">
        <v>33</v>
      </c>
    </row>
    <row r="400">
      <c r="A400" s="2">
        <v>1775.0</v>
      </c>
      <c r="B400" s="2" t="s">
        <v>1212</v>
      </c>
      <c r="C400" s="2" t="s">
        <v>7</v>
      </c>
      <c r="D400" s="2" t="s">
        <v>1213</v>
      </c>
      <c r="E400" s="2" t="s">
        <v>1214</v>
      </c>
      <c r="F400" s="6">
        <v>45731.541666666664</v>
      </c>
      <c r="G400" s="2">
        <v>58505.0</v>
      </c>
      <c r="H400" s="2">
        <v>58505.0</v>
      </c>
      <c r="I400" s="2">
        <v>49763.0</v>
      </c>
      <c r="J400" s="2">
        <v>289.0</v>
      </c>
      <c r="K400" s="2">
        <v>243.0</v>
      </c>
      <c r="L400" s="2">
        <v>8.0</v>
      </c>
      <c r="M400" s="4">
        <v>21134.0</v>
      </c>
      <c r="N400" s="2" t="s">
        <v>30</v>
      </c>
      <c r="O400" s="2">
        <v>70.0</v>
      </c>
      <c r="P400" s="2" t="s">
        <v>189</v>
      </c>
      <c r="Q400" s="2" t="s">
        <v>32</v>
      </c>
      <c r="R400" s="2">
        <v>27.0</v>
      </c>
      <c r="T400" s="7" t="str">
        <f>IFERROR(__xludf.DUMMYFUNCTION("AI(""has offer Come X Pay X"",D400)"),"🦀 ลด 30% กับ Jumbo Seafood has offer Come X Pay X")</f>
        <v>🦀 ลด 30% กับ Jumbo Seafood has offer Come X Pay X</v>
      </c>
      <c r="U400" s="2" t="b">
        <v>0</v>
      </c>
      <c r="V400" s="5">
        <v>0.0049</v>
      </c>
      <c r="W400" s="5">
        <v>0.0329</v>
      </c>
      <c r="X400" s="5">
        <v>1.61E-4</v>
      </c>
      <c r="Y400" s="2">
        <v>86.97119342</v>
      </c>
      <c r="Z400" s="2" t="s">
        <v>1215</v>
      </c>
      <c r="AA400" s="2" t="s">
        <v>33</v>
      </c>
    </row>
    <row r="401">
      <c r="A401" s="2">
        <v>1778.0</v>
      </c>
      <c r="B401" s="2" t="s">
        <v>1216</v>
      </c>
      <c r="C401" s="2" t="s">
        <v>7</v>
      </c>
      <c r="D401" s="2" t="s">
        <v>1217</v>
      </c>
      <c r="E401" s="2" t="s">
        <v>1218</v>
      </c>
      <c r="F401" s="6">
        <v>45731.625</v>
      </c>
      <c r="G401" s="2">
        <v>44287.0</v>
      </c>
      <c r="H401" s="2">
        <v>44287.0</v>
      </c>
      <c r="I401" s="2">
        <v>35877.0</v>
      </c>
      <c r="J401" s="2">
        <v>283.0</v>
      </c>
      <c r="K401" s="2">
        <v>238.0</v>
      </c>
      <c r="L401" s="2">
        <v>5.0</v>
      </c>
      <c r="M401" s="4">
        <v>24598.0</v>
      </c>
      <c r="N401" s="2" t="s">
        <v>36</v>
      </c>
      <c r="O401" s="2">
        <v>71.0</v>
      </c>
      <c r="P401" s="2" t="s">
        <v>31</v>
      </c>
      <c r="Q401" s="2" t="s">
        <v>32</v>
      </c>
      <c r="R401" s="2">
        <v>27.0</v>
      </c>
      <c r="U401" s="2" t="b">
        <v>0</v>
      </c>
      <c r="V401" s="5">
        <v>0.0066</v>
      </c>
      <c r="W401" s="5">
        <v>0.021</v>
      </c>
      <c r="X401" s="5">
        <v>1.39E-4</v>
      </c>
      <c r="Y401" s="2">
        <v>103.3529412</v>
      </c>
      <c r="AA401" s="2" t="s">
        <v>33</v>
      </c>
    </row>
    <row r="402">
      <c r="A402" s="2">
        <v>1777.0</v>
      </c>
      <c r="B402" s="2" t="s">
        <v>1219</v>
      </c>
      <c r="C402" s="2" t="s">
        <v>7</v>
      </c>
      <c r="D402" s="2" t="s">
        <v>1220</v>
      </c>
      <c r="E402" s="2" t="s">
        <v>1221</v>
      </c>
      <c r="F402" s="6">
        <v>45731.625</v>
      </c>
      <c r="G402" s="2">
        <v>58490.0</v>
      </c>
      <c r="H402" s="2">
        <v>58490.0</v>
      </c>
      <c r="I402" s="2">
        <v>49793.0</v>
      </c>
      <c r="J402" s="2">
        <v>313.0</v>
      </c>
      <c r="K402" s="2">
        <v>271.0</v>
      </c>
      <c r="L402" s="2">
        <v>5.0</v>
      </c>
      <c r="M402" s="4">
        <v>10204.0</v>
      </c>
      <c r="N402" s="2" t="s">
        <v>30</v>
      </c>
      <c r="O402" s="2">
        <v>70.0</v>
      </c>
      <c r="P402" s="2" t="s">
        <v>31</v>
      </c>
      <c r="Q402" s="2" t="s">
        <v>32</v>
      </c>
      <c r="R402" s="2">
        <v>25.0</v>
      </c>
      <c r="U402" s="2" t="b">
        <v>0</v>
      </c>
      <c r="V402" s="5">
        <v>0.0054</v>
      </c>
      <c r="W402" s="5">
        <v>0.0185</v>
      </c>
      <c r="X402" s="5">
        <v>1.0E-4</v>
      </c>
      <c r="Y402" s="2">
        <v>37.65313653</v>
      </c>
      <c r="Z402" s="2">
        <v>5446.0</v>
      </c>
      <c r="AA402" s="2" t="s">
        <v>33</v>
      </c>
    </row>
    <row r="403">
      <c r="A403" s="2">
        <v>1780.0</v>
      </c>
      <c r="B403" s="2" t="s">
        <v>1222</v>
      </c>
      <c r="C403" s="2" t="s">
        <v>7</v>
      </c>
      <c r="D403" s="2" t="s">
        <v>1223</v>
      </c>
      <c r="E403" s="2" t="s">
        <v>1224</v>
      </c>
      <c r="F403" s="6">
        <v>45732.458333333336</v>
      </c>
      <c r="G403" s="2">
        <v>44322.0</v>
      </c>
      <c r="H403" s="2">
        <v>44322.0</v>
      </c>
      <c r="I403" s="2">
        <v>35617.0</v>
      </c>
      <c r="J403" s="2">
        <v>235.0</v>
      </c>
      <c r="K403" s="2">
        <v>179.0</v>
      </c>
      <c r="L403" s="2">
        <v>3.0</v>
      </c>
      <c r="M403" s="4">
        <v>5469.0</v>
      </c>
      <c r="N403" s="2" t="s">
        <v>36</v>
      </c>
      <c r="O403" s="2">
        <v>71.0</v>
      </c>
      <c r="P403" s="2" t="s">
        <v>189</v>
      </c>
      <c r="Q403" s="2" t="s">
        <v>32</v>
      </c>
      <c r="R403" s="2">
        <v>34.0</v>
      </c>
      <c r="T403" s="2" t="s">
        <v>143</v>
      </c>
      <c r="U403" s="2" t="b">
        <v>0</v>
      </c>
      <c r="V403" s="5">
        <v>0.005</v>
      </c>
      <c r="W403" s="5">
        <v>0.0168</v>
      </c>
      <c r="X403" s="5">
        <v>8.4E-5</v>
      </c>
      <c r="Y403" s="2">
        <v>30.55307263</v>
      </c>
      <c r="AA403" s="2" t="s">
        <v>33</v>
      </c>
    </row>
    <row r="404">
      <c r="A404" s="2">
        <v>1779.0</v>
      </c>
      <c r="B404" s="2" t="s">
        <v>1225</v>
      </c>
      <c r="C404" s="2" t="s">
        <v>7</v>
      </c>
      <c r="D404" s="2" t="s">
        <v>1226</v>
      </c>
      <c r="E404" s="2" t="s">
        <v>1227</v>
      </c>
      <c r="F404" s="6">
        <v>45732.458333333336</v>
      </c>
      <c r="G404" s="2">
        <v>58474.0</v>
      </c>
      <c r="H404" s="2">
        <v>58474.0</v>
      </c>
      <c r="I404" s="2">
        <v>49533.0</v>
      </c>
      <c r="J404" s="2">
        <v>360.0</v>
      </c>
      <c r="K404" s="2">
        <v>292.0</v>
      </c>
      <c r="L404" s="2">
        <v>8.0</v>
      </c>
      <c r="M404" s="4">
        <v>12869.0</v>
      </c>
      <c r="N404" s="2" t="s">
        <v>30</v>
      </c>
      <c r="O404" s="2">
        <v>70.0</v>
      </c>
      <c r="P404" s="2" t="s">
        <v>189</v>
      </c>
      <c r="Q404" s="2" t="s">
        <v>32</v>
      </c>
      <c r="R404" s="2">
        <v>34.0</v>
      </c>
      <c r="T404" s="2" t="s">
        <v>143</v>
      </c>
      <c r="U404" s="2" t="b">
        <v>0</v>
      </c>
      <c r="V404" s="5">
        <v>0.0059</v>
      </c>
      <c r="W404" s="5">
        <v>0.0274</v>
      </c>
      <c r="X404" s="5">
        <v>1.62E-4</v>
      </c>
      <c r="Y404" s="2">
        <v>44.07191781</v>
      </c>
      <c r="Z404" s="2">
        <v>1768.0</v>
      </c>
      <c r="AA404" s="2" t="s">
        <v>33</v>
      </c>
    </row>
    <row r="405">
      <c r="A405" s="2">
        <v>1782.0</v>
      </c>
      <c r="B405" s="2" t="s">
        <v>1228</v>
      </c>
      <c r="C405" s="2" t="s">
        <v>7</v>
      </c>
      <c r="D405" s="2" t="s">
        <v>1229</v>
      </c>
      <c r="E405" s="2" t="s">
        <v>1230</v>
      </c>
      <c r="F405" s="6">
        <v>45732.541666666664</v>
      </c>
      <c r="G405" s="2">
        <v>44272.0</v>
      </c>
      <c r="H405" s="2">
        <v>44272.0</v>
      </c>
      <c r="I405" s="2">
        <v>35806.0</v>
      </c>
      <c r="J405" s="2">
        <v>260.0</v>
      </c>
      <c r="K405" s="2">
        <v>205.0</v>
      </c>
      <c r="L405" s="2">
        <v>2.0</v>
      </c>
      <c r="M405" s="4">
        <v>4779.0</v>
      </c>
      <c r="N405" s="2" t="s">
        <v>36</v>
      </c>
      <c r="O405" s="2">
        <v>71.0</v>
      </c>
      <c r="P405" s="2" t="s">
        <v>31</v>
      </c>
      <c r="Q405" s="2" t="s">
        <v>32</v>
      </c>
      <c r="R405" s="2">
        <v>42.0</v>
      </c>
      <c r="T405" s="2" t="s">
        <v>47</v>
      </c>
      <c r="U405" s="2" t="b">
        <v>0</v>
      </c>
      <c r="V405" s="5">
        <v>0.0057</v>
      </c>
      <c r="W405" s="5">
        <v>0.0098</v>
      </c>
      <c r="X405" s="5">
        <v>5.6E-5</v>
      </c>
      <c r="Y405" s="2">
        <v>23.31219512</v>
      </c>
      <c r="AA405" s="2" t="s">
        <v>33</v>
      </c>
    </row>
    <row r="406">
      <c r="A406" s="2">
        <v>1781.0</v>
      </c>
      <c r="B406" s="2" t="s">
        <v>1231</v>
      </c>
      <c r="C406" s="2" t="s">
        <v>7</v>
      </c>
      <c r="D406" s="2" t="s">
        <v>1232</v>
      </c>
      <c r="E406" s="2" t="s">
        <v>1233</v>
      </c>
      <c r="F406" s="6">
        <v>45732.541666666664</v>
      </c>
      <c r="G406" s="2">
        <v>58484.0</v>
      </c>
      <c r="H406" s="2">
        <v>58484.0</v>
      </c>
      <c r="I406" s="2">
        <v>49692.0</v>
      </c>
      <c r="J406" s="2">
        <v>260.0</v>
      </c>
      <c r="K406" s="2">
        <v>216.0</v>
      </c>
      <c r="L406" s="2">
        <v>5.0</v>
      </c>
      <c r="M406" s="4">
        <v>9150.0</v>
      </c>
      <c r="N406" s="2" t="s">
        <v>30</v>
      </c>
      <c r="O406" s="2">
        <v>70.0</v>
      </c>
      <c r="P406" s="2" t="s">
        <v>31</v>
      </c>
      <c r="Q406" s="2" t="s">
        <v>32</v>
      </c>
      <c r="R406" s="2">
        <v>38.0</v>
      </c>
      <c r="T406" s="2" t="s">
        <v>1234</v>
      </c>
      <c r="U406" s="2" t="b">
        <v>0</v>
      </c>
      <c r="V406" s="5">
        <v>0.0043</v>
      </c>
      <c r="W406" s="5">
        <v>0.0231</v>
      </c>
      <c r="X406" s="5">
        <v>1.01E-4</v>
      </c>
      <c r="Y406" s="2">
        <v>42.36111111</v>
      </c>
      <c r="Z406" s="2">
        <v>4545.0</v>
      </c>
      <c r="AA406" s="2" t="s">
        <v>33</v>
      </c>
    </row>
    <row r="407">
      <c r="A407" s="2">
        <v>1784.0</v>
      </c>
      <c r="B407" s="2" t="s">
        <v>1235</v>
      </c>
      <c r="C407" s="2" t="s">
        <v>7</v>
      </c>
      <c r="D407" s="2" t="s">
        <v>1236</v>
      </c>
      <c r="E407" s="2" t="s">
        <v>1237</v>
      </c>
      <c r="F407" s="6">
        <v>45732.625</v>
      </c>
      <c r="G407" s="2">
        <v>44282.0</v>
      </c>
      <c r="H407" s="2">
        <v>44282.0</v>
      </c>
      <c r="I407" s="2">
        <v>35838.0</v>
      </c>
      <c r="J407" s="2">
        <v>326.0</v>
      </c>
      <c r="K407" s="2">
        <v>264.0</v>
      </c>
      <c r="L407" s="2">
        <v>2.0</v>
      </c>
      <c r="M407" s="4">
        <v>3112.0</v>
      </c>
      <c r="N407" s="2" t="s">
        <v>36</v>
      </c>
      <c r="O407" s="2">
        <v>71.0</v>
      </c>
      <c r="P407" s="2" t="s">
        <v>189</v>
      </c>
      <c r="Q407" s="2" t="s">
        <v>32</v>
      </c>
      <c r="R407" s="2">
        <v>42.0</v>
      </c>
      <c r="T407" s="2" t="s">
        <v>47</v>
      </c>
      <c r="U407" s="2" t="b">
        <v>0</v>
      </c>
      <c r="V407" s="5">
        <v>0.0074</v>
      </c>
      <c r="W407" s="5">
        <v>0.0076</v>
      </c>
      <c r="X407" s="5">
        <v>5.6E-5</v>
      </c>
      <c r="Y407" s="2">
        <v>11.78787879</v>
      </c>
      <c r="AA407" s="2" t="s">
        <v>33</v>
      </c>
    </row>
    <row r="408">
      <c r="A408" s="2">
        <v>1783.0</v>
      </c>
      <c r="B408" s="2" t="s">
        <v>1238</v>
      </c>
      <c r="C408" s="2" t="s">
        <v>7</v>
      </c>
      <c r="D408" s="2" t="s">
        <v>1239</v>
      </c>
      <c r="E408" s="2" t="s">
        <v>1240</v>
      </c>
      <c r="F408" s="6">
        <v>45732.625</v>
      </c>
      <c r="G408" s="2">
        <v>58521.0</v>
      </c>
      <c r="H408" s="2">
        <v>58521.0</v>
      </c>
      <c r="I408" s="2">
        <v>49642.0</v>
      </c>
      <c r="J408" s="2">
        <v>359.0</v>
      </c>
      <c r="K408" s="2">
        <v>307.0</v>
      </c>
      <c r="L408" s="2">
        <v>6.0</v>
      </c>
      <c r="M408" s="4">
        <v>23306.0</v>
      </c>
      <c r="N408" s="2" t="s">
        <v>30</v>
      </c>
      <c r="O408" s="2">
        <v>70.0</v>
      </c>
      <c r="P408" s="2" t="s">
        <v>189</v>
      </c>
      <c r="Q408" s="2" t="s">
        <v>32</v>
      </c>
      <c r="R408" s="2">
        <v>40.0</v>
      </c>
      <c r="T408" s="2" t="s">
        <v>47</v>
      </c>
      <c r="U408" s="2" t="b">
        <v>0</v>
      </c>
      <c r="V408" s="5">
        <v>0.0062</v>
      </c>
      <c r="W408" s="5">
        <v>0.0195</v>
      </c>
      <c r="X408" s="5">
        <v>1.21E-4</v>
      </c>
      <c r="Y408" s="2">
        <v>75.91530945</v>
      </c>
      <c r="Z408" s="2">
        <v>5486.0</v>
      </c>
      <c r="AA408" s="2" t="s">
        <v>33</v>
      </c>
    </row>
    <row r="409">
      <c r="A409" s="2">
        <v>1785.0</v>
      </c>
      <c r="B409" s="2" t="s">
        <v>1241</v>
      </c>
      <c r="C409" s="2" t="s">
        <v>7</v>
      </c>
      <c r="D409" s="2" t="s">
        <v>1242</v>
      </c>
      <c r="E409" s="2" t="s">
        <v>1243</v>
      </c>
      <c r="F409" s="6">
        <v>45733.51944444444</v>
      </c>
      <c r="G409" s="2">
        <v>58612.0</v>
      </c>
      <c r="H409" s="2">
        <v>58612.0</v>
      </c>
      <c r="I409" s="2">
        <v>49911.0</v>
      </c>
      <c r="J409" s="2">
        <v>370.0</v>
      </c>
      <c r="K409" s="2">
        <v>296.0</v>
      </c>
      <c r="L409" s="2">
        <v>7.0</v>
      </c>
      <c r="M409" s="4">
        <v>20586.0</v>
      </c>
      <c r="N409" s="2" t="s">
        <v>30</v>
      </c>
      <c r="O409" s="2">
        <v>70.0</v>
      </c>
      <c r="P409" s="2" t="s">
        <v>189</v>
      </c>
      <c r="Q409" s="2" t="s">
        <v>32</v>
      </c>
      <c r="R409" s="2">
        <v>30.0</v>
      </c>
      <c r="T409" s="2" t="s">
        <v>1185</v>
      </c>
      <c r="U409" s="2" t="b">
        <v>0</v>
      </c>
      <c r="V409" s="5">
        <v>0.0059</v>
      </c>
      <c r="W409" s="5">
        <v>0.0236</v>
      </c>
      <c r="X409" s="5">
        <v>1.4E-4</v>
      </c>
      <c r="Y409" s="2">
        <v>69.5472973</v>
      </c>
      <c r="Z409" s="2">
        <v>1826.0</v>
      </c>
      <c r="AA409" s="2" t="s">
        <v>33</v>
      </c>
    </row>
    <row r="410">
      <c r="A410" s="2">
        <v>1786.0</v>
      </c>
      <c r="B410" s="2" t="s">
        <v>1244</v>
      </c>
      <c r="C410" s="2" t="s">
        <v>7</v>
      </c>
      <c r="D410" s="2" t="s">
        <v>1245</v>
      </c>
      <c r="E410" s="2" t="s">
        <v>1246</v>
      </c>
      <c r="F410" s="6">
        <v>45733.52013888889</v>
      </c>
      <c r="G410" s="2">
        <v>44276.0</v>
      </c>
      <c r="H410" s="2">
        <v>44276.0</v>
      </c>
      <c r="I410" s="2">
        <v>35835.0</v>
      </c>
      <c r="J410" s="2">
        <v>333.0</v>
      </c>
      <c r="K410" s="2">
        <v>270.0</v>
      </c>
      <c r="L410" s="2">
        <v>0.0</v>
      </c>
      <c r="M410" s="2">
        <v>0.0</v>
      </c>
      <c r="N410" s="2" t="s">
        <v>36</v>
      </c>
      <c r="O410" s="2">
        <v>71.0</v>
      </c>
      <c r="P410" s="2" t="s">
        <v>189</v>
      </c>
      <c r="Q410" s="2" t="s">
        <v>32</v>
      </c>
      <c r="R410" s="2">
        <v>30.0</v>
      </c>
      <c r="T410" s="2" t="s">
        <v>1185</v>
      </c>
      <c r="U410" s="2" t="b">
        <v>0</v>
      </c>
      <c r="V410" s="5">
        <v>0.0075</v>
      </c>
      <c r="W410" s="5">
        <v>0.0</v>
      </c>
      <c r="X410" s="5">
        <v>0.0</v>
      </c>
      <c r="Y410" s="2">
        <v>0.0</v>
      </c>
      <c r="AA410" s="2" t="s">
        <v>33</v>
      </c>
    </row>
    <row r="411">
      <c r="A411" s="2">
        <v>1791.0</v>
      </c>
      <c r="B411" s="2" t="s">
        <v>1247</v>
      </c>
      <c r="C411" s="2" t="s">
        <v>7</v>
      </c>
      <c r="D411" s="2" t="s">
        <v>1248</v>
      </c>
      <c r="E411" s="2" t="s">
        <v>1249</v>
      </c>
      <c r="F411" s="6">
        <v>45733.62569444445</v>
      </c>
      <c r="G411" s="2">
        <v>58596.0</v>
      </c>
      <c r="H411" s="2">
        <v>58596.0</v>
      </c>
      <c r="I411" s="2">
        <v>49989.0</v>
      </c>
      <c r="J411" s="2">
        <v>254.0</v>
      </c>
      <c r="K411" s="2">
        <v>219.0</v>
      </c>
      <c r="L411" s="2">
        <v>8.0</v>
      </c>
      <c r="M411" s="4">
        <v>29473.0</v>
      </c>
      <c r="N411" s="2" t="s">
        <v>30</v>
      </c>
      <c r="O411" s="2">
        <v>70.0</v>
      </c>
      <c r="P411" s="2" t="s">
        <v>31</v>
      </c>
      <c r="Q411" s="2" t="s">
        <v>32</v>
      </c>
      <c r="R411" s="2">
        <v>29.0</v>
      </c>
      <c r="T411" s="2" t="s">
        <v>47</v>
      </c>
      <c r="U411" s="2" t="b">
        <v>0</v>
      </c>
      <c r="V411" s="5">
        <v>0.0044</v>
      </c>
      <c r="W411" s="5">
        <v>0.0365</v>
      </c>
      <c r="X411" s="5">
        <v>1.6E-4</v>
      </c>
      <c r="Y411" s="2">
        <v>134.5799087</v>
      </c>
      <c r="Z411" s="2">
        <v>1198.0</v>
      </c>
      <c r="AA411" s="2" t="s">
        <v>33</v>
      </c>
    </row>
    <row r="412">
      <c r="A412" s="2">
        <v>1792.0</v>
      </c>
      <c r="B412" s="2" t="s">
        <v>1250</v>
      </c>
      <c r="C412" s="2" t="s">
        <v>7</v>
      </c>
      <c r="D412" s="2" t="s">
        <v>1251</v>
      </c>
      <c r="E412" s="2" t="s">
        <v>1252</v>
      </c>
      <c r="F412" s="6">
        <v>45733.63055555556</v>
      </c>
      <c r="G412" s="2">
        <v>44237.0</v>
      </c>
      <c r="H412" s="2">
        <v>44237.0</v>
      </c>
      <c r="I412" s="2">
        <v>35933.0</v>
      </c>
      <c r="J412" s="2">
        <v>211.0</v>
      </c>
      <c r="K412" s="2">
        <v>173.0</v>
      </c>
      <c r="L412" s="2">
        <v>1.0</v>
      </c>
      <c r="M412" s="4">
        <v>15892.0</v>
      </c>
      <c r="N412" s="2" t="s">
        <v>36</v>
      </c>
      <c r="O412" s="2">
        <v>71.0</v>
      </c>
      <c r="P412" s="2" t="s">
        <v>189</v>
      </c>
      <c r="Q412" s="2" t="s">
        <v>32</v>
      </c>
      <c r="R412" s="2">
        <v>30.0</v>
      </c>
      <c r="U412" s="2" t="b">
        <v>0</v>
      </c>
      <c r="V412" s="5">
        <v>0.0048</v>
      </c>
      <c r="W412" s="5">
        <v>0.0058</v>
      </c>
      <c r="X412" s="5">
        <v>2.8E-5</v>
      </c>
      <c r="Y412" s="2">
        <v>91.86127168</v>
      </c>
      <c r="AA412" s="2" t="s">
        <v>33</v>
      </c>
    </row>
    <row r="413">
      <c r="A413" s="2">
        <v>1794.0</v>
      </c>
      <c r="B413" s="2" t="s">
        <v>1253</v>
      </c>
      <c r="C413" s="2" t="s">
        <v>7</v>
      </c>
      <c r="D413" s="2" t="s">
        <v>1254</v>
      </c>
      <c r="E413" s="2" t="s">
        <v>1255</v>
      </c>
      <c r="F413" s="6">
        <v>45733.708333333336</v>
      </c>
      <c r="G413" s="2">
        <v>44257.0</v>
      </c>
      <c r="H413" s="2">
        <v>44257.0</v>
      </c>
      <c r="I413" s="2">
        <v>35971.0</v>
      </c>
      <c r="J413" s="2">
        <v>247.0</v>
      </c>
      <c r="K413" s="2">
        <v>188.0</v>
      </c>
      <c r="L413" s="2">
        <v>4.0</v>
      </c>
      <c r="M413" s="4">
        <v>81488.0</v>
      </c>
      <c r="N413" s="2" t="s">
        <v>36</v>
      </c>
      <c r="O413" s="2">
        <v>71.0</v>
      </c>
      <c r="P413" s="2" t="s">
        <v>189</v>
      </c>
      <c r="Q413" s="2" t="s">
        <v>32</v>
      </c>
      <c r="R413" s="2">
        <v>23.0</v>
      </c>
      <c r="T413" s="2" t="s">
        <v>47</v>
      </c>
      <c r="U413" s="2" t="b">
        <v>0</v>
      </c>
      <c r="V413" s="5">
        <v>0.0052</v>
      </c>
      <c r="W413" s="5">
        <v>0.0213</v>
      </c>
      <c r="X413" s="5">
        <v>1.11E-4</v>
      </c>
      <c r="Y413" s="2">
        <v>433.4468085</v>
      </c>
      <c r="AA413" s="2" t="s">
        <v>33</v>
      </c>
    </row>
    <row r="414">
      <c r="A414" s="2">
        <v>1793.0</v>
      </c>
      <c r="B414" s="2" t="s">
        <v>1256</v>
      </c>
      <c r="C414" s="2" t="s">
        <v>7</v>
      </c>
      <c r="D414" s="2" t="s">
        <v>1257</v>
      </c>
      <c r="E414" s="2" t="s">
        <v>1258</v>
      </c>
      <c r="F414" s="6">
        <v>45733.708333333336</v>
      </c>
      <c r="G414" s="2">
        <v>58620.0</v>
      </c>
      <c r="H414" s="2">
        <v>58620.0</v>
      </c>
      <c r="I414" s="2">
        <v>50001.0</v>
      </c>
      <c r="J414" s="2">
        <v>279.0</v>
      </c>
      <c r="K414" s="2">
        <v>232.0</v>
      </c>
      <c r="L414" s="2">
        <v>4.0</v>
      </c>
      <c r="M414" s="4">
        <v>7782.0</v>
      </c>
      <c r="N414" s="2" t="s">
        <v>30</v>
      </c>
      <c r="O414" s="2">
        <v>70.0</v>
      </c>
      <c r="P414" s="2" t="s">
        <v>189</v>
      </c>
      <c r="Q414" s="2" t="s">
        <v>32</v>
      </c>
      <c r="R414" s="2">
        <v>22.0</v>
      </c>
      <c r="T414" s="2" t="s">
        <v>1259</v>
      </c>
      <c r="U414" s="2" t="b">
        <v>0</v>
      </c>
      <c r="V414" s="5">
        <v>0.0046</v>
      </c>
      <c r="W414" s="5">
        <v>0.0172</v>
      </c>
      <c r="X414" s="5">
        <v>8.0E-5</v>
      </c>
      <c r="Y414" s="2">
        <v>33.54310345</v>
      </c>
      <c r="AA414" s="2" t="s">
        <v>33</v>
      </c>
    </row>
    <row r="415">
      <c r="A415" s="2">
        <v>1795.0</v>
      </c>
      <c r="B415" s="2" t="s">
        <v>1260</v>
      </c>
      <c r="C415" s="2" t="s">
        <v>7</v>
      </c>
      <c r="D415" s="2" t="s">
        <v>1261</v>
      </c>
      <c r="E415" s="2" t="s">
        <v>1262</v>
      </c>
      <c r="F415" s="6">
        <v>45734.489583333336</v>
      </c>
      <c r="G415" s="2">
        <v>58646.0</v>
      </c>
      <c r="H415" s="2">
        <v>58646.0</v>
      </c>
      <c r="I415" s="2">
        <v>49927.0</v>
      </c>
      <c r="J415" s="2">
        <v>284.0</v>
      </c>
      <c r="K415" s="2">
        <v>245.0</v>
      </c>
      <c r="L415" s="2">
        <v>1.0</v>
      </c>
      <c r="M415" s="4">
        <v>6570.0</v>
      </c>
      <c r="N415" s="2" t="s">
        <v>30</v>
      </c>
      <c r="O415" s="2">
        <v>70.0</v>
      </c>
      <c r="P415" s="2" t="s">
        <v>189</v>
      </c>
      <c r="Q415" s="2" t="s">
        <v>32</v>
      </c>
      <c r="R415" s="2">
        <v>38.0</v>
      </c>
      <c r="T415" s="2" t="s">
        <v>47</v>
      </c>
      <c r="U415" s="2" t="b">
        <v>0</v>
      </c>
      <c r="V415" s="5">
        <v>0.0049</v>
      </c>
      <c r="W415" s="5">
        <v>0.0041</v>
      </c>
      <c r="X415" s="5">
        <v>2.0E-5</v>
      </c>
      <c r="Y415" s="2">
        <v>26.81632653</v>
      </c>
      <c r="AA415" s="2" t="s">
        <v>33</v>
      </c>
    </row>
    <row r="416">
      <c r="A416" s="2">
        <v>1796.0</v>
      </c>
      <c r="B416" s="2" t="s">
        <v>1263</v>
      </c>
      <c r="C416" s="2" t="s">
        <v>7</v>
      </c>
      <c r="D416" s="2" t="s">
        <v>1264</v>
      </c>
      <c r="E416" s="2" t="s">
        <v>1265</v>
      </c>
      <c r="F416" s="6">
        <v>45734.495833333334</v>
      </c>
      <c r="G416" s="2">
        <v>44259.0</v>
      </c>
      <c r="H416" s="2">
        <v>44259.0</v>
      </c>
      <c r="I416" s="2">
        <v>35800.0</v>
      </c>
      <c r="J416" s="2">
        <v>253.0</v>
      </c>
      <c r="K416" s="2">
        <v>208.0</v>
      </c>
      <c r="L416" s="2">
        <v>3.0</v>
      </c>
      <c r="M416" s="4">
        <v>9658.0</v>
      </c>
      <c r="N416" s="2" t="s">
        <v>36</v>
      </c>
      <c r="O416" s="2">
        <v>71.0</v>
      </c>
      <c r="P416" s="2" t="s">
        <v>189</v>
      </c>
      <c r="Q416" s="2" t="s">
        <v>32</v>
      </c>
      <c r="R416" s="2">
        <v>42.0</v>
      </c>
      <c r="T416" s="2" t="s">
        <v>47</v>
      </c>
      <c r="U416" s="2" t="b">
        <v>0</v>
      </c>
      <c r="V416" s="5">
        <v>0.0058</v>
      </c>
      <c r="W416" s="5">
        <v>0.0144</v>
      </c>
      <c r="X416" s="5">
        <v>8.4E-5</v>
      </c>
      <c r="Y416" s="2">
        <v>46.43269231</v>
      </c>
      <c r="AA416" s="2" t="s">
        <v>33</v>
      </c>
    </row>
    <row r="417">
      <c r="A417" s="2">
        <v>1797.0</v>
      </c>
      <c r="B417" s="2" t="s">
        <v>1266</v>
      </c>
      <c r="C417" s="2" t="s">
        <v>7</v>
      </c>
      <c r="D417" s="2" t="s">
        <v>1267</v>
      </c>
      <c r="E417" s="2" t="s">
        <v>1268</v>
      </c>
      <c r="F417" s="6">
        <v>45734.62847222222</v>
      </c>
      <c r="G417" s="2">
        <v>58678.0</v>
      </c>
      <c r="H417" s="2">
        <v>58678.0</v>
      </c>
      <c r="I417" s="2">
        <v>50047.0</v>
      </c>
      <c r="J417" s="2">
        <v>364.0</v>
      </c>
      <c r="K417" s="2">
        <v>301.0</v>
      </c>
      <c r="L417" s="2">
        <v>6.0</v>
      </c>
      <c r="M417" s="4">
        <v>64510.0</v>
      </c>
      <c r="N417" s="2" t="s">
        <v>30</v>
      </c>
      <c r="O417" s="2">
        <v>70.0</v>
      </c>
      <c r="P417" s="2" t="s">
        <v>189</v>
      </c>
      <c r="Q417" s="2" t="s">
        <v>32</v>
      </c>
      <c r="R417" s="2">
        <v>28.0</v>
      </c>
      <c r="T417" s="2" t="s">
        <v>143</v>
      </c>
      <c r="U417" s="2" t="b">
        <v>0</v>
      </c>
      <c r="V417" s="5">
        <v>0.006</v>
      </c>
      <c r="W417" s="5">
        <v>0.0199</v>
      </c>
      <c r="X417" s="5">
        <v>1.2E-4</v>
      </c>
      <c r="Y417" s="2">
        <v>214.3189369</v>
      </c>
      <c r="Z417" s="2">
        <v>1728.0</v>
      </c>
      <c r="AA417" s="2" t="s">
        <v>33</v>
      </c>
    </row>
    <row r="418">
      <c r="A418" s="2">
        <v>1798.0</v>
      </c>
      <c r="B418" s="2" t="s">
        <v>1269</v>
      </c>
      <c r="C418" s="2" t="s">
        <v>7</v>
      </c>
      <c r="D418" s="2" t="s">
        <v>1270</v>
      </c>
      <c r="E418" s="2" t="s">
        <v>1271</v>
      </c>
      <c r="F418" s="6">
        <v>45734.631944444445</v>
      </c>
      <c r="G418" s="2">
        <v>44243.0</v>
      </c>
      <c r="H418" s="2">
        <v>44243.0</v>
      </c>
      <c r="I418" s="2">
        <v>36040.0</v>
      </c>
      <c r="J418" s="2">
        <v>281.0</v>
      </c>
      <c r="K418" s="2">
        <v>235.0</v>
      </c>
      <c r="L418" s="2">
        <v>2.0</v>
      </c>
      <c r="M418" s="4">
        <v>2555.0</v>
      </c>
      <c r="N418" s="2" t="s">
        <v>36</v>
      </c>
      <c r="O418" s="2">
        <v>71.0</v>
      </c>
      <c r="P418" s="2" t="s">
        <v>189</v>
      </c>
      <c r="Q418" s="2" t="s">
        <v>32</v>
      </c>
      <c r="R418" s="2">
        <v>28.0</v>
      </c>
      <c r="T418" s="2" t="s">
        <v>58</v>
      </c>
      <c r="U418" s="2" t="b">
        <v>0</v>
      </c>
      <c r="V418" s="5">
        <v>0.0065</v>
      </c>
      <c r="W418" s="5">
        <v>0.0085</v>
      </c>
      <c r="X418" s="5">
        <v>5.5E-5</v>
      </c>
      <c r="Y418" s="2">
        <v>10.87234043</v>
      </c>
      <c r="AA418" s="2" t="s">
        <v>33</v>
      </c>
    </row>
    <row r="419">
      <c r="A419" s="2">
        <v>1800.0</v>
      </c>
      <c r="B419" s="2" t="s">
        <v>1272</v>
      </c>
      <c r="C419" s="2" t="s">
        <v>7</v>
      </c>
      <c r="D419" s="2" t="s">
        <v>1273</v>
      </c>
      <c r="E419" s="2" t="e">
        <v>#N/A</v>
      </c>
      <c r="F419" s="6">
        <v>45734.708333333336</v>
      </c>
      <c r="G419" s="2">
        <v>44255.0</v>
      </c>
      <c r="H419" s="2">
        <v>44255.0</v>
      </c>
      <c r="I419" s="2">
        <v>36097.0</v>
      </c>
      <c r="J419" s="2">
        <v>281.0</v>
      </c>
      <c r="K419" s="2">
        <v>224.0</v>
      </c>
      <c r="L419" s="2">
        <v>3.0</v>
      </c>
      <c r="M419" s="4">
        <v>13760.0</v>
      </c>
      <c r="N419" s="2" t="s">
        <v>36</v>
      </c>
      <c r="O419" s="2">
        <v>71.0</v>
      </c>
      <c r="P419" s="2" t="s">
        <v>31</v>
      </c>
      <c r="Q419" s="2" t="s">
        <v>32</v>
      </c>
      <c r="R419" s="2">
        <v>27.0</v>
      </c>
      <c r="T419" s="7" t="str">
        <f>IFERROR(__xludf.DUMMYFUNCTION("AI(""has offer Come X Pay X"",D419)"),"has offer Come X Pay X")</f>
        <v>has offer Come X Pay X</v>
      </c>
      <c r="U419" s="2" t="b">
        <v>0</v>
      </c>
      <c r="V419" s="5">
        <v>0.0062</v>
      </c>
      <c r="W419" s="5">
        <v>0.0134</v>
      </c>
      <c r="X419" s="5">
        <v>8.3E-5</v>
      </c>
      <c r="Y419" s="2">
        <v>61.42857143</v>
      </c>
      <c r="AA419" s="2" t="s">
        <v>33</v>
      </c>
    </row>
    <row r="420">
      <c r="A420" s="2">
        <v>1799.0</v>
      </c>
      <c r="B420" s="2" t="s">
        <v>1274</v>
      </c>
      <c r="C420" s="2" t="s">
        <v>7</v>
      </c>
      <c r="D420" s="2" t="s">
        <v>1275</v>
      </c>
      <c r="E420" s="2" t="e">
        <v>#N/A</v>
      </c>
      <c r="F420" s="6">
        <v>45734.708333333336</v>
      </c>
      <c r="G420" s="2">
        <v>58694.0</v>
      </c>
      <c r="H420" s="2">
        <v>58694.0</v>
      </c>
      <c r="I420" s="2">
        <v>50062.0</v>
      </c>
      <c r="J420" s="2">
        <v>278.0</v>
      </c>
      <c r="K420" s="2">
        <v>219.0</v>
      </c>
      <c r="L420" s="2">
        <v>3.0</v>
      </c>
      <c r="M420" s="4">
        <v>6696.0</v>
      </c>
      <c r="N420" s="2" t="s">
        <v>30</v>
      </c>
      <c r="O420" s="2">
        <v>70.0</v>
      </c>
      <c r="P420" s="2" t="s">
        <v>31</v>
      </c>
      <c r="Q420" s="2" t="s">
        <v>32</v>
      </c>
      <c r="R420" s="2">
        <v>21.0</v>
      </c>
      <c r="U420" s="2" t="b">
        <v>0</v>
      </c>
      <c r="V420" s="5">
        <v>0.0044</v>
      </c>
      <c r="W420" s="5">
        <v>0.0137</v>
      </c>
      <c r="X420" s="5">
        <v>6.0E-5</v>
      </c>
      <c r="Y420" s="2">
        <v>30.57534247</v>
      </c>
      <c r="AA420" s="2" t="s">
        <v>33</v>
      </c>
    </row>
    <row r="421">
      <c r="A421" s="2">
        <v>1802.0</v>
      </c>
      <c r="B421" s="2" t="s">
        <v>1276</v>
      </c>
      <c r="C421" s="2" t="s">
        <v>1277</v>
      </c>
      <c r="D421" s="2" t="s">
        <v>1278</v>
      </c>
      <c r="E421" s="2" t="s">
        <v>1279</v>
      </c>
      <c r="F421" s="6">
        <v>45735.375</v>
      </c>
      <c r="G421" s="2">
        <v>0.0</v>
      </c>
      <c r="H421" s="2">
        <v>0.0</v>
      </c>
      <c r="I421" s="2">
        <v>0.0</v>
      </c>
      <c r="J421" s="2">
        <v>0.0</v>
      </c>
      <c r="K421" s="2">
        <v>0.0</v>
      </c>
      <c r="L421" s="2">
        <v>0.0</v>
      </c>
      <c r="M421" s="2">
        <v>0.0</v>
      </c>
      <c r="N421" s="2" t="s">
        <v>36</v>
      </c>
      <c r="O421" s="2">
        <v>71.0</v>
      </c>
      <c r="P421" s="2" t="s">
        <v>189</v>
      </c>
      <c r="Q421" s="2" t="s">
        <v>32</v>
      </c>
      <c r="R421" s="2">
        <v>45.0</v>
      </c>
      <c r="U421" s="2" t="b">
        <v>0</v>
      </c>
      <c r="AA421" s="2" t="s">
        <v>33</v>
      </c>
    </row>
    <row r="422">
      <c r="A422" s="2">
        <v>1801.0</v>
      </c>
      <c r="B422" s="2" t="s">
        <v>1280</v>
      </c>
      <c r="C422" s="2" t="s">
        <v>1277</v>
      </c>
      <c r="D422" s="2" t="s">
        <v>1281</v>
      </c>
      <c r="E422" s="2" t="s">
        <v>1282</v>
      </c>
      <c r="F422" s="6">
        <v>45735.375</v>
      </c>
      <c r="G422" s="2">
        <v>0.0</v>
      </c>
      <c r="H422" s="2">
        <v>0.0</v>
      </c>
      <c r="I422" s="2">
        <v>0.0</v>
      </c>
      <c r="J422" s="2">
        <v>0.0</v>
      </c>
      <c r="K422" s="2">
        <v>0.0</v>
      </c>
      <c r="L422" s="2">
        <v>0.0</v>
      </c>
      <c r="M422" s="2">
        <v>0.0</v>
      </c>
      <c r="N422" s="2" t="s">
        <v>30</v>
      </c>
      <c r="O422" s="2">
        <v>70.0</v>
      </c>
      <c r="P422" s="2" t="s">
        <v>189</v>
      </c>
      <c r="Q422" s="2" t="s">
        <v>32</v>
      </c>
      <c r="R422" s="2">
        <v>36.0</v>
      </c>
      <c r="U422" s="2" t="b">
        <v>0</v>
      </c>
      <c r="Z422" s="2" t="s">
        <v>182</v>
      </c>
      <c r="AA422" s="2" t="s">
        <v>33</v>
      </c>
    </row>
    <row r="423">
      <c r="A423" s="2">
        <v>1805.0</v>
      </c>
      <c r="B423" s="2" t="s">
        <v>1283</v>
      </c>
      <c r="C423" s="2" t="s">
        <v>7</v>
      </c>
      <c r="D423" s="2" t="s">
        <v>1284</v>
      </c>
      <c r="E423" s="2" t="s">
        <v>1285</v>
      </c>
      <c r="F423" s="6">
        <v>45735.625</v>
      </c>
      <c r="G423" s="2">
        <v>2608.0</v>
      </c>
      <c r="H423" s="2">
        <v>2608.0</v>
      </c>
      <c r="I423" s="2">
        <v>2090.0</v>
      </c>
      <c r="J423" s="2">
        <v>38.0</v>
      </c>
      <c r="K423" s="2">
        <v>30.0</v>
      </c>
      <c r="L423" s="2">
        <v>0.0</v>
      </c>
      <c r="M423" s="2">
        <v>0.0</v>
      </c>
      <c r="N423" s="2" t="s">
        <v>423</v>
      </c>
      <c r="O423" s="2">
        <v>119.0</v>
      </c>
      <c r="P423" s="2" t="s">
        <v>31</v>
      </c>
      <c r="Q423" s="2" t="s">
        <v>32</v>
      </c>
      <c r="R423" s="2">
        <v>28.0</v>
      </c>
      <c r="T423" s="2" t="s">
        <v>47</v>
      </c>
      <c r="U423" s="2" t="b">
        <v>0</v>
      </c>
      <c r="V423" s="5">
        <v>0.0144</v>
      </c>
      <c r="W423" s="5">
        <v>0.0</v>
      </c>
      <c r="X423" s="5">
        <v>0.0</v>
      </c>
      <c r="Y423" s="2">
        <v>0.0</v>
      </c>
      <c r="AA423" s="2" t="s">
        <v>423</v>
      </c>
    </row>
    <row r="424">
      <c r="A424" s="2">
        <v>1804.0</v>
      </c>
      <c r="B424" s="2" t="s">
        <v>1286</v>
      </c>
      <c r="C424" s="2" t="s">
        <v>7</v>
      </c>
      <c r="D424" s="2" t="s">
        <v>172</v>
      </c>
      <c r="E424" s="2" t="s">
        <v>290</v>
      </c>
      <c r="F424" s="6">
        <v>45735.625</v>
      </c>
      <c r="G424" s="2">
        <v>44251.0</v>
      </c>
      <c r="H424" s="2">
        <v>44251.0</v>
      </c>
      <c r="I424" s="2">
        <v>36081.0</v>
      </c>
      <c r="J424" s="2">
        <v>211.0</v>
      </c>
      <c r="K424" s="2">
        <v>173.0</v>
      </c>
      <c r="L424" s="2">
        <v>1.0</v>
      </c>
      <c r="M424" s="4">
        <v>2097.0</v>
      </c>
      <c r="N424" s="2" t="s">
        <v>36</v>
      </c>
      <c r="O424" s="2">
        <v>71.0</v>
      </c>
      <c r="P424" s="2" t="s">
        <v>189</v>
      </c>
      <c r="Q424" s="2" t="s">
        <v>32</v>
      </c>
      <c r="R424" s="2">
        <v>24.0</v>
      </c>
      <c r="T424" s="2" t="s">
        <v>47</v>
      </c>
      <c r="U424" s="2" t="b">
        <v>0</v>
      </c>
      <c r="V424" s="5">
        <v>0.0048</v>
      </c>
      <c r="W424" s="5">
        <v>0.0058</v>
      </c>
      <c r="X424" s="5">
        <v>2.8E-5</v>
      </c>
      <c r="Y424" s="2">
        <v>12.12138728</v>
      </c>
      <c r="AA424" s="2" t="s">
        <v>33</v>
      </c>
    </row>
    <row r="425">
      <c r="A425" s="2">
        <v>1803.0</v>
      </c>
      <c r="B425" s="2" t="s">
        <v>1287</v>
      </c>
      <c r="C425" s="2" t="s">
        <v>7</v>
      </c>
      <c r="D425" s="2" t="s">
        <v>170</v>
      </c>
      <c r="E425" s="2" t="s">
        <v>288</v>
      </c>
      <c r="F425" s="6">
        <v>45735.625</v>
      </c>
      <c r="G425" s="2">
        <v>58680.0</v>
      </c>
      <c r="H425" s="2">
        <v>58680.0</v>
      </c>
      <c r="I425" s="2">
        <v>50044.0</v>
      </c>
      <c r="J425" s="2">
        <v>253.0</v>
      </c>
      <c r="K425" s="2">
        <v>211.0</v>
      </c>
      <c r="L425" s="2">
        <v>5.0</v>
      </c>
      <c r="M425" s="4">
        <v>15119.0</v>
      </c>
      <c r="N425" s="2" t="s">
        <v>30</v>
      </c>
      <c r="O425" s="2">
        <v>70.0</v>
      </c>
      <c r="P425" s="2" t="s">
        <v>31</v>
      </c>
      <c r="Q425" s="2" t="s">
        <v>32</v>
      </c>
      <c r="R425" s="2">
        <v>27.0</v>
      </c>
      <c r="T425" s="2" t="s">
        <v>1288</v>
      </c>
      <c r="U425" s="2" t="b">
        <v>0</v>
      </c>
      <c r="V425" s="5">
        <v>0.0042</v>
      </c>
      <c r="W425" s="5">
        <v>0.0237</v>
      </c>
      <c r="X425" s="5">
        <v>1.0E-4</v>
      </c>
      <c r="Y425" s="2">
        <v>71.65402844</v>
      </c>
      <c r="AA425" s="2" t="s">
        <v>33</v>
      </c>
    </row>
    <row r="426">
      <c r="A426" s="2">
        <v>1807.0</v>
      </c>
      <c r="B426" s="2" t="s">
        <v>1289</v>
      </c>
      <c r="C426" s="2" t="s">
        <v>7</v>
      </c>
      <c r="D426" s="2" t="s">
        <v>1290</v>
      </c>
      <c r="E426" s="2" t="s">
        <v>1291</v>
      </c>
      <c r="F426" s="6">
        <v>45735.708333333336</v>
      </c>
      <c r="G426" s="2">
        <v>44225.0</v>
      </c>
      <c r="H426" s="2">
        <v>44225.0</v>
      </c>
      <c r="I426" s="2">
        <v>36114.0</v>
      </c>
      <c r="J426" s="2">
        <v>286.0</v>
      </c>
      <c r="K426" s="2">
        <v>223.0</v>
      </c>
      <c r="L426" s="2">
        <v>6.0</v>
      </c>
      <c r="M426" s="4">
        <v>16335.0</v>
      </c>
      <c r="N426" s="2" t="s">
        <v>36</v>
      </c>
      <c r="O426" s="2">
        <v>71.0</v>
      </c>
      <c r="P426" s="2" t="s">
        <v>189</v>
      </c>
      <c r="Q426" s="2" t="s">
        <v>32</v>
      </c>
      <c r="R426" s="2">
        <v>28.0</v>
      </c>
      <c r="T426" s="2" t="s">
        <v>47</v>
      </c>
      <c r="U426" s="2" t="b">
        <v>0</v>
      </c>
      <c r="V426" s="5">
        <v>0.0062</v>
      </c>
      <c r="W426" s="5">
        <v>0.0269</v>
      </c>
      <c r="X426" s="5">
        <v>1.66E-4</v>
      </c>
      <c r="Y426" s="2">
        <v>73.25112108</v>
      </c>
      <c r="AA426" s="2" t="s">
        <v>33</v>
      </c>
    </row>
    <row r="427">
      <c r="A427" s="2">
        <v>1806.0</v>
      </c>
      <c r="B427" s="2" t="s">
        <v>1292</v>
      </c>
      <c r="C427" s="2" t="s">
        <v>7</v>
      </c>
      <c r="D427" s="2" t="s">
        <v>1293</v>
      </c>
      <c r="E427" s="2" t="s">
        <v>1294</v>
      </c>
      <c r="F427" s="6">
        <v>45735.708333333336</v>
      </c>
      <c r="G427" s="2">
        <v>58647.0</v>
      </c>
      <c r="H427" s="2">
        <v>58647.0</v>
      </c>
      <c r="I427" s="2">
        <v>50114.0</v>
      </c>
      <c r="J427" s="2">
        <v>272.0</v>
      </c>
      <c r="K427" s="2">
        <v>221.0</v>
      </c>
      <c r="L427" s="2">
        <v>7.0</v>
      </c>
      <c r="M427" s="4">
        <v>7454.0</v>
      </c>
      <c r="N427" s="2" t="s">
        <v>30</v>
      </c>
      <c r="O427" s="2">
        <v>70.0</v>
      </c>
      <c r="P427" s="2" t="s">
        <v>189</v>
      </c>
      <c r="Q427" s="2" t="s">
        <v>32</v>
      </c>
      <c r="R427" s="2">
        <v>27.0</v>
      </c>
      <c r="T427" s="2" t="s">
        <v>162</v>
      </c>
      <c r="U427" s="2" t="b">
        <v>0</v>
      </c>
      <c r="V427" s="5">
        <v>0.0044</v>
      </c>
      <c r="W427" s="5">
        <v>0.0317</v>
      </c>
      <c r="X427" s="5">
        <v>1.4E-4</v>
      </c>
      <c r="Y427" s="2">
        <v>33.72850679</v>
      </c>
      <c r="AA427" s="2" t="s">
        <v>33</v>
      </c>
    </row>
    <row r="428">
      <c r="A428" s="2">
        <v>1809.0</v>
      </c>
      <c r="B428" s="2" t="s">
        <v>1295</v>
      </c>
      <c r="C428" s="2" t="s">
        <v>7</v>
      </c>
      <c r="D428" s="2" t="s">
        <v>1296</v>
      </c>
      <c r="E428" s="2" t="s">
        <v>1297</v>
      </c>
      <c r="F428" s="6">
        <v>45736.458333333336</v>
      </c>
      <c r="G428" s="2">
        <v>44174.0</v>
      </c>
      <c r="H428" s="2">
        <v>44174.0</v>
      </c>
      <c r="I428" s="2">
        <v>35841.0</v>
      </c>
      <c r="J428" s="2">
        <v>231.0</v>
      </c>
      <c r="K428" s="2">
        <v>179.0</v>
      </c>
      <c r="L428" s="2">
        <v>2.0</v>
      </c>
      <c r="M428" s="4">
        <v>17090.0</v>
      </c>
      <c r="N428" s="2" t="s">
        <v>36</v>
      </c>
      <c r="O428" s="2">
        <v>71.0</v>
      </c>
      <c r="P428" s="2" t="s">
        <v>31</v>
      </c>
      <c r="Q428" s="2" t="s">
        <v>32</v>
      </c>
      <c r="R428" s="2">
        <v>32.0</v>
      </c>
      <c r="T428" s="2" t="s">
        <v>47</v>
      </c>
      <c r="U428" s="2" t="b">
        <v>0</v>
      </c>
      <c r="V428" s="5">
        <v>0.005</v>
      </c>
      <c r="W428" s="5">
        <v>0.0112</v>
      </c>
      <c r="X428" s="5">
        <v>5.6E-5</v>
      </c>
      <c r="Y428" s="2">
        <v>95.47486034</v>
      </c>
      <c r="AA428" s="2" t="s">
        <v>33</v>
      </c>
    </row>
    <row r="429">
      <c r="A429" s="2">
        <v>1808.0</v>
      </c>
      <c r="B429" s="2" t="s">
        <v>1298</v>
      </c>
      <c r="C429" s="2" t="s">
        <v>7</v>
      </c>
      <c r="D429" s="2" t="s">
        <v>1299</v>
      </c>
      <c r="E429" s="2" t="s">
        <v>1300</v>
      </c>
      <c r="F429" s="6">
        <v>45736.458333333336</v>
      </c>
      <c r="G429" s="2">
        <v>58547.0</v>
      </c>
      <c r="H429" s="2">
        <v>58547.0</v>
      </c>
      <c r="I429" s="2">
        <v>49842.0</v>
      </c>
      <c r="J429" s="2">
        <v>236.0</v>
      </c>
      <c r="K429" s="2">
        <v>185.0</v>
      </c>
      <c r="L429" s="2">
        <v>2.0</v>
      </c>
      <c r="M429" s="4">
        <v>4458.0</v>
      </c>
      <c r="N429" s="2" t="s">
        <v>30</v>
      </c>
      <c r="O429" s="2">
        <v>70.0</v>
      </c>
      <c r="P429" s="2" t="s">
        <v>189</v>
      </c>
      <c r="Q429" s="2" t="s">
        <v>32</v>
      </c>
      <c r="R429" s="2">
        <v>31.0</v>
      </c>
      <c r="T429" s="2" t="s">
        <v>47</v>
      </c>
      <c r="U429" s="2" t="b">
        <v>0</v>
      </c>
      <c r="V429" s="5">
        <v>0.0037</v>
      </c>
      <c r="W429" s="5">
        <v>0.0108</v>
      </c>
      <c r="X429" s="5">
        <v>4.0E-5</v>
      </c>
      <c r="Y429" s="2">
        <v>24.0972973</v>
      </c>
      <c r="Z429" s="2">
        <v>4518.0</v>
      </c>
      <c r="AA429" s="2" t="s">
        <v>33</v>
      </c>
    </row>
    <row r="430">
      <c r="A430" s="2">
        <v>1825.0</v>
      </c>
      <c r="B430" s="2" t="s">
        <v>1301</v>
      </c>
      <c r="C430" s="2" t="s">
        <v>7</v>
      </c>
      <c r="D430" s="2" t="s">
        <v>1302</v>
      </c>
      <c r="E430" s="2" t="s">
        <v>1303</v>
      </c>
      <c r="F430" s="6">
        <v>45736.541666666664</v>
      </c>
      <c r="G430" s="2">
        <v>45825.0</v>
      </c>
      <c r="H430" s="2">
        <v>45825.0</v>
      </c>
      <c r="I430" s="2">
        <v>37445.0</v>
      </c>
      <c r="J430" s="2">
        <v>272.0</v>
      </c>
      <c r="K430" s="2">
        <v>216.0</v>
      </c>
      <c r="L430" s="2">
        <v>3.0</v>
      </c>
      <c r="M430" s="4">
        <v>38476.0</v>
      </c>
      <c r="N430" s="2" t="s">
        <v>36</v>
      </c>
      <c r="O430" s="2">
        <v>71.0</v>
      </c>
      <c r="P430" s="2" t="s">
        <v>189</v>
      </c>
      <c r="Q430" s="2" t="s">
        <v>32</v>
      </c>
      <c r="R430" s="2">
        <v>37.0</v>
      </c>
      <c r="U430" s="2" t="b">
        <v>0</v>
      </c>
      <c r="V430" s="5">
        <v>0.0058</v>
      </c>
      <c r="W430" s="5">
        <v>0.0139</v>
      </c>
      <c r="X430" s="5">
        <v>8.0E-5</v>
      </c>
      <c r="Y430" s="2">
        <v>178.1296296</v>
      </c>
      <c r="AA430" s="2" t="s">
        <v>33</v>
      </c>
    </row>
    <row r="431">
      <c r="A431" s="2">
        <v>1824.0</v>
      </c>
      <c r="B431" s="2" t="s">
        <v>1304</v>
      </c>
      <c r="C431" s="2" t="s">
        <v>7</v>
      </c>
      <c r="D431" s="2" t="s">
        <v>1305</v>
      </c>
      <c r="E431" s="2" t="s">
        <v>1306</v>
      </c>
      <c r="F431" s="6">
        <v>45736.541666666664</v>
      </c>
      <c r="G431" s="2">
        <v>58612.0</v>
      </c>
      <c r="H431" s="2">
        <v>58612.0</v>
      </c>
      <c r="I431" s="2">
        <v>50019.0</v>
      </c>
      <c r="J431" s="2">
        <v>302.0</v>
      </c>
      <c r="K431" s="2">
        <v>256.0</v>
      </c>
      <c r="L431" s="2">
        <v>5.0</v>
      </c>
      <c r="M431" s="4">
        <v>14986.0</v>
      </c>
      <c r="N431" s="2" t="s">
        <v>30</v>
      </c>
      <c r="O431" s="2">
        <v>70.0</v>
      </c>
      <c r="P431" s="2" t="s">
        <v>189</v>
      </c>
      <c r="Q431" s="2" t="s">
        <v>32</v>
      </c>
      <c r="R431" s="2">
        <v>42.0</v>
      </c>
      <c r="U431" s="2" t="b">
        <v>0</v>
      </c>
      <c r="V431" s="5">
        <v>0.0051</v>
      </c>
      <c r="W431" s="5">
        <v>0.0195</v>
      </c>
      <c r="X431" s="5">
        <v>1.0E-4</v>
      </c>
      <c r="Y431" s="2">
        <v>58.5390625</v>
      </c>
      <c r="Z431" s="2" t="s">
        <v>307</v>
      </c>
      <c r="AA431" s="2" t="s">
        <v>33</v>
      </c>
    </row>
    <row r="432">
      <c r="A432" s="2">
        <v>1811.0</v>
      </c>
      <c r="B432" s="2" t="s">
        <v>1307</v>
      </c>
      <c r="C432" s="2" t="s">
        <v>7</v>
      </c>
      <c r="D432" s="2" t="s">
        <v>1308</v>
      </c>
      <c r="E432" s="2" t="s">
        <v>1309</v>
      </c>
      <c r="F432" s="6">
        <v>45736.625</v>
      </c>
      <c r="G432" s="2">
        <v>44169.0</v>
      </c>
      <c r="H432" s="2">
        <v>44169.0</v>
      </c>
      <c r="I432" s="2">
        <v>36060.0</v>
      </c>
      <c r="J432" s="2">
        <v>273.0</v>
      </c>
      <c r="K432" s="2">
        <v>219.0</v>
      </c>
      <c r="L432" s="2">
        <v>2.0</v>
      </c>
      <c r="M432" s="4">
        <v>11760.0</v>
      </c>
      <c r="N432" s="2" t="s">
        <v>36</v>
      </c>
      <c r="O432" s="2">
        <v>71.0</v>
      </c>
      <c r="P432" s="2" t="s">
        <v>189</v>
      </c>
      <c r="Q432" s="2" t="s">
        <v>32</v>
      </c>
      <c r="R432" s="2">
        <v>35.0</v>
      </c>
      <c r="T432" s="2" t="s">
        <v>47</v>
      </c>
      <c r="U432" s="2" t="b">
        <v>0</v>
      </c>
      <c r="V432" s="5">
        <v>0.0061</v>
      </c>
      <c r="W432" s="5">
        <v>0.0091</v>
      </c>
      <c r="X432" s="5">
        <v>5.5E-5</v>
      </c>
      <c r="Y432" s="2">
        <v>53.69863014</v>
      </c>
      <c r="AA432" s="2" t="s">
        <v>33</v>
      </c>
    </row>
    <row r="433">
      <c r="A433" s="2">
        <v>1810.0</v>
      </c>
      <c r="B433" s="2" t="s">
        <v>1310</v>
      </c>
      <c r="C433" s="2" t="s">
        <v>7</v>
      </c>
      <c r="D433" s="2" t="s">
        <v>1311</v>
      </c>
      <c r="E433" s="2" t="s">
        <v>1312</v>
      </c>
      <c r="F433" s="6">
        <v>45736.625</v>
      </c>
      <c r="G433" s="2">
        <v>58532.0</v>
      </c>
      <c r="H433" s="2">
        <v>58532.0</v>
      </c>
      <c r="I433" s="2">
        <v>49983.0</v>
      </c>
      <c r="J433" s="2">
        <v>318.0</v>
      </c>
      <c r="K433" s="2">
        <v>251.0</v>
      </c>
      <c r="L433" s="2">
        <v>3.0</v>
      </c>
      <c r="M433" s="4">
        <v>8596.0</v>
      </c>
      <c r="N433" s="2" t="s">
        <v>30</v>
      </c>
      <c r="O433" s="2">
        <v>70.0</v>
      </c>
      <c r="P433" s="2" t="s">
        <v>189</v>
      </c>
      <c r="Q433" s="2" t="s">
        <v>32</v>
      </c>
      <c r="R433" s="2">
        <v>38.0</v>
      </c>
      <c r="U433" s="2" t="b">
        <v>0</v>
      </c>
      <c r="V433" s="5">
        <v>0.005</v>
      </c>
      <c r="W433" s="5">
        <v>0.012</v>
      </c>
      <c r="X433" s="5">
        <v>6.0E-5</v>
      </c>
      <c r="Y433" s="2">
        <v>34.24701195</v>
      </c>
      <c r="Z433" s="2">
        <v>3649.0</v>
      </c>
      <c r="AA433" s="2" t="s">
        <v>33</v>
      </c>
    </row>
    <row r="434">
      <c r="A434" s="2">
        <v>1813.0</v>
      </c>
      <c r="B434" s="2" t="s">
        <v>1313</v>
      </c>
      <c r="C434" s="2" t="s">
        <v>7</v>
      </c>
      <c r="D434" s="2" t="s">
        <v>1314</v>
      </c>
      <c r="E434" s="2" t="s">
        <v>1315</v>
      </c>
      <c r="F434" s="6">
        <v>45736.708333333336</v>
      </c>
      <c r="G434" s="2">
        <v>44199.0</v>
      </c>
      <c r="H434" s="2">
        <v>44199.0</v>
      </c>
      <c r="I434" s="2">
        <v>35939.0</v>
      </c>
      <c r="J434" s="2">
        <v>205.0</v>
      </c>
      <c r="K434" s="2">
        <v>162.0</v>
      </c>
      <c r="L434" s="2">
        <v>5.0</v>
      </c>
      <c r="M434" s="4">
        <v>15866.0</v>
      </c>
      <c r="N434" s="2" t="s">
        <v>36</v>
      </c>
      <c r="O434" s="2">
        <v>71.0</v>
      </c>
      <c r="P434" s="2" t="s">
        <v>31</v>
      </c>
      <c r="Q434" s="2" t="s">
        <v>32</v>
      </c>
      <c r="R434" s="2">
        <v>40.0</v>
      </c>
      <c r="U434" s="2" t="b">
        <v>0</v>
      </c>
      <c r="V434" s="5">
        <v>0.0045</v>
      </c>
      <c r="W434" s="5">
        <v>0.0309</v>
      </c>
      <c r="X434" s="5">
        <v>1.39E-4</v>
      </c>
      <c r="Y434" s="2">
        <v>97.9382716</v>
      </c>
      <c r="AA434" s="2" t="s">
        <v>33</v>
      </c>
    </row>
    <row r="435">
      <c r="A435" s="2">
        <v>1812.0</v>
      </c>
      <c r="B435" s="2" t="s">
        <v>1316</v>
      </c>
      <c r="C435" s="2" t="s">
        <v>7</v>
      </c>
      <c r="D435" s="2" t="s">
        <v>1317</v>
      </c>
      <c r="E435" s="2" t="s">
        <v>1318</v>
      </c>
      <c r="F435" s="6">
        <v>45736.708333333336</v>
      </c>
      <c r="G435" s="2">
        <v>58554.0</v>
      </c>
      <c r="H435" s="2">
        <v>58554.0</v>
      </c>
      <c r="I435" s="2">
        <v>49972.0</v>
      </c>
      <c r="J435" s="2">
        <v>250.0</v>
      </c>
      <c r="K435" s="2">
        <v>199.0</v>
      </c>
      <c r="L435" s="2">
        <v>2.0</v>
      </c>
      <c r="M435" s="4">
        <v>5418.0</v>
      </c>
      <c r="N435" s="2" t="s">
        <v>30</v>
      </c>
      <c r="O435" s="2">
        <v>70.0</v>
      </c>
      <c r="P435" s="2" t="s">
        <v>31</v>
      </c>
      <c r="Q435" s="2" t="s">
        <v>32</v>
      </c>
      <c r="R435" s="2">
        <v>38.0</v>
      </c>
      <c r="T435" s="2" t="s">
        <v>47</v>
      </c>
      <c r="U435" s="2" t="b">
        <v>0</v>
      </c>
      <c r="V435" s="5">
        <v>0.004</v>
      </c>
      <c r="W435" s="5">
        <v>0.0101</v>
      </c>
      <c r="X435" s="5">
        <v>4.0E-5</v>
      </c>
      <c r="Y435" s="2">
        <v>27.22613065</v>
      </c>
      <c r="Z435" s="2">
        <v>2536.0</v>
      </c>
      <c r="AA435" s="2" t="s">
        <v>33</v>
      </c>
    </row>
    <row r="436">
      <c r="A436" s="2">
        <v>1817.0</v>
      </c>
      <c r="B436" s="2" t="s">
        <v>1319</v>
      </c>
      <c r="C436" s="2" t="s">
        <v>7</v>
      </c>
      <c r="D436" s="2" t="s">
        <v>1320</v>
      </c>
      <c r="E436" s="2" t="s">
        <v>1321</v>
      </c>
      <c r="F436" s="6">
        <v>45737.625</v>
      </c>
      <c r="G436" s="2">
        <v>44222.0</v>
      </c>
      <c r="H436" s="2">
        <v>44222.0</v>
      </c>
      <c r="I436" s="2">
        <v>36128.0</v>
      </c>
      <c r="J436" s="2">
        <v>260.0</v>
      </c>
      <c r="K436" s="2">
        <v>200.0</v>
      </c>
      <c r="L436" s="2">
        <v>4.0</v>
      </c>
      <c r="M436" s="4">
        <v>10587.0</v>
      </c>
      <c r="N436" s="2" t="s">
        <v>36</v>
      </c>
      <c r="O436" s="2">
        <v>71.0</v>
      </c>
      <c r="P436" s="2" t="s">
        <v>189</v>
      </c>
      <c r="Q436" s="2" t="s">
        <v>32</v>
      </c>
      <c r="R436" s="2">
        <v>38.0</v>
      </c>
      <c r="U436" s="2" t="b">
        <v>0</v>
      </c>
      <c r="V436" s="5">
        <v>0.0055</v>
      </c>
      <c r="W436" s="5">
        <v>0.02</v>
      </c>
      <c r="X436" s="5">
        <v>1.11E-4</v>
      </c>
      <c r="Y436" s="2">
        <v>52.935</v>
      </c>
      <c r="AA436" s="2" t="s">
        <v>33</v>
      </c>
    </row>
    <row r="437">
      <c r="A437" s="2">
        <v>1816.0</v>
      </c>
      <c r="B437" s="2" t="s">
        <v>1322</v>
      </c>
      <c r="C437" s="2" t="s">
        <v>7</v>
      </c>
      <c r="D437" s="2" t="s">
        <v>1323</v>
      </c>
      <c r="E437" s="2" t="s">
        <v>1324</v>
      </c>
      <c r="F437" s="6">
        <v>45737.625</v>
      </c>
      <c r="G437" s="2">
        <v>58535.0</v>
      </c>
      <c r="H437" s="2">
        <v>58535.0</v>
      </c>
      <c r="I437" s="2">
        <v>49991.0</v>
      </c>
      <c r="J437" s="2">
        <v>388.0</v>
      </c>
      <c r="K437" s="2">
        <v>303.0</v>
      </c>
      <c r="L437" s="2">
        <v>5.0</v>
      </c>
      <c r="M437" s="4">
        <v>9819.0</v>
      </c>
      <c r="N437" s="2" t="s">
        <v>30</v>
      </c>
      <c r="O437" s="2">
        <v>70.0</v>
      </c>
      <c r="P437" s="2" t="s">
        <v>189</v>
      </c>
      <c r="Q437" s="2" t="s">
        <v>32</v>
      </c>
      <c r="R437" s="2">
        <v>38.0</v>
      </c>
      <c r="U437" s="2" t="b">
        <v>0</v>
      </c>
      <c r="V437" s="5">
        <v>0.0061</v>
      </c>
      <c r="W437" s="5">
        <v>0.0165</v>
      </c>
      <c r="X437" s="5">
        <v>1.0E-4</v>
      </c>
      <c r="Y437" s="2">
        <v>32.40594059</v>
      </c>
      <c r="AA437" s="2" t="s">
        <v>33</v>
      </c>
    </row>
    <row r="438">
      <c r="A438" s="2">
        <v>1815.0</v>
      </c>
      <c r="B438" s="2" t="s">
        <v>1325</v>
      </c>
      <c r="C438" s="2" t="s">
        <v>7</v>
      </c>
      <c r="D438" s="2" t="s">
        <v>1326</v>
      </c>
      <c r="E438" s="2" t="e">
        <v>#N/A</v>
      </c>
      <c r="F438" s="6">
        <v>45737.708333333336</v>
      </c>
      <c r="G438" s="2">
        <v>44179.0</v>
      </c>
      <c r="H438" s="2">
        <v>44179.0</v>
      </c>
      <c r="I438" s="2">
        <v>36086.0</v>
      </c>
      <c r="J438" s="2">
        <v>291.0</v>
      </c>
      <c r="K438" s="2">
        <v>234.0</v>
      </c>
      <c r="L438" s="2">
        <v>6.0</v>
      </c>
      <c r="M438" s="4">
        <v>17481.0</v>
      </c>
      <c r="N438" s="2" t="s">
        <v>36</v>
      </c>
      <c r="O438" s="2">
        <v>71.0</v>
      </c>
      <c r="P438" s="2" t="s">
        <v>189</v>
      </c>
      <c r="Q438" s="2" t="s">
        <v>32</v>
      </c>
      <c r="R438" s="2">
        <v>48.0</v>
      </c>
      <c r="T438" s="2" t="s">
        <v>47</v>
      </c>
      <c r="U438" s="2" t="b">
        <v>0</v>
      </c>
      <c r="V438" s="5">
        <v>0.0065</v>
      </c>
      <c r="W438" s="5">
        <v>0.0256</v>
      </c>
      <c r="X438" s="5">
        <v>1.66E-4</v>
      </c>
      <c r="Y438" s="2">
        <v>74.70512821</v>
      </c>
      <c r="AA438" s="2" t="s">
        <v>33</v>
      </c>
    </row>
    <row r="439">
      <c r="A439" s="2">
        <v>1814.0</v>
      </c>
      <c r="B439" s="2" t="s">
        <v>1327</v>
      </c>
      <c r="C439" s="2" t="s">
        <v>7</v>
      </c>
      <c r="D439" s="2" t="s">
        <v>1328</v>
      </c>
      <c r="E439" s="2" t="e">
        <v>#N/A</v>
      </c>
      <c r="F439" s="6">
        <v>45737.708333333336</v>
      </c>
      <c r="G439" s="2">
        <v>58517.0</v>
      </c>
      <c r="H439" s="2">
        <v>58517.0</v>
      </c>
      <c r="I439" s="2">
        <v>49992.0</v>
      </c>
      <c r="J439" s="2">
        <v>293.0</v>
      </c>
      <c r="K439" s="2">
        <v>246.0</v>
      </c>
      <c r="L439" s="2">
        <v>2.0</v>
      </c>
      <c r="M439" s="4">
        <v>12522.0</v>
      </c>
      <c r="N439" s="2" t="s">
        <v>30</v>
      </c>
      <c r="O439" s="2">
        <v>70.0</v>
      </c>
      <c r="P439" s="2" t="s">
        <v>31</v>
      </c>
      <c r="Q439" s="2" t="s">
        <v>32</v>
      </c>
      <c r="R439" s="2">
        <v>40.0</v>
      </c>
      <c r="T439" s="2" t="s">
        <v>1329</v>
      </c>
      <c r="U439" s="2" t="b">
        <v>0</v>
      </c>
      <c r="V439" s="5">
        <v>0.0049</v>
      </c>
      <c r="W439" s="5">
        <v>0.0081</v>
      </c>
      <c r="X439" s="5">
        <v>4.0E-5</v>
      </c>
      <c r="Y439" s="2">
        <v>50.90243902</v>
      </c>
      <c r="AA439" s="2" t="s">
        <v>33</v>
      </c>
    </row>
    <row r="440">
      <c r="A440" s="2">
        <v>1819.0</v>
      </c>
      <c r="B440" s="2" t="s">
        <v>1330</v>
      </c>
      <c r="C440" s="2" t="s">
        <v>7</v>
      </c>
      <c r="D440" s="2" t="s">
        <v>1331</v>
      </c>
      <c r="E440" s="2" t="s">
        <v>1332</v>
      </c>
      <c r="F440" s="6">
        <v>45738.458333333336</v>
      </c>
      <c r="G440" s="2">
        <v>44169.0</v>
      </c>
      <c r="H440" s="2">
        <v>44169.0</v>
      </c>
      <c r="I440" s="2">
        <v>35830.0</v>
      </c>
      <c r="J440" s="2">
        <v>339.0</v>
      </c>
      <c r="K440" s="2">
        <v>262.0</v>
      </c>
      <c r="L440" s="2">
        <v>3.0</v>
      </c>
      <c r="M440" s="4">
        <v>12069.0</v>
      </c>
      <c r="N440" s="2" t="s">
        <v>36</v>
      </c>
      <c r="O440" s="2">
        <v>71.0</v>
      </c>
      <c r="P440" s="2" t="s">
        <v>31</v>
      </c>
      <c r="Q440" s="2" t="s">
        <v>32</v>
      </c>
      <c r="R440" s="2">
        <v>26.0</v>
      </c>
      <c r="T440" s="2" t="s">
        <v>47</v>
      </c>
      <c r="U440" s="2" t="b">
        <v>0</v>
      </c>
      <c r="V440" s="5">
        <v>0.0073</v>
      </c>
      <c r="W440" s="5">
        <v>0.0115</v>
      </c>
      <c r="X440" s="5">
        <v>8.4E-5</v>
      </c>
      <c r="Y440" s="2">
        <v>46.0648855</v>
      </c>
      <c r="AA440" s="2" t="s">
        <v>33</v>
      </c>
    </row>
    <row r="441">
      <c r="A441" s="2">
        <v>1818.0</v>
      </c>
      <c r="B441" s="2" t="s">
        <v>1333</v>
      </c>
      <c r="C441" s="2" t="s">
        <v>7</v>
      </c>
      <c r="D441" s="2" t="s">
        <v>1334</v>
      </c>
      <c r="E441" s="2" t="s">
        <v>1335</v>
      </c>
      <c r="F441" s="6">
        <v>45738.458333333336</v>
      </c>
      <c r="G441" s="2">
        <v>58495.0</v>
      </c>
      <c r="H441" s="2">
        <v>58495.0</v>
      </c>
      <c r="I441" s="2">
        <v>49665.0</v>
      </c>
      <c r="J441" s="2">
        <v>395.0</v>
      </c>
      <c r="K441" s="2">
        <v>324.0</v>
      </c>
      <c r="L441" s="2">
        <v>6.0</v>
      </c>
      <c r="M441" s="4">
        <v>11835.0</v>
      </c>
      <c r="N441" s="2" t="s">
        <v>30</v>
      </c>
      <c r="O441" s="2">
        <v>70.0</v>
      </c>
      <c r="P441" s="2" t="s">
        <v>31</v>
      </c>
      <c r="Q441" s="2" t="s">
        <v>32</v>
      </c>
      <c r="R441" s="2">
        <v>29.0</v>
      </c>
      <c r="T441" s="2" t="s">
        <v>405</v>
      </c>
      <c r="U441" s="2" t="b">
        <v>0</v>
      </c>
      <c r="V441" s="5">
        <v>0.0065</v>
      </c>
      <c r="W441" s="5">
        <v>0.0185</v>
      </c>
      <c r="X441" s="5">
        <v>1.21E-4</v>
      </c>
      <c r="Y441" s="2">
        <v>36.52777778</v>
      </c>
      <c r="Z441" s="2">
        <v>2925.0</v>
      </c>
      <c r="AA441" s="2" t="s">
        <v>33</v>
      </c>
    </row>
    <row r="442">
      <c r="A442" s="2">
        <v>1821.0</v>
      </c>
      <c r="B442" s="2" t="s">
        <v>1336</v>
      </c>
      <c r="C442" s="2" t="s">
        <v>7</v>
      </c>
      <c r="D442" s="2" t="s">
        <v>1337</v>
      </c>
      <c r="E442" s="2" t="s">
        <v>1338</v>
      </c>
      <c r="F442" s="6">
        <v>45738.625</v>
      </c>
      <c r="G442" s="2">
        <v>44194.0</v>
      </c>
      <c r="H442" s="2">
        <v>44194.0</v>
      </c>
      <c r="I442" s="2">
        <v>36090.0</v>
      </c>
      <c r="J442" s="2">
        <v>261.0</v>
      </c>
      <c r="K442" s="2">
        <v>211.0</v>
      </c>
      <c r="L442" s="2">
        <v>5.0</v>
      </c>
      <c r="M442" s="4">
        <v>12101.0</v>
      </c>
      <c r="N442" s="2" t="s">
        <v>36</v>
      </c>
      <c r="O442" s="2">
        <v>71.0</v>
      </c>
      <c r="P442" s="2" t="s">
        <v>189</v>
      </c>
      <c r="Q442" s="2" t="s">
        <v>32</v>
      </c>
      <c r="R442" s="2">
        <v>35.0</v>
      </c>
      <c r="T442" s="2" t="s">
        <v>47</v>
      </c>
      <c r="U442" s="2" t="b">
        <v>0</v>
      </c>
      <c r="V442" s="5">
        <v>0.0058</v>
      </c>
      <c r="W442" s="5">
        <v>0.0237</v>
      </c>
      <c r="X442" s="5">
        <v>1.39E-4</v>
      </c>
      <c r="Y442" s="2">
        <v>57.3507109</v>
      </c>
      <c r="AA442" s="2" t="s">
        <v>33</v>
      </c>
    </row>
    <row r="443">
      <c r="A443" s="2">
        <v>1820.0</v>
      </c>
      <c r="B443" s="2" t="s">
        <v>1339</v>
      </c>
      <c r="C443" s="2" t="s">
        <v>7</v>
      </c>
      <c r="D443" s="2" t="s">
        <v>1340</v>
      </c>
      <c r="E443" s="2" t="s">
        <v>1341</v>
      </c>
      <c r="F443" s="6">
        <v>45738.625</v>
      </c>
      <c r="G443" s="2">
        <v>58544.0</v>
      </c>
      <c r="H443" s="2">
        <v>58544.0</v>
      </c>
      <c r="I443" s="2">
        <v>49952.0</v>
      </c>
      <c r="J443" s="2">
        <v>322.0</v>
      </c>
      <c r="K443" s="2">
        <v>263.0</v>
      </c>
      <c r="L443" s="2">
        <v>8.0</v>
      </c>
      <c r="M443" s="4">
        <v>20653.0</v>
      </c>
      <c r="N443" s="2" t="s">
        <v>30</v>
      </c>
      <c r="O443" s="2">
        <v>70.0</v>
      </c>
      <c r="P443" s="2" t="s">
        <v>31</v>
      </c>
      <c r="Q443" s="2" t="s">
        <v>32</v>
      </c>
      <c r="R443" s="2">
        <v>33.0</v>
      </c>
      <c r="U443" s="2" t="b">
        <v>0</v>
      </c>
      <c r="V443" s="5">
        <v>0.0053</v>
      </c>
      <c r="W443" s="5">
        <v>0.0304</v>
      </c>
      <c r="X443" s="5">
        <v>1.6E-4</v>
      </c>
      <c r="Y443" s="2">
        <v>78.52851711</v>
      </c>
      <c r="Z443" s="2">
        <v>5147.0</v>
      </c>
      <c r="AA443" s="2" t="s">
        <v>33</v>
      </c>
    </row>
    <row r="444">
      <c r="A444" s="2">
        <v>1823.0</v>
      </c>
      <c r="B444" s="2" t="s">
        <v>1342</v>
      </c>
      <c r="C444" s="2" t="s">
        <v>7</v>
      </c>
      <c r="D444" s="2" t="s">
        <v>849</v>
      </c>
      <c r="E444" s="2" t="s">
        <v>850</v>
      </c>
      <c r="F444" s="6">
        <v>45738.708333333336</v>
      </c>
      <c r="G444" s="2">
        <v>44207.0</v>
      </c>
      <c r="H444" s="2">
        <v>44207.0</v>
      </c>
      <c r="I444" s="2">
        <v>36151.0</v>
      </c>
      <c r="J444" s="2">
        <v>289.0</v>
      </c>
      <c r="K444" s="2">
        <v>234.0</v>
      </c>
      <c r="L444" s="2">
        <v>6.0</v>
      </c>
      <c r="M444" s="4">
        <v>18652.0</v>
      </c>
      <c r="N444" s="2" t="s">
        <v>36</v>
      </c>
      <c r="O444" s="2">
        <v>71.0</v>
      </c>
      <c r="P444" s="2" t="s">
        <v>189</v>
      </c>
      <c r="Q444" s="2" t="s">
        <v>32</v>
      </c>
      <c r="R444" s="2">
        <v>35.0</v>
      </c>
      <c r="U444" s="2" t="b">
        <v>0</v>
      </c>
      <c r="V444" s="5">
        <v>0.0065</v>
      </c>
      <c r="W444" s="5">
        <v>0.0256</v>
      </c>
      <c r="X444" s="5">
        <v>1.66E-4</v>
      </c>
      <c r="Y444" s="2">
        <v>79.70940171</v>
      </c>
      <c r="AA444" s="2" t="s">
        <v>33</v>
      </c>
    </row>
    <row r="445">
      <c r="A445" s="2">
        <v>1822.0</v>
      </c>
      <c r="B445" s="2" t="s">
        <v>1343</v>
      </c>
      <c r="C445" s="2" t="s">
        <v>7</v>
      </c>
      <c r="D445" s="2" t="s">
        <v>852</v>
      </c>
      <c r="E445" s="2" t="s">
        <v>1344</v>
      </c>
      <c r="F445" s="6">
        <v>45738.708333333336</v>
      </c>
      <c r="G445" s="2">
        <v>58563.0</v>
      </c>
      <c r="H445" s="2">
        <v>58563.0</v>
      </c>
      <c r="I445" s="2">
        <v>50059.0</v>
      </c>
      <c r="J445" s="2">
        <v>333.0</v>
      </c>
      <c r="K445" s="2">
        <v>290.0</v>
      </c>
      <c r="L445" s="2">
        <v>7.0</v>
      </c>
      <c r="M445" s="4">
        <v>13217.0</v>
      </c>
      <c r="N445" s="2" t="s">
        <v>30</v>
      </c>
      <c r="O445" s="2">
        <v>70.0</v>
      </c>
      <c r="P445" s="2" t="s">
        <v>189</v>
      </c>
      <c r="Q445" s="2" t="s">
        <v>32</v>
      </c>
      <c r="R445" s="2">
        <v>35.0</v>
      </c>
      <c r="U445" s="2" t="b">
        <v>0</v>
      </c>
      <c r="V445" s="5">
        <v>0.0058</v>
      </c>
      <c r="W445" s="5">
        <v>0.0241</v>
      </c>
      <c r="X445" s="5">
        <v>1.4E-4</v>
      </c>
      <c r="Y445" s="2">
        <v>45.57586207</v>
      </c>
      <c r="Z445" s="2">
        <v>3717.0</v>
      </c>
      <c r="AA445" s="2" t="s">
        <v>33</v>
      </c>
    </row>
    <row r="446">
      <c r="A446" s="2">
        <v>1827.0</v>
      </c>
      <c r="B446" s="2" t="s">
        <v>1345</v>
      </c>
      <c r="C446" s="2" t="s">
        <v>7</v>
      </c>
      <c r="D446" s="2" t="s">
        <v>1346</v>
      </c>
      <c r="E446" s="2" t="s">
        <v>1347</v>
      </c>
      <c r="F446" s="6">
        <v>45739.458333333336</v>
      </c>
      <c r="G446" s="2">
        <v>44177.0</v>
      </c>
      <c r="H446" s="2">
        <v>44177.0</v>
      </c>
      <c r="I446" s="2">
        <v>35800.0</v>
      </c>
      <c r="J446" s="2">
        <v>502.0</v>
      </c>
      <c r="K446" s="2">
        <v>390.0</v>
      </c>
      <c r="L446" s="2">
        <v>8.0</v>
      </c>
      <c r="M446" s="4">
        <v>16268.0</v>
      </c>
      <c r="N446" s="2" t="s">
        <v>36</v>
      </c>
      <c r="O446" s="2">
        <v>71.0</v>
      </c>
      <c r="P446" s="2" t="s">
        <v>31</v>
      </c>
      <c r="Q446" s="2" t="s">
        <v>32</v>
      </c>
      <c r="R446" s="2">
        <v>39.0</v>
      </c>
      <c r="U446" s="2" t="b">
        <v>0</v>
      </c>
      <c r="V446" s="5">
        <v>0.0109</v>
      </c>
      <c r="W446" s="5">
        <v>0.0205</v>
      </c>
      <c r="X446" s="5">
        <v>2.23E-4</v>
      </c>
      <c r="Y446" s="2">
        <v>41.71282051</v>
      </c>
      <c r="AA446" s="2" t="s">
        <v>33</v>
      </c>
    </row>
    <row r="447">
      <c r="A447" s="2">
        <v>1826.0</v>
      </c>
      <c r="B447" s="2" t="s">
        <v>1348</v>
      </c>
      <c r="C447" s="2" t="s">
        <v>7</v>
      </c>
      <c r="D447" s="2" t="s">
        <v>1349</v>
      </c>
      <c r="E447" s="2" t="s">
        <v>1350</v>
      </c>
      <c r="F447" s="6">
        <v>45739.458333333336</v>
      </c>
      <c r="G447" s="2">
        <v>58521.0</v>
      </c>
      <c r="H447" s="2">
        <v>58521.0</v>
      </c>
      <c r="I447" s="2">
        <v>49746.0</v>
      </c>
      <c r="J447" s="2">
        <v>586.0</v>
      </c>
      <c r="K447" s="2">
        <v>486.0</v>
      </c>
      <c r="L447" s="2">
        <v>8.0</v>
      </c>
      <c r="M447" s="4">
        <v>16262.0</v>
      </c>
      <c r="N447" s="2" t="s">
        <v>30</v>
      </c>
      <c r="O447" s="2">
        <v>70.0</v>
      </c>
      <c r="P447" s="2" t="s">
        <v>189</v>
      </c>
      <c r="Q447" s="2" t="s">
        <v>32</v>
      </c>
      <c r="R447" s="2">
        <v>40.0</v>
      </c>
      <c r="T447" s="2" t="s">
        <v>47</v>
      </c>
      <c r="U447" s="2" t="b">
        <v>0</v>
      </c>
      <c r="V447" s="5">
        <v>0.0098</v>
      </c>
      <c r="W447" s="5">
        <v>0.0165</v>
      </c>
      <c r="X447" s="5">
        <v>1.61E-4</v>
      </c>
      <c r="Y447" s="2">
        <v>33.46090535</v>
      </c>
      <c r="Z447" s="2">
        <v>3005.0</v>
      </c>
      <c r="AA447" s="2" t="s">
        <v>33</v>
      </c>
    </row>
    <row r="448">
      <c r="A448" s="2">
        <v>1829.0</v>
      </c>
      <c r="B448" s="2" t="s">
        <v>1351</v>
      </c>
      <c r="C448" s="2" t="s">
        <v>7</v>
      </c>
      <c r="D448" s="2" t="s">
        <v>1352</v>
      </c>
      <c r="E448" s="2" t="s">
        <v>1353</v>
      </c>
      <c r="F448" s="6">
        <v>45739.625</v>
      </c>
      <c r="G448" s="2">
        <v>44169.0</v>
      </c>
      <c r="H448" s="2">
        <v>44169.0</v>
      </c>
      <c r="I448" s="2">
        <v>36049.0</v>
      </c>
      <c r="J448" s="2">
        <v>305.0</v>
      </c>
      <c r="K448" s="2">
        <v>253.0</v>
      </c>
      <c r="L448" s="2">
        <v>1.0</v>
      </c>
      <c r="M448" s="4">
        <v>5198.0</v>
      </c>
      <c r="N448" s="2" t="s">
        <v>36</v>
      </c>
      <c r="O448" s="2">
        <v>71.0</v>
      </c>
      <c r="P448" s="2" t="s">
        <v>189</v>
      </c>
      <c r="Q448" s="2" t="s">
        <v>32</v>
      </c>
      <c r="R448" s="2">
        <v>41.0</v>
      </c>
      <c r="T448" s="2" t="s">
        <v>1354</v>
      </c>
      <c r="U448" s="2" t="b">
        <v>0</v>
      </c>
      <c r="V448" s="5">
        <v>0.007</v>
      </c>
      <c r="W448" s="5">
        <v>0.004</v>
      </c>
      <c r="X448" s="5">
        <v>2.8E-5</v>
      </c>
      <c r="Y448" s="2">
        <v>20.54545455</v>
      </c>
      <c r="AA448" s="2" t="s">
        <v>33</v>
      </c>
    </row>
    <row r="449">
      <c r="A449" s="2">
        <v>1828.0</v>
      </c>
      <c r="B449" s="2" t="s">
        <v>1355</v>
      </c>
      <c r="C449" s="2" t="s">
        <v>7</v>
      </c>
      <c r="D449" s="2" t="s">
        <v>1356</v>
      </c>
      <c r="E449" s="2" t="s">
        <v>1357</v>
      </c>
      <c r="F449" s="6">
        <v>45739.625</v>
      </c>
      <c r="G449" s="2">
        <v>58526.0</v>
      </c>
      <c r="H449" s="2">
        <v>58526.0</v>
      </c>
      <c r="I449" s="2">
        <v>49966.0</v>
      </c>
      <c r="J449" s="2">
        <v>379.0</v>
      </c>
      <c r="K449" s="2">
        <v>312.0</v>
      </c>
      <c r="L449" s="2">
        <v>7.0</v>
      </c>
      <c r="M449" s="4">
        <v>18772.0</v>
      </c>
      <c r="N449" s="2" t="s">
        <v>30</v>
      </c>
      <c r="O449" s="2">
        <v>70.0</v>
      </c>
      <c r="P449" s="2" t="s">
        <v>189</v>
      </c>
      <c r="Q449" s="2" t="s">
        <v>32</v>
      </c>
      <c r="R449" s="2">
        <v>34.0</v>
      </c>
      <c r="T449" s="2" t="s">
        <v>47</v>
      </c>
      <c r="U449" s="2" t="b">
        <v>0</v>
      </c>
      <c r="V449" s="5">
        <v>0.0062</v>
      </c>
      <c r="W449" s="5">
        <v>0.0224</v>
      </c>
      <c r="X449" s="5">
        <v>1.4E-4</v>
      </c>
      <c r="Y449" s="2">
        <v>60.16666667</v>
      </c>
      <c r="AA449" s="2" t="s">
        <v>33</v>
      </c>
    </row>
    <row r="450">
      <c r="A450" s="2">
        <v>1831.0</v>
      </c>
      <c r="B450" s="2" t="s">
        <v>1358</v>
      </c>
      <c r="C450" s="2" t="s">
        <v>7</v>
      </c>
      <c r="D450" s="2" t="s">
        <v>1359</v>
      </c>
      <c r="E450" s="2" t="s">
        <v>1360</v>
      </c>
      <c r="F450" s="6">
        <v>45739.708333333336</v>
      </c>
      <c r="G450" s="2">
        <v>44186.0</v>
      </c>
      <c r="H450" s="2">
        <v>44186.0</v>
      </c>
      <c r="I450" s="2">
        <v>36183.0</v>
      </c>
      <c r="J450" s="2">
        <v>280.0</v>
      </c>
      <c r="K450" s="2">
        <v>225.0</v>
      </c>
      <c r="L450" s="2">
        <v>3.0</v>
      </c>
      <c r="M450" s="4">
        <v>9052.0</v>
      </c>
      <c r="N450" s="2" t="s">
        <v>36</v>
      </c>
      <c r="O450" s="2">
        <v>71.0</v>
      </c>
      <c r="P450" s="2" t="s">
        <v>189</v>
      </c>
      <c r="Q450" s="2" t="s">
        <v>32</v>
      </c>
      <c r="R450" s="2">
        <v>40.0</v>
      </c>
      <c r="U450" s="2" t="b">
        <v>0</v>
      </c>
      <c r="V450" s="5">
        <v>0.0062</v>
      </c>
      <c r="W450" s="5">
        <v>0.0133</v>
      </c>
      <c r="X450" s="5">
        <v>8.3E-5</v>
      </c>
      <c r="Y450" s="2">
        <v>40.23111111</v>
      </c>
      <c r="AA450" s="2" t="s">
        <v>33</v>
      </c>
    </row>
    <row r="451">
      <c r="A451" s="2">
        <v>1830.0</v>
      </c>
      <c r="B451" s="2" t="s">
        <v>1361</v>
      </c>
      <c r="C451" s="2" t="s">
        <v>7</v>
      </c>
      <c r="D451" s="2" t="s">
        <v>1362</v>
      </c>
      <c r="E451" s="2" t="s">
        <v>1363</v>
      </c>
      <c r="F451" s="6">
        <v>45739.708333333336</v>
      </c>
      <c r="G451" s="2">
        <v>58548.0</v>
      </c>
      <c r="H451" s="2">
        <v>58548.0</v>
      </c>
      <c r="I451" s="2">
        <v>50089.0</v>
      </c>
      <c r="J451" s="2">
        <v>358.0</v>
      </c>
      <c r="K451" s="2">
        <v>303.0</v>
      </c>
      <c r="L451" s="2">
        <v>1.0</v>
      </c>
      <c r="M451" s="4">
        <v>1110.0</v>
      </c>
      <c r="N451" s="2" t="s">
        <v>30</v>
      </c>
      <c r="O451" s="2">
        <v>70.0</v>
      </c>
      <c r="P451" s="2" t="s">
        <v>189</v>
      </c>
      <c r="Q451" s="2" t="s">
        <v>32</v>
      </c>
      <c r="R451" s="2">
        <v>40.0</v>
      </c>
      <c r="T451" s="2" t="s">
        <v>58</v>
      </c>
      <c r="U451" s="2" t="b">
        <v>0</v>
      </c>
      <c r="V451" s="5">
        <v>0.006</v>
      </c>
      <c r="W451" s="5">
        <v>0.0033</v>
      </c>
      <c r="X451" s="5">
        <v>2.0E-5</v>
      </c>
      <c r="Y451" s="2">
        <v>3.663366337</v>
      </c>
      <c r="Z451" s="2">
        <v>3633.0</v>
      </c>
      <c r="AA451" s="2" t="s">
        <v>33</v>
      </c>
    </row>
    <row r="452">
      <c r="A452" s="2">
        <v>1832.0</v>
      </c>
      <c r="B452" s="2" t="s">
        <v>1364</v>
      </c>
      <c r="C452" s="2" t="s">
        <v>7</v>
      </c>
      <c r="D452" s="2" t="s">
        <v>1365</v>
      </c>
      <c r="E452" s="2" t="s">
        <v>1366</v>
      </c>
      <c r="F452" s="6">
        <v>45740.458333333336</v>
      </c>
      <c r="G452" s="2">
        <v>44110.0</v>
      </c>
      <c r="H452" s="2">
        <v>44110.0</v>
      </c>
      <c r="I452" s="2">
        <v>36002.0</v>
      </c>
      <c r="J452" s="2">
        <v>177.0</v>
      </c>
      <c r="K452" s="2">
        <v>138.0</v>
      </c>
      <c r="L452" s="2">
        <v>1.0</v>
      </c>
      <c r="M452" s="4">
        <v>1398.0</v>
      </c>
      <c r="N452" s="2" t="s">
        <v>36</v>
      </c>
      <c r="O452" s="2">
        <v>71.0</v>
      </c>
      <c r="P452" s="2" t="s">
        <v>31</v>
      </c>
      <c r="Q452" s="2" t="s">
        <v>1367</v>
      </c>
      <c r="R452" s="2">
        <v>39.0</v>
      </c>
      <c r="T452" s="2" t="s">
        <v>1368</v>
      </c>
      <c r="U452" s="2" t="b">
        <v>0</v>
      </c>
      <c r="V452" s="5">
        <v>0.0038</v>
      </c>
      <c r="W452" s="5">
        <v>0.0072</v>
      </c>
      <c r="X452" s="5">
        <v>2.8E-5</v>
      </c>
      <c r="Y452" s="2">
        <v>10.13043478</v>
      </c>
      <c r="AA452" s="2" t="s">
        <v>33</v>
      </c>
    </row>
    <row r="453">
      <c r="A453" s="2">
        <v>1768.0</v>
      </c>
      <c r="B453" s="2" t="s">
        <v>1369</v>
      </c>
      <c r="C453" s="2" t="s">
        <v>7</v>
      </c>
      <c r="D453" s="2" t="s">
        <v>1370</v>
      </c>
      <c r="E453" s="2" t="s">
        <v>1371</v>
      </c>
      <c r="F453" s="6">
        <v>45740.458333333336</v>
      </c>
      <c r="G453" s="2">
        <v>58525.0</v>
      </c>
      <c r="H453" s="2">
        <v>58525.0</v>
      </c>
      <c r="I453" s="2">
        <v>49986.0</v>
      </c>
      <c r="J453" s="2">
        <v>216.0</v>
      </c>
      <c r="K453" s="2">
        <v>175.0</v>
      </c>
      <c r="L453" s="2">
        <v>2.0</v>
      </c>
      <c r="M453" s="4">
        <v>7554.0</v>
      </c>
      <c r="N453" s="2" t="s">
        <v>30</v>
      </c>
      <c r="O453" s="2">
        <v>70.0</v>
      </c>
      <c r="P453" s="2" t="s">
        <v>31</v>
      </c>
      <c r="Q453" s="2" t="s">
        <v>1367</v>
      </c>
      <c r="R453" s="2">
        <v>32.0</v>
      </c>
      <c r="U453" s="2" t="b">
        <v>0</v>
      </c>
      <c r="V453" s="5">
        <v>0.0035</v>
      </c>
      <c r="W453" s="5">
        <v>0.0114</v>
      </c>
      <c r="X453" s="5">
        <v>4.0E-5</v>
      </c>
      <c r="Y453" s="2">
        <v>43.16571429</v>
      </c>
      <c r="AA453" s="2" t="s">
        <v>33</v>
      </c>
    </row>
    <row r="454">
      <c r="A454" s="2">
        <v>1834.0</v>
      </c>
      <c r="B454" s="2" t="s">
        <v>1372</v>
      </c>
      <c r="C454" s="2" t="s">
        <v>7</v>
      </c>
      <c r="D454" s="2" t="s">
        <v>1373</v>
      </c>
      <c r="E454" s="2" t="s">
        <v>1374</v>
      </c>
      <c r="F454" s="6">
        <v>45740.625</v>
      </c>
      <c r="G454" s="2">
        <v>44088.0</v>
      </c>
      <c r="H454" s="2">
        <v>44088.0</v>
      </c>
      <c r="I454" s="2">
        <v>36264.0</v>
      </c>
      <c r="J454" s="2">
        <v>231.0</v>
      </c>
      <c r="K454" s="2">
        <v>186.0</v>
      </c>
      <c r="L454" s="2">
        <v>1.0</v>
      </c>
      <c r="M454" s="4">
        <v>1050.0</v>
      </c>
      <c r="N454" s="2" t="s">
        <v>36</v>
      </c>
      <c r="O454" s="2">
        <v>71.0</v>
      </c>
      <c r="P454" s="2" t="s">
        <v>189</v>
      </c>
      <c r="Q454" s="2" t="s">
        <v>32</v>
      </c>
      <c r="R454" s="2">
        <v>40.0</v>
      </c>
      <c r="T454" s="2" t="s">
        <v>1185</v>
      </c>
      <c r="U454" s="2" t="b">
        <v>0</v>
      </c>
      <c r="V454" s="5">
        <v>0.0051</v>
      </c>
      <c r="W454" s="5">
        <v>0.0054</v>
      </c>
      <c r="X454" s="5">
        <v>2.8E-5</v>
      </c>
      <c r="Y454" s="2">
        <v>5.64516129</v>
      </c>
      <c r="AA454" s="2" t="s">
        <v>33</v>
      </c>
    </row>
    <row r="455">
      <c r="A455" s="2">
        <v>1833.0</v>
      </c>
      <c r="B455" s="2" t="s">
        <v>1375</v>
      </c>
      <c r="C455" s="2" t="s">
        <v>7</v>
      </c>
      <c r="D455" s="2" t="s">
        <v>1376</v>
      </c>
      <c r="E455" s="2" t="s">
        <v>1377</v>
      </c>
      <c r="F455" s="6">
        <v>45740.625</v>
      </c>
      <c r="G455" s="2">
        <v>58517.0</v>
      </c>
      <c r="H455" s="2">
        <v>58517.0</v>
      </c>
      <c r="I455" s="2">
        <v>50114.0</v>
      </c>
      <c r="J455" s="2">
        <v>320.0</v>
      </c>
      <c r="K455" s="2">
        <v>274.0</v>
      </c>
      <c r="L455" s="2">
        <v>4.0</v>
      </c>
      <c r="M455" s="4">
        <v>5721.0</v>
      </c>
      <c r="N455" s="2" t="s">
        <v>30</v>
      </c>
      <c r="O455" s="2">
        <v>70.0</v>
      </c>
      <c r="P455" s="2" t="s">
        <v>189</v>
      </c>
      <c r="Q455" s="2" t="s">
        <v>32</v>
      </c>
      <c r="R455" s="2">
        <v>43.0</v>
      </c>
      <c r="U455" s="2" t="b">
        <v>0</v>
      </c>
      <c r="V455" s="5">
        <v>0.0055</v>
      </c>
      <c r="W455" s="5">
        <v>0.0146</v>
      </c>
      <c r="X455" s="5">
        <v>8.0E-5</v>
      </c>
      <c r="Y455" s="2">
        <v>20.87956204</v>
      </c>
      <c r="Z455" s="2">
        <v>4263.0</v>
      </c>
      <c r="AA455" s="2" t="s">
        <v>33</v>
      </c>
    </row>
    <row r="456">
      <c r="A456" s="2">
        <v>1838.0</v>
      </c>
      <c r="B456" s="2" t="s">
        <v>1378</v>
      </c>
      <c r="C456" s="2" t="s">
        <v>7</v>
      </c>
      <c r="D456" s="2" t="s">
        <v>1379</v>
      </c>
      <c r="E456" s="2" t="s">
        <v>1380</v>
      </c>
      <c r="F456" s="6">
        <v>45740.708333333336</v>
      </c>
      <c r="G456" s="2">
        <v>44101.0</v>
      </c>
      <c r="H456" s="2">
        <v>44101.0</v>
      </c>
      <c r="I456" s="2">
        <v>36302.0</v>
      </c>
      <c r="J456" s="2">
        <v>368.0</v>
      </c>
      <c r="K456" s="2">
        <v>298.0</v>
      </c>
      <c r="L456" s="2">
        <v>3.0</v>
      </c>
      <c r="M456" s="4">
        <v>49269.0</v>
      </c>
      <c r="N456" s="2" t="s">
        <v>36</v>
      </c>
      <c r="O456" s="2">
        <v>71.0</v>
      </c>
      <c r="P456" s="2" t="s">
        <v>189</v>
      </c>
      <c r="Q456" s="2" t="s">
        <v>32</v>
      </c>
      <c r="R456" s="2">
        <v>25.0</v>
      </c>
      <c r="U456" s="2" t="b">
        <v>0</v>
      </c>
      <c r="V456" s="5">
        <v>0.0082</v>
      </c>
      <c r="W456" s="5">
        <v>0.0101</v>
      </c>
      <c r="X456" s="5">
        <v>8.3E-5</v>
      </c>
      <c r="Y456" s="2">
        <v>165.3322148</v>
      </c>
      <c r="AA456" s="2" t="s">
        <v>33</v>
      </c>
    </row>
    <row r="457">
      <c r="A457" s="2">
        <v>1837.0</v>
      </c>
      <c r="B457" s="2" t="s">
        <v>1381</v>
      </c>
      <c r="C457" s="2" t="s">
        <v>7</v>
      </c>
      <c r="D457" s="2" t="s">
        <v>1379</v>
      </c>
      <c r="E457" s="2" t="s">
        <v>1382</v>
      </c>
      <c r="F457" s="6">
        <v>45740.708333333336</v>
      </c>
      <c r="G457" s="2">
        <v>58535.0</v>
      </c>
      <c r="H457" s="2">
        <v>58535.0</v>
      </c>
      <c r="I457" s="2">
        <v>50154.0</v>
      </c>
      <c r="J457" s="2">
        <v>438.0</v>
      </c>
      <c r="K457" s="2">
        <v>368.0</v>
      </c>
      <c r="L457" s="2">
        <v>6.0</v>
      </c>
      <c r="M457" s="4">
        <v>22530.0</v>
      </c>
      <c r="N457" s="2" t="s">
        <v>30</v>
      </c>
      <c r="O457" s="2">
        <v>70.0</v>
      </c>
      <c r="P457" s="2" t="s">
        <v>189</v>
      </c>
      <c r="Q457" s="2" t="s">
        <v>32</v>
      </c>
      <c r="R457" s="2">
        <v>25.0</v>
      </c>
      <c r="T457" s="2" t="s">
        <v>47</v>
      </c>
      <c r="U457" s="2" t="b">
        <v>0</v>
      </c>
      <c r="V457" s="5">
        <v>0.0073</v>
      </c>
      <c r="W457" s="5">
        <v>0.0163</v>
      </c>
      <c r="X457" s="5">
        <v>1.2E-4</v>
      </c>
      <c r="Y457" s="2">
        <v>61.22282609</v>
      </c>
      <c r="Z457" s="2" t="s">
        <v>182</v>
      </c>
      <c r="AA457" s="2" t="s">
        <v>33</v>
      </c>
    </row>
    <row r="458">
      <c r="A458" s="2">
        <v>1836.0</v>
      </c>
      <c r="B458" s="2" t="s">
        <v>1383</v>
      </c>
      <c r="C458" s="2" t="s">
        <v>7</v>
      </c>
      <c r="D458" s="2" t="s">
        <v>439</v>
      </c>
      <c r="E458" s="2" t="s">
        <v>1384</v>
      </c>
      <c r="F458" s="6">
        <v>45741.375</v>
      </c>
      <c r="G458" s="2">
        <v>44061.0</v>
      </c>
      <c r="H458" s="2">
        <v>44061.0</v>
      </c>
      <c r="I458" s="2">
        <v>35820.0</v>
      </c>
      <c r="J458" s="2">
        <v>321.0</v>
      </c>
      <c r="K458" s="2">
        <v>249.0</v>
      </c>
      <c r="L458" s="2">
        <v>12.0</v>
      </c>
      <c r="M458" s="4">
        <v>63839.0</v>
      </c>
      <c r="N458" s="2" t="s">
        <v>36</v>
      </c>
      <c r="O458" s="2">
        <v>71.0</v>
      </c>
      <c r="P458" s="2" t="s">
        <v>31</v>
      </c>
      <c r="Q458" s="2" t="s">
        <v>32</v>
      </c>
      <c r="R458" s="2">
        <v>28.0</v>
      </c>
      <c r="T458" s="2" t="s">
        <v>47</v>
      </c>
      <c r="U458" s="2" t="b">
        <v>0</v>
      </c>
      <c r="V458" s="5">
        <v>0.007</v>
      </c>
      <c r="W458" s="5">
        <v>0.0482</v>
      </c>
      <c r="X458" s="5">
        <v>3.35E-4</v>
      </c>
      <c r="Y458" s="2">
        <v>256.3815261</v>
      </c>
      <c r="AA458" s="2" t="s">
        <v>33</v>
      </c>
    </row>
    <row r="459">
      <c r="A459" s="2">
        <v>1835.0</v>
      </c>
      <c r="B459" s="2" t="s">
        <v>1385</v>
      </c>
      <c r="C459" s="2" t="s">
        <v>7</v>
      </c>
      <c r="D459" s="2" t="s">
        <v>187</v>
      </c>
      <c r="E459" s="2" t="s">
        <v>1386</v>
      </c>
      <c r="F459" s="6">
        <v>45741.375</v>
      </c>
      <c r="G459" s="2">
        <v>58432.0</v>
      </c>
      <c r="H459" s="2">
        <v>58432.0</v>
      </c>
      <c r="I459" s="2">
        <v>49593.0</v>
      </c>
      <c r="J459" s="2">
        <v>414.0</v>
      </c>
      <c r="K459" s="2">
        <v>333.0</v>
      </c>
      <c r="L459" s="2">
        <v>3.0</v>
      </c>
      <c r="M459" s="4">
        <v>6659.0</v>
      </c>
      <c r="N459" s="2" t="s">
        <v>30</v>
      </c>
      <c r="O459" s="2">
        <v>70.0</v>
      </c>
      <c r="P459" s="2" t="s">
        <v>31</v>
      </c>
      <c r="Q459" s="2" t="s">
        <v>32</v>
      </c>
      <c r="R459" s="2">
        <v>28.0</v>
      </c>
      <c r="T459" s="2" t="s">
        <v>1387</v>
      </c>
      <c r="U459" s="2" t="b">
        <v>0</v>
      </c>
      <c r="V459" s="5">
        <v>0.0067</v>
      </c>
      <c r="W459" s="5">
        <v>0.009</v>
      </c>
      <c r="X459" s="5">
        <v>6.0E-5</v>
      </c>
      <c r="Y459" s="2">
        <v>19.996997</v>
      </c>
      <c r="Z459" s="2" t="s">
        <v>182</v>
      </c>
      <c r="AA459" s="2" t="s">
        <v>33</v>
      </c>
    </row>
    <row r="460">
      <c r="A460" s="2">
        <v>1840.0</v>
      </c>
      <c r="B460" s="2" t="s">
        <v>1388</v>
      </c>
      <c r="C460" s="2" t="s">
        <v>7</v>
      </c>
      <c r="D460" s="2" t="s">
        <v>1389</v>
      </c>
      <c r="E460" s="2" t="s">
        <v>1390</v>
      </c>
      <c r="F460" s="6">
        <v>45741.625</v>
      </c>
      <c r="G460" s="2">
        <v>44096.0</v>
      </c>
      <c r="H460" s="2">
        <v>44096.0</v>
      </c>
      <c r="I460" s="2">
        <v>36336.0</v>
      </c>
      <c r="J460" s="2">
        <v>326.0</v>
      </c>
      <c r="K460" s="2">
        <v>263.0</v>
      </c>
      <c r="L460" s="2">
        <v>6.0</v>
      </c>
      <c r="M460" s="4">
        <v>10241.0</v>
      </c>
      <c r="N460" s="2" t="s">
        <v>36</v>
      </c>
      <c r="O460" s="2">
        <v>71.0</v>
      </c>
      <c r="P460" s="2" t="s">
        <v>31</v>
      </c>
      <c r="Q460" s="2" t="s">
        <v>32</v>
      </c>
      <c r="R460" s="2">
        <v>37.0</v>
      </c>
      <c r="T460" s="2" t="s">
        <v>405</v>
      </c>
      <c r="U460" s="2" t="b">
        <v>0</v>
      </c>
      <c r="V460" s="5">
        <v>0.0072</v>
      </c>
      <c r="W460" s="5">
        <v>0.0228</v>
      </c>
      <c r="X460" s="5">
        <v>1.65E-4</v>
      </c>
      <c r="Y460" s="2">
        <v>38.9391635</v>
      </c>
      <c r="AA460" s="2" t="s">
        <v>33</v>
      </c>
    </row>
    <row r="461">
      <c r="A461" s="2">
        <v>1839.0</v>
      </c>
      <c r="B461" s="2" t="s">
        <v>1391</v>
      </c>
      <c r="C461" s="2" t="s">
        <v>7</v>
      </c>
      <c r="D461" s="2" t="s">
        <v>1392</v>
      </c>
      <c r="E461" s="2" t="s">
        <v>1393</v>
      </c>
      <c r="F461" s="6">
        <v>45741.625</v>
      </c>
      <c r="G461" s="2">
        <v>58480.0</v>
      </c>
      <c r="H461" s="2">
        <v>58480.0</v>
      </c>
      <c r="I461" s="2">
        <v>50146.0</v>
      </c>
      <c r="J461" s="2">
        <v>286.0</v>
      </c>
      <c r="K461" s="2">
        <v>233.0</v>
      </c>
      <c r="L461" s="2">
        <v>3.0</v>
      </c>
      <c r="M461" s="4">
        <v>8738.0</v>
      </c>
      <c r="N461" s="2" t="s">
        <v>30</v>
      </c>
      <c r="O461" s="2">
        <v>70.0</v>
      </c>
      <c r="P461" s="2" t="s">
        <v>31</v>
      </c>
      <c r="Q461" s="2" t="s">
        <v>32</v>
      </c>
      <c r="R461" s="2">
        <v>38.0</v>
      </c>
      <c r="T461" s="7" t="str">
        <f>IFERROR(__xludf.DUMMYFUNCTION("AI(""has offer Come X Pay X"",D461)"),"💸 X Pay Offer: Get Started with Money Transfer on X Today")</f>
        <v>💸 X Pay Offer: Get Started with Money Transfer on X Today</v>
      </c>
      <c r="U461" s="2" t="b">
        <v>0</v>
      </c>
      <c r="V461" s="5">
        <v>0.0046</v>
      </c>
      <c r="W461" s="5">
        <v>0.0129</v>
      </c>
      <c r="X461" s="5">
        <v>6.0E-5</v>
      </c>
      <c r="Y461" s="2">
        <v>37.50214592</v>
      </c>
      <c r="AA461" s="2" t="s">
        <v>33</v>
      </c>
    </row>
    <row r="462">
      <c r="A462" s="2">
        <v>1841.0</v>
      </c>
      <c r="B462" s="2" t="s">
        <v>1394</v>
      </c>
      <c r="C462" s="2" t="s">
        <v>1277</v>
      </c>
      <c r="D462" s="2" t="s">
        <v>1392</v>
      </c>
      <c r="E462" s="2" t="e">
        <v>#N/A</v>
      </c>
      <c r="F462" s="6">
        <v>45741.625</v>
      </c>
      <c r="G462" s="2">
        <v>0.0</v>
      </c>
      <c r="H462" s="2">
        <v>0.0</v>
      </c>
      <c r="I462" s="2">
        <v>0.0</v>
      </c>
      <c r="J462" s="2">
        <v>0.0</v>
      </c>
      <c r="K462" s="2">
        <v>0.0</v>
      </c>
      <c r="L462" s="2">
        <v>0.0</v>
      </c>
      <c r="M462" s="2">
        <v>0.0</v>
      </c>
      <c r="N462" s="2" t="s">
        <v>30</v>
      </c>
      <c r="O462" s="2">
        <v>70.0</v>
      </c>
      <c r="P462" s="2" t="s">
        <v>189</v>
      </c>
      <c r="Q462" s="2" t="s">
        <v>32</v>
      </c>
      <c r="R462" s="2">
        <v>38.0</v>
      </c>
      <c r="U462" s="2" t="b">
        <v>0</v>
      </c>
      <c r="AA462" s="2" t="s">
        <v>33</v>
      </c>
    </row>
    <row r="463">
      <c r="A463" s="2">
        <v>1846.0</v>
      </c>
      <c r="B463" s="2" t="s">
        <v>1395</v>
      </c>
      <c r="C463" s="2" t="s">
        <v>7</v>
      </c>
      <c r="D463" s="2" t="s">
        <v>1365</v>
      </c>
      <c r="E463" s="2" t="s">
        <v>1366</v>
      </c>
      <c r="F463" s="6">
        <v>45741.708333333336</v>
      </c>
      <c r="G463" s="2">
        <v>44120.0</v>
      </c>
      <c r="H463" s="2">
        <v>44120.0</v>
      </c>
      <c r="I463" s="2">
        <v>36379.0</v>
      </c>
      <c r="J463" s="2">
        <v>223.0</v>
      </c>
      <c r="K463" s="2">
        <v>183.0</v>
      </c>
      <c r="L463" s="2">
        <v>2.0</v>
      </c>
      <c r="M463" s="4">
        <v>2544.0</v>
      </c>
      <c r="N463" s="2" t="s">
        <v>36</v>
      </c>
      <c r="O463" s="2">
        <v>71.0</v>
      </c>
      <c r="P463" s="2" t="s">
        <v>31</v>
      </c>
      <c r="Q463" s="2" t="s">
        <v>1367</v>
      </c>
      <c r="R463" s="2">
        <v>39.0</v>
      </c>
      <c r="T463" s="2" t="s">
        <v>1396</v>
      </c>
      <c r="U463" s="2" t="b">
        <v>0</v>
      </c>
      <c r="V463" s="5">
        <v>0.005</v>
      </c>
      <c r="W463" s="5">
        <v>0.0109</v>
      </c>
      <c r="X463" s="5">
        <v>5.5E-5</v>
      </c>
      <c r="Y463" s="2">
        <v>13.90163934</v>
      </c>
      <c r="AA463" s="2" t="s">
        <v>33</v>
      </c>
    </row>
    <row r="464">
      <c r="A464" s="2">
        <v>1843.0</v>
      </c>
      <c r="B464" s="2" t="s">
        <v>1397</v>
      </c>
      <c r="C464" s="2" t="s">
        <v>7</v>
      </c>
      <c r="D464" s="2" t="s">
        <v>1370</v>
      </c>
      <c r="E464" s="2" t="s">
        <v>1371</v>
      </c>
      <c r="F464" s="6">
        <v>45741.708333333336</v>
      </c>
      <c r="G464" s="2">
        <v>58509.0</v>
      </c>
      <c r="H464" s="2">
        <v>58509.0</v>
      </c>
      <c r="I464" s="2">
        <v>50213.0</v>
      </c>
      <c r="J464" s="2">
        <v>289.0</v>
      </c>
      <c r="K464" s="2">
        <v>229.0</v>
      </c>
      <c r="L464" s="2">
        <v>4.0</v>
      </c>
      <c r="M464" s="4">
        <v>11107.0</v>
      </c>
      <c r="N464" s="2" t="s">
        <v>30</v>
      </c>
      <c r="O464" s="2">
        <v>70.0</v>
      </c>
      <c r="P464" s="2" t="s">
        <v>189</v>
      </c>
      <c r="Q464" s="2" t="s">
        <v>1367</v>
      </c>
      <c r="R464" s="2">
        <v>32.0</v>
      </c>
      <c r="T464" s="7" t="str">
        <f>IFERROR(__xludf.DUMMYFUNCTION("AI(""has offer Come X Pay X"",D464)"),"Come X Pay X Offer")</f>
        <v>Come X Pay X Offer</v>
      </c>
      <c r="U464" s="2" t="b">
        <v>0</v>
      </c>
      <c r="V464" s="5">
        <v>0.0046</v>
      </c>
      <c r="W464" s="5">
        <v>0.0175</v>
      </c>
      <c r="X464" s="5">
        <v>8.0E-5</v>
      </c>
      <c r="Y464" s="2">
        <v>48.50218341</v>
      </c>
      <c r="AA464" s="2" t="s">
        <v>33</v>
      </c>
    </row>
    <row r="465">
      <c r="A465" s="2">
        <v>1848.0</v>
      </c>
      <c r="B465" s="2" t="s">
        <v>1398</v>
      </c>
      <c r="C465" s="2" t="s">
        <v>7</v>
      </c>
      <c r="D465" s="2" t="s">
        <v>170</v>
      </c>
      <c r="E465" s="2" t="s">
        <v>288</v>
      </c>
      <c r="F465" s="6">
        <v>45742.475694444445</v>
      </c>
      <c r="G465" s="2">
        <v>58352.0</v>
      </c>
      <c r="H465" s="2">
        <v>58352.0</v>
      </c>
      <c r="I465" s="2">
        <v>49973.0</v>
      </c>
      <c r="J465" s="2">
        <v>255.0</v>
      </c>
      <c r="K465" s="2">
        <v>214.0</v>
      </c>
      <c r="L465" s="2">
        <v>4.0</v>
      </c>
      <c r="M465" s="4">
        <v>16462.0</v>
      </c>
      <c r="N465" s="2" t="s">
        <v>30</v>
      </c>
      <c r="O465" s="2">
        <v>70.0</v>
      </c>
      <c r="P465" s="2" t="s">
        <v>189</v>
      </c>
      <c r="Q465" s="2" t="s">
        <v>32</v>
      </c>
      <c r="R465" s="2">
        <v>27.0</v>
      </c>
      <c r="U465" s="2" t="b">
        <v>0</v>
      </c>
      <c r="V465" s="5">
        <v>0.0043</v>
      </c>
      <c r="W465" s="5">
        <v>0.0187</v>
      </c>
      <c r="X465" s="5">
        <v>8.0E-5</v>
      </c>
      <c r="Y465" s="2">
        <v>76.92523364</v>
      </c>
      <c r="AA465" s="2" t="s">
        <v>33</v>
      </c>
    </row>
    <row r="466">
      <c r="A466" s="2">
        <v>1849.0</v>
      </c>
      <c r="B466" s="2" t="s">
        <v>1399</v>
      </c>
      <c r="C466" s="2" t="s">
        <v>7</v>
      </c>
      <c r="D466" s="2" t="s">
        <v>172</v>
      </c>
      <c r="E466" s="2" t="s">
        <v>290</v>
      </c>
      <c r="F466" s="6">
        <v>45742.478472222225</v>
      </c>
      <c r="G466" s="2">
        <v>44033.0</v>
      </c>
      <c r="H466" s="2">
        <v>44033.0</v>
      </c>
      <c r="I466" s="2">
        <v>35992.0</v>
      </c>
      <c r="J466" s="2">
        <v>218.0</v>
      </c>
      <c r="K466" s="2">
        <v>178.0</v>
      </c>
      <c r="L466" s="2">
        <v>6.0</v>
      </c>
      <c r="M466" s="4">
        <v>7070.0</v>
      </c>
      <c r="N466" s="2" t="s">
        <v>36</v>
      </c>
      <c r="O466" s="2">
        <v>71.0</v>
      </c>
      <c r="P466" s="2" t="s">
        <v>189</v>
      </c>
      <c r="Q466" s="2" t="s">
        <v>32</v>
      </c>
      <c r="R466" s="2">
        <v>24.0</v>
      </c>
      <c r="U466" s="2" t="b">
        <v>0</v>
      </c>
      <c r="V466" s="5">
        <v>0.0049</v>
      </c>
      <c r="W466" s="5">
        <v>0.0337</v>
      </c>
      <c r="X466" s="5">
        <v>1.67E-4</v>
      </c>
      <c r="Y466" s="2">
        <v>39.71910112</v>
      </c>
      <c r="AA466" s="2" t="s">
        <v>33</v>
      </c>
    </row>
    <row r="467">
      <c r="A467" s="2">
        <v>1851.0</v>
      </c>
      <c r="B467" s="2" t="s">
        <v>1400</v>
      </c>
      <c r="C467" s="2" t="s">
        <v>7</v>
      </c>
      <c r="D467" s="2" t="s">
        <v>1401</v>
      </c>
      <c r="E467" s="2" t="s">
        <v>1402</v>
      </c>
      <c r="F467" s="6">
        <v>45742.625</v>
      </c>
      <c r="G467" s="2">
        <v>44050.0</v>
      </c>
      <c r="H467" s="2">
        <v>44050.0</v>
      </c>
      <c r="I467" s="2">
        <v>36304.0</v>
      </c>
      <c r="J467" s="2">
        <v>373.0</v>
      </c>
      <c r="K467" s="2">
        <v>302.0</v>
      </c>
      <c r="L467" s="2">
        <v>3.0</v>
      </c>
      <c r="M467" s="4">
        <v>3201.0</v>
      </c>
      <c r="N467" s="2" t="s">
        <v>36</v>
      </c>
      <c r="O467" s="2">
        <v>71.0</v>
      </c>
      <c r="P467" s="2" t="s">
        <v>189</v>
      </c>
      <c r="Q467" s="2" t="s">
        <v>32</v>
      </c>
      <c r="R467" s="2">
        <v>36.0</v>
      </c>
      <c r="T467" s="7" t="str">
        <f>IFERROR(__xludf.DUMMYFUNCTION("AI(""has offer Come X Pay X"",D467)"),"2 Pay 1")</f>
        <v>2 Pay 1</v>
      </c>
      <c r="U467" s="2" t="b">
        <v>0</v>
      </c>
      <c r="V467" s="5">
        <v>0.0083</v>
      </c>
      <c r="W467" s="5">
        <v>0.0099</v>
      </c>
      <c r="X467" s="5">
        <v>8.3E-5</v>
      </c>
      <c r="Y467" s="2">
        <v>10.59933775</v>
      </c>
      <c r="AA467" s="2" t="s">
        <v>33</v>
      </c>
    </row>
    <row r="468">
      <c r="A468" s="2">
        <v>1850.0</v>
      </c>
      <c r="B468" s="2" t="s">
        <v>1403</v>
      </c>
      <c r="C468" s="2" t="s">
        <v>7</v>
      </c>
      <c r="D468" s="2" t="s">
        <v>1404</v>
      </c>
      <c r="E468" s="2" t="s">
        <v>1405</v>
      </c>
      <c r="F468" s="6">
        <v>45742.625</v>
      </c>
      <c r="G468" s="2">
        <v>58349.0</v>
      </c>
      <c r="H468" s="2">
        <v>58349.0</v>
      </c>
      <c r="I468" s="2">
        <v>50121.0</v>
      </c>
      <c r="J468" s="2">
        <v>522.0</v>
      </c>
      <c r="K468" s="2">
        <v>425.0</v>
      </c>
      <c r="L468" s="2">
        <v>14.0</v>
      </c>
      <c r="M468" s="4">
        <v>49501.0</v>
      </c>
      <c r="N468" s="2" t="s">
        <v>30</v>
      </c>
      <c r="O468" s="2">
        <v>70.0</v>
      </c>
      <c r="P468" s="2" t="s">
        <v>189</v>
      </c>
      <c r="Q468" s="2" t="s">
        <v>32</v>
      </c>
      <c r="R468" s="2">
        <v>36.0</v>
      </c>
      <c r="T468" s="2" t="s">
        <v>58</v>
      </c>
      <c r="U468" s="2" t="b">
        <v>0</v>
      </c>
      <c r="V468" s="5">
        <v>0.0085</v>
      </c>
      <c r="W468" s="5">
        <v>0.0329</v>
      </c>
      <c r="X468" s="5">
        <v>2.79E-4</v>
      </c>
      <c r="Y468" s="2">
        <v>116.4729412</v>
      </c>
      <c r="Z468" s="2">
        <v>3949.0</v>
      </c>
      <c r="AA468" s="2" t="s">
        <v>33</v>
      </c>
    </row>
    <row r="469">
      <c r="A469" s="2">
        <v>1853.0</v>
      </c>
      <c r="B469" s="2" t="s">
        <v>1406</v>
      </c>
      <c r="C469" s="2" t="s">
        <v>7</v>
      </c>
      <c r="D469" s="2" t="s">
        <v>1407</v>
      </c>
      <c r="E469" s="2" t="s">
        <v>1408</v>
      </c>
      <c r="F469" s="6">
        <v>45742.708333333336</v>
      </c>
      <c r="G469" s="2">
        <v>44055.0</v>
      </c>
      <c r="H469" s="2">
        <v>44055.0</v>
      </c>
      <c r="I469" s="2">
        <v>36310.0</v>
      </c>
      <c r="J469" s="2">
        <v>235.0</v>
      </c>
      <c r="K469" s="2">
        <v>197.0</v>
      </c>
      <c r="L469" s="2">
        <v>7.0</v>
      </c>
      <c r="M469" s="4">
        <v>13489.0</v>
      </c>
      <c r="N469" s="2" t="s">
        <v>36</v>
      </c>
      <c r="O469" s="2">
        <v>71.0</v>
      </c>
      <c r="P469" s="2" t="s">
        <v>189</v>
      </c>
      <c r="Q469" s="2" t="s">
        <v>32</v>
      </c>
      <c r="R469" s="2">
        <v>27.0</v>
      </c>
      <c r="T469" s="2" t="s">
        <v>47</v>
      </c>
      <c r="U469" s="2" t="b">
        <v>0</v>
      </c>
      <c r="V469" s="5">
        <v>0.0054</v>
      </c>
      <c r="W469" s="5">
        <v>0.0355</v>
      </c>
      <c r="X469" s="5">
        <v>1.93E-4</v>
      </c>
      <c r="Y469" s="2">
        <v>68.47208122</v>
      </c>
      <c r="AA469" s="2" t="s">
        <v>33</v>
      </c>
    </row>
    <row r="470">
      <c r="A470" s="2">
        <v>1852.0</v>
      </c>
      <c r="B470" s="2" t="s">
        <v>1409</v>
      </c>
      <c r="C470" s="2" t="s">
        <v>7</v>
      </c>
      <c r="D470" s="2" t="s">
        <v>1410</v>
      </c>
      <c r="E470" s="2" t="s">
        <v>1411</v>
      </c>
      <c r="F470" s="6">
        <v>45742.708333333336</v>
      </c>
      <c r="G470" s="2">
        <v>58371.0</v>
      </c>
      <c r="H470" s="2">
        <v>58371.0</v>
      </c>
      <c r="I470" s="2">
        <v>50171.0</v>
      </c>
      <c r="J470" s="2">
        <v>333.0</v>
      </c>
      <c r="K470" s="2">
        <v>265.0</v>
      </c>
      <c r="L470" s="2">
        <v>2.0</v>
      </c>
      <c r="M470" s="4">
        <v>1852.0</v>
      </c>
      <c r="N470" s="2" t="s">
        <v>30</v>
      </c>
      <c r="O470" s="2">
        <v>70.0</v>
      </c>
      <c r="P470" s="2" t="s">
        <v>31</v>
      </c>
      <c r="Q470" s="2" t="s">
        <v>32</v>
      </c>
      <c r="R470" s="2">
        <v>28.0</v>
      </c>
      <c r="T470" s="2" t="s">
        <v>1412</v>
      </c>
      <c r="U470" s="2" t="b">
        <v>0</v>
      </c>
      <c r="V470" s="5">
        <v>0.0053</v>
      </c>
      <c r="W470" s="5">
        <v>0.0075</v>
      </c>
      <c r="X470" s="5">
        <v>4.0E-5</v>
      </c>
      <c r="Y470" s="2">
        <v>6.988679245</v>
      </c>
      <c r="Z470" s="2">
        <v>3270.0</v>
      </c>
      <c r="AA470" s="2" t="s">
        <v>33</v>
      </c>
    </row>
    <row r="471">
      <c r="A471" s="2">
        <v>1854.0</v>
      </c>
      <c r="B471" s="2" t="s">
        <v>1413</v>
      </c>
      <c r="C471" s="2" t="s">
        <v>7</v>
      </c>
      <c r="D471" s="2" t="s">
        <v>1414</v>
      </c>
      <c r="F471" s="6">
        <v>45743.47083333333</v>
      </c>
      <c r="G471" s="2">
        <v>1429.0</v>
      </c>
      <c r="H471" s="2">
        <v>1429.0</v>
      </c>
      <c r="I471" s="2">
        <v>1267.0</v>
      </c>
      <c r="J471" s="2">
        <v>9.0</v>
      </c>
      <c r="K471" s="2">
        <v>8.0</v>
      </c>
      <c r="L471" s="2">
        <v>0.0</v>
      </c>
      <c r="M471" s="2">
        <v>0.0</v>
      </c>
      <c r="N471" s="2" t="s">
        <v>1118</v>
      </c>
      <c r="O471" s="2">
        <v>84.0</v>
      </c>
      <c r="P471" s="2" t="s">
        <v>189</v>
      </c>
      <c r="Q471" s="2" t="s">
        <v>32</v>
      </c>
      <c r="R471" s="2">
        <v>35.0</v>
      </c>
      <c r="T471" s="2" t="s">
        <v>47</v>
      </c>
      <c r="U471" s="2" t="b">
        <v>0</v>
      </c>
      <c r="V471" s="5">
        <v>0.0063</v>
      </c>
      <c r="W471" s="5">
        <v>0.0</v>
      </c>
      <c r="X471" s="5">
        <v>0.0</v>
      </c>
      <c r="Y471" s="2">
        <v>0.0</v>
      </c>
      <c r="AA471" s="2" t="s">
        <v>33</v>
      </c>
    </row>
    <row r="472">
      <c r="A472" s="2">
        <v>1855.0</v>
      </c>
      <c r="B472" s="2" t="s">
        <v>1415</v>
      </c>
      <c r="C472" s="2" t="s">
        <v>7</v>
      </c>
      <c r="D472" s="2" t="s">
        <v>1416</v>
      </c>
      <c r="F472" s="6">
        <v>45743.47152777778</v>
      </c>
      <c r="G472" s="2">
        <v>782.0</v>
      </c>
      <c r="H472" s="2">
        <v>782.0</v>
      </c>
      <c r="I472" s="2">
        <v>691.0</v>
      </c>
      <c r="J472" s="2">
        <v>4.0</v>
      </c>
      <c r="K472" s="2">
        <v>4.0</v>
      </c>
      <c r="L472" s="2">
        <v>0.0</v>
      </c>
      <c r="M472" s="2">
        <v>0.0</v>
      </c>
      <c r="N472" s="2" t="s">
        <v>1115</v>
      </c>
      <c r="O472" s="2">
        <v>85.0</v>
      </c>
      <c r="P472" s="2" t="s">
        <v>189</v>
      </c>
      <c r="Q472" s="2" t="s">
        <v>32</v>
      </c>
      <c r="R472" s="2">
        <v>37.0</v>
      </c>
      <c r="U472" s="2" t="b">
        <v>0</v>
      </c>
      <c r="V472" s="5">
        <v>0.0058</v>
      </c>
      <c r="W472" s="5">
        <v>0.0</v>
      </c>
      <c r="X472" s="5">
        <v>0.0</v>
      </c>
      <c r="Y472" s="2">
        <v>0.0</v>
      </c>
      <c r="AA472" s="2" t="s">
        <v>33</v>
      </c>
    </row>
    <row r="473">
      <c r="A473" s="2">
        <v>1856.0</v>
      </c>
      <c r="B473" s="2" t="s">
        <v>1417</v>
      </c>
      <c r="C473" s="2" t="s">
        <v>7</v>
      </c>
      <c r="D473" s="2" t="s">
        <v>1418</v>
      </c>
      <c r="F473" s="6">
        <v>45743.472916666666</v>
      </c>
      <c r="G473" s="2">
        <v>1360.0</v>
      </c>
      <c r="H473" s="2">
        <v>1360.0</v>
      </c>
      <c r="I473" s="2">
        <v>1201.0</v>
      </c>
      <c r="J473" s="2">
        <v>23.0</v>
      </c>
      <c r="K473" s="2">
        <v>23.0</v>
      </c>
      <c r="L473" s="2">
        <v>4.0</v>
      </c>
      <c r="M473" s="4">
        <v>8339.0</v>
      </c>
      <c r="N473" s="2" t="s">
        <v>1121</v>
      </c>
      <c r="O473" s="2">
        <v>108.0</v>
      </c>
      <c r="P473" s="2" t="s">
        <v>189</v>
      </c>
      <c r="Q473" s="2" t="s">
        <v>32</v>
      </c>
      <c r="R473" s="2">
        <v>35.0</v>
      </c>
      <c r="U473" s="2" t="b">
        <v>0</v>
      </c>
      <c r="V473" s="5">
        <v>0.0192</v>
      </c>
      <c r="W473" s="5">
        <v>0.1739</v>
      </c>
      <c r="X473" s="5">
        <v>0.003331</v>
      </c>
      <c r="Y473" s="2">
        <v>362.5652174</v>
      </c>
      <c r="AA473" s="2" t="s">
        <v>33</v>
      </c>
    </row>
    <row r="474">
      <c r="A474" s="2">
        <v>1857.0</v>
      </c>
      <c r="B474" s="2" t="s">
        <v>1419</v>
      </c>
      <c r="C474" s="2" t="s">
        <v>7</v>
      </c>
      <c r="D474" s="2" t="s">
        <v>1420</v>
      </c>
      <c r="F474" s="6">
        <v>45743.478472222225</v>
      </c>
      <c r="G474" s="2">
        <v>737.0</v>
      </c>
      <c r="H474" s="2">
        <v>737.0</v>
      </c>
      <c r="I474" s="2">
        <v>654.0</v>
      </c>
      <c r="J474" s="2">
        <v>7.0</v>
      </c>
      <c r="K474" s="2">
        <v>7.0</v>
      </c>
      <c r="L474" s="2">
        <v>1.0</v>
      </c>
      <c r="M474" s="4">
        <v>4838.0</v>
      </c>
      <c r="N474" s="2" t="s">
        <v>1124</v>
      </c>
      <c r="O474" s="2">
        <v>109.0</v>
      </c>
      <c r="P474" s="2" t="s">
        <v>189</v>
      </c>
      <c r="Q474" s="2" t="s">
        <v>32</v>
      </c>
      <c r="R474" s="2">
        <v>37.0</v>
      </c>
      <c r="U474" s="2" t="b">
        <v>0</v>
      </c>
      <c r="V474" s="5">
        <v>0.0107</v>
      </c>
      <c r="W474" s="5">
        <v>0.1429</v>
      </c>
      <c r="X474" s="5">
        <v>0.001529</v>
      </c>
      <c r="Y474" s="2">
        <v>691.1428571</v>
      </c>
      <c r="AA474" s="2" t="s">
        <v>33</v>
      </c>
    </row>
    <row r="475">
      <c r="A475" s="2">
        <v>1859.0</v>
      </c>
      <c r="B475" s="2" t="s">
        <v>1421</v>
      </c>
      <c r="C475" s="2" t="s">
        <v>7</v>
      </c>
      <c r="D475" s="2" t="s">
        <v>1422</v>
      </c>
      <c r="E475" s="2" t="s">
        <v>1423</v>
      </c>
      <c r="F475" s="6">
        <v>45743.625</v>
      </c>
      <c r="G475" s="2">
        <v>44096.0</v>
      </c>
      <c r="H475" s="2">
        <v>44096.0</v>
      </c>
      <c r="I475" s="2">
        <v>36374.0</v>
      </c>
      <c r="J475" s="2">
        <v>280.0</v>
      </c>
      <c r="K475" s="2">
        <v>223.0</v>
      </c>
      <c r="L475" s="2">
        <v>4.0</v>
      </c>
      <c r="M475" s="4">
        <v>23469.0</v>
      </c>
      <c r="N475" s="2" t="s">
        <v>36</v>
      </c>
      <c r="O475" s="2">
        <v>71.0</v>
      </c>
      <c r="P475" s="2" t="s">
        <v>31</v>
      </c>
      <c r="Q475" s="2" t="s">
        <v>32</v>
      </c>
      <c r="R475" s="2">
        <v>31.0</v>
      </c>
      <c r="T475" s="2" t="s">
        <v>1185</v>
      </c>
      <c r="U475" s="2" t="b">
        <v>1</v>
      </c>
      <c r="V475" s="5">
        <v>0.0061</v>
      </c>
      <c r="W475" s="5">
        <v>0.0179</v>
      </c>
      <c r="X475" s="5">
        <v>1.1E-4</v>
      </c>
      <c r="Y475" s="2">
        <v>105.2421525</v>
      </c>
      <c r="AA475" s="2" t="s">
        <v>33</v>
      </c>
    </row>
    <row r="476">
      <c r="A476" s="2">
        <v>1858.0</v>
      </c>
      <c r="B476" s="2" t="s">
        <v>1424</v>
      </c>
      <c r="C476" s="2" t="s">
        <v>7</v>
      </c>
      <c r="D476" s="2" t="s">
        <v>1425</v>
      </c>
      <c r="E476" s="2" t="s">
        <v>1426</v>
      </c>
      <c r="F476" s="6">
        <v>45743.625</v>
      </c>
      <c r="G476" s="2">
        <v>58307.0</v>
      </c>
      <c r="H476" s="2">
        <v>58307.0</v>
      </c>
      <c r="I476" s="2">
        <v>50129.0</v>
      </c>
      <c r="J476" s="2">
        <v>403.0</v>
      </c>
      <c r="K476" s="2">
        <v>342.0</v>
      </c>
      <c r="L476" s="2">
        <v>2.0</v>
      </c>
      <c r="M476" s="4">
        <v>5065.0</v>
      </c>
      <c r="N476" s="2" t="s">
        <v>30</v>
      </c>
      <c r="O476" s="2">
        <v>70.0</v>
      </c>
      <c r="P476" s="2" t="s">
        <v>189</v>
      </c>
      <c r="Q476" s="2" t="s">
        <v>32</v>
      </c>
      <c r="R476" s="2">
        <v>36.0</v>
      </c>
      <c r="T476" s="2" t="s">
        <v>1185</v>
      </c>
      <c r="U476" s="2" t="b">
        <v>0</v>
      </c>
      <c r="V476" s="5">
        <v>0.0068</v>
      </c>
      <c r="W476" s="5">
        <v>0.0058</v>
      </c>
      <c r="X476" s="5">
        <v>4.0E-5</v>
      </c>
      <c r="Y476" s="2">
        <v>14.80994152</v>
      </c>
      <c r="Z476" s="2">
        <v>4463.0</v>
      </c>
      <c r="AA476" s="2" t="s">
        <v>33</v>
      </c>
    </row>
    <row r="477">
      <c r="A477" s="2">
        <v>1861.0</v>
      </c>
      <c r="B477" s="2" t="s">
        <v>1427</v>
      </c>
      <c r="C477" s="2" t="s">
        <v>7</v>
      </c>
      <c r="D477" s="2" t="s">
        <v>1389</v>
      </c>
      <c r="E477" s="2" t="s">
        <v>1428</v>
      </c>
      <c r="F477" s="6">
        <v>45743.708333333336</v>
      </c>
      <c r="G477" s="2">
        <v>44046.0</v>
      </c>
      <c r="H477" s="2">
        <v>44046.0</v>
      </c>
      <c r="I477" s="2">
        <v>36395.0</v>
      </c>
      <c r="J477" s="2">
        <v>332.0</v>
      </c>
      <c r="K477" s="2">
        <v>272.0</v>
      </c>
      <c r="L477" s="2">
        <v>7.0</v>
      </c>
      <c r="M477" s="4">
        <v>13024.0</v>
      </c>
      <c r="N477" s="2" t="s">
        <v>36</v>
      </c>
      <c r="O477" s="2">
        <v>71.0</v>
      </c>
      <c r="P477" s="2" t="s">
        <v>189</v>
      </c>
      <c r="Q477" s="2" t="s">
        <v>32</v>
      </c>
      <c r="R477" s="2">
        <v>37.0</v>
      </c>
      <c r="U477" s="2" t="b">
        <v>0</v>
      </c>
      <c r="V477" s="5">
        <v>0.0075</v>
      </c>
      <c r="W477" s="5">
        <v>0.0257</v>
      </c>
      <c r="X477" s="5">
        <v>1.92E-4</v>
      </c>
      <c r="Y477" s="2">
        <v>47.88235294</v>
      </c>
      <c r="AA477" s="2" t="s">
        <v>33</v>
      </c>
    </row>
    <row r="478">
      <c r="A478" s="2">
        <v>1860.0</v>
      </c>
      <c r="B478" s="2" t="s">
        <v>1429</v>
      </c>
      <c r="C478" s="2" t="s">
        <v>7</v>
      </c>
      <c r="D478" s="2" t="s">
        <v>1430</v>
      </c>
      <c r="E478" s="2" t="s">
        <v>1431</v>
      </c>
      <c r="F478" s="6">
        <v>45743.708333333336</v>
      </c>
      <c r="G478" s="2">
        <v>58270.0</v>
      </c>
      <c r="H478" s="2">
        <v>58270.0</v>
      </c>
      <c r="I478" s="2">
        <v>50131.0</v>
      </c>
      <c r="J478" s="2">
        <v>453.0</v>
      </c>
      <c r="K478" s="2">
        <v>372.0</v>
      </c>
      <c r="L478" s="2">
        <v>6.0</v>
      </c>
      <c r="M478" s="4">
        <v>11297.0</v>
      </c>
      <c r="N478" s="2" t="s">
        <v>30</v>
      </c>
      <c r="O478" s="2">
        <v>70.0</v>
      </c>
      <c r="P478" s="2" t="s">
        <v>189</v>
      </c>
      <c r="Q478" s="2" t="s">
        <v>32</v>
      </c>
      <c r="R478" s="2">
        <v>37.0</v>
      </c>
      <c r="U478" s="2" t="b">
        <v>0</v>
      </c>
      <c r="V478" s="5">
        <v>0.0074</v>
      </c>
      <c r="W478" s="5">
        <v>0.0161</v>
      </c>
      <c r="X478" s="5">
        <v>1.2E-4</v>
      </c>
      <c r="Y478" s="2">
        <v>30.36827957</v>
      </c>
      <c r="Z478" s="2">
        <v>4405.0</v>
      </c>
      <c r="AA478" s="2" t="s">
        <v>33</v>
      </c>
    </row>
    <row r="479">
      <c r="A479" s="2">
        <v>1862.0</v>
      </c>
      <c r="B479" s="2" t="s">
        <v>1432</v>
      </c>
      <c r="C479" s="2" t="s">
        <v>7</v>
      </c>
      <c r="D479" s="2" t="s">
        <v>1433</v>
      </c>
      <c r="E479" s="2" t="s">
        <v>1434</v>
      </c>
      <c r="F479" s="6">
        <v>45744.481944444444</v>
      </c>
      <c r="G479" s="2">
        <v>58176.0</v>
      </c>
      <c r="H479" s="2">
        <v>58176.0</v>
      </c>
      <c r="I479" s="2">
        <v>49954.0</v>
      </c>
      <c r="J479" s="2">
        <v>373.0</v>
      </c>
      <c r="K479" s="2">
        <v>313.0</v>
      </c>
      <c r="L479" s="2">
        <v>6.0</v>
      </c>
      <c r="M479" s="4">
        <v>9255.0</v>
      </c>
      <c r="N479" s="2" t="s">
        <v>30</v>
      </c>
      <c r="O479" s="2">
        <v>70.0</v>
      </c>
      <c r="P479" s="2" t="s">
        <v>189</v>
      </c>
      <c r="Q479" s="2" t="s">
        <v>32</v>
      </c>
      <c r="R479" s="2">
        <v>42.0</v>
      </c>
      <c r="T479" s="2" t="s">
        <v>47</v>
      </c>
      <c r="U479" s="2" t="b">
        <v>0</v>
      </c>
      <c r="V479" s="5">
        <v>0.0063</v>
      </c>
      <c r="W479" s="5">
        <v>0.0192</v>
      </c>
      <c r="X479" s="5">
        <v>1.2E-4</v>
      </c>
      <c r="Y479" s="2">
        <v>29.5686901</v>
      </c>
      <c r="Z479" s="2">
        <v>5341.0</v>
      </c>
      <c r="AA479" s="2" t="s">
        <v>33</v>
      </c>
    </row>
    <row r="480">
      <c r="A480" s="2">
        <v>1863.0</v>
      </c>
      <c r="B480" s="2" t="s">
        <v>1435</v>
      </c>
      <c r="C480" s="2" t="s">
        <v>7</v>
      </c>
      <c r="D480" s="2" t="s">
        <v>1436</v>
      </c>
      <c r="E480" s="2" t="s">
        <v>1437</v>
      </c>
      <c r="F480" s="6">
        <v>45744.48263888889</v>
      </c>
      <c r="G480" s="2">
        <v>44034.0</v>
      </c>
      <c r="H480" s="2">
        <v>44034.0</v>
      </c>
      <c r="I480" s="2">
        <v>36177.0</v>
      </c>
      <c r="J480" s="2">
        <v>259.0</v>
      </c>
      <c r="K480" s="2">
        <v>207.0</v>
      </c>
      <c r="L480" s="2">
        <v>1.0</v>
      </c>
      <c r="M480" s="4">
        <v>2190.0</v>
      </c>
      <c r="N480" s="2" t="s">
        <v>36</v>
      </c>
      <c r="O480" s="2">
        <v>71.0</v>
      </c>
      <c r="P480" s="2" t="s">
        <v>189</v>
      </c>
      <c r="Q480" s="2" t="s">
        <v>32</v>
      </c>
      <c r="R480" s="2">
        <v>37.0</v>
      </c>
      <c r="T480" s="2" t="s">
        <v>47</v>
      </c>
      <c r="U480" s="2" t="b">
        <v>0</v>
      </c>
      <c r="V480" s="5">
        <v>0.0057</v>
      </c>
      <c r="W480" s="5">
        <v>0.0048</v>
      </c>
      <c r="X480" s="5">
        <v>2.8E-5</v>
      </c>
      <c r="Y480" s="2">
        <v>10.57971014</v>
      </c>
      <c r="AA480" s="2" t="s">
        <v>33</v>
      </c>
    </row>
    <row r="481">
      <c r="A481" s="2">
        <v>1865.0</v>
      </c>
      <c r="B481" s="2" t="s">
        <v>1438</v>
      </c>
      <c r="C481" s="2" t="s">
        <v>7</v>
      </c>
      <c r="D481" s="2" t="s">
        <v>1439</v>
      </c>
      <c r="E481" s="2" t="s">
        <v>1440</v>
      </c>
      <c r="F481" s="6">
        <v>45744.625</v>
      </c>
      <c r="G481" s="2">
        <v>44029.0</v>
      </c>
      <c r="H481" s="2">
        <v>44029.0</v>
      </c>
      <c r="I481" s="2">
        <v>35774.0</v>
      </c>
      <c r="J481" s="2">
        <v>246.0</v>
      </c>
      <c r="K481" s="2">
        <v>189.0</v>
      </c>
      <c r="L481" s="2">
        <v>4.0</v>
      </c>
      <c r="M481" s="4">
        <v>6626.0</v>
      </c>
      <c r="N481" s="2" t="s">
        <v>36</v>
      </c>
      <c r="O481" s="2">
        <v>71.0</v>
      </c>
      <c r="P481" s="2" t="s">
        <v>189</v>
      </c>
      <c r="Q481" s="2" t="s">
        <v>32</v>
      </c>
      <c r="R481" s="2">
        <v>37.0</v>
      </c>
      <c r="T481" s="2" t="s">
        <v>58</v>
      </c>
      <c r="U481" s="2" t="b">
        <v>1</v>
      </c>
      <c r="V481" s="5">
        <v>0.0053</v>
      </c>
      <c r="W481" s="5">
        <v>0.0212</v>
      </c>
      <c r="X481" s="5">
        <v>1.12E-4</v>
      </c>
      <c r="Y481" s="2">
        <v>35.05820106</v>
      </c>
      <c r="AA481" s="2" t="s">
        <v>33</v>
      </c>
    </row>
    <row r="482">
      <c r="A482" s="2">
        <v>1864.0</v>
      </c>
      <c r="B482" s="2" t="s">
        <v>1441</v>
      </c>
      <c r="C482" s="2" t="s">
        <v>7</v>
      </c>
      <c r="D482" s="2" t="s">
        <v>1442</v>
      </c>
      <c r="E482" s="2" t="s">
        <v>1443</v>
      </c>
      <c r="F482" s="6">
        <v>45744.625</v>
      </c>
      <c r="G482" s="2">
        <v>58159.0</v>
      </c>
      <c r="H482" s="2">
        <v>58159.0</v>
      </c>
      <c r="I482" s="2">
        <v>49107.0</v>
      </c>
      <c r="J482" s="2">
        <v>266.0</v>
      </c>
      <c r="K482" s="2">
        <v>228.0</v>
      </c>
      <c r="L482" s="2">
        <v>3.0</v>
      </c>
      <c r="M482" s="4">
        <v>6490.0</v>
      </c>
      <c r="N482" s="2" t="s">
        <v>30</v>
      </c>
      <c r="O482" s="2">
        <v>70.0</v>
      </c>
      <c r="P482" s="2" t="s">
        <v>31</v>
      </c>
      <c r="Q482" s="2" t="s">
        <v>32</v>
      </c>
      <c r="R482" s="2">
        <v>37.0</v>
      </c>
      <c r="U482" s="2" t="b">
        <v>0</v>
      </c>
      <c r="V482" s="5">
        <v>0.0046</v>
      </c>
      <c r="W482" s="5">
        <v>0.0132</v>
      </c>
      <c r="X482" s="5">
        <v>6.1E-5</v>
      </c>
      <c r="Y482" s="2">
        <v>28.46491228</v>
      </c>
      <c r="AA482" s="2" t="s">
        <v>33</v>
      </c>
    </row>
    <row r="483">
      <c r="A483" s="2">
        <v>1866.0</v>
      </c>
      <c r="B483" s="2" t="s">
        <v>1444</v>
      </c>
      <c r="C483" s="2" t="s">
        <v>7</v>
      </c>
      <c r="D483" s="2" t="s">
        <v>1445</v>
      </c>
      <c r="E483" s="2" t="e">
        <v>#N/A</v>
      </c>
      <c r="F483" s="6">
        <v>45744.62986111111</v>
      </c>
      <c r="G483" s="2">
        <v>58159.0</v>
      </c>
      <c r="H483" s="2">
        <v>58159.0</v>
      </c>
      <c r="I483" s="2">
        <v>49726.0</v>
      </c>
      <c r="J483" s="2">
        <v>478.0</v>
      </c>
      <c r="K483" s="2">
        <v>422.0</v>
      </c>
      <c r="L483" s="2">
        <v>9.0</v>
      </c>
      <c r="M483" s="4">
        <v>23067.0</v>
      </c>
      <c r="N483" s="2" t="s">
        <v>30</v>
      </c>
      <c r="O483" s="2">
        <v>70.0</v>
      </c>
      <c r="P483" s="2" t="s">
        <v>189</v>
      </c>
      <c r="Q483" s="2" t="s">
        <v>32</v>
      </c>
      <c r="R483" s="2">
        <v>33.0</v>
      </c>
      <c r="T483" s="2" t="s">
        <v>47</v>
      </c>
      <c r="U483" s="2" t="b">
        <v>0</v>
      </c>
      <c r="V483" s="5">
        <v>0.0085</v>
      </c>
      <c r="W483" s="5">
        <v>0.0213</v>
      </c>
      <c r="X483" s="5">
        <v>1.81E-4</v>
      </c>
      <c r="Y483" s="2">
        <v>54.66113744</v>
      </c>
    </row>
    <row r="484">
      <c r="A484" s="2">
        <v>1867.0</v>
      </c>
      <c r="B484" s="2" t="s">
        <v>1446</v>
      </c>
      <c r="C484" s="2" t="s">
        <v>7</v>
      </c>
      <c r="D484" s="2" t="s">
        <v>1447</v>
      </c>
      <c r="E484" s="2" t="e">
        <v>#N/A</v>
      </c>
      <c r="F484" s="6">
        <v>45744.63333333333</v>
      </c>
      <c r="G484" s="2">
        <v>44028.0</v>
      </c>
      <c r="H484" s="2">
        <v>44028.0</v>
      </c>
      <c r="I484" s="2">
        <v>36051.0</v>
      </c>
      <c r="J484" s="2">
        <v>342.0</v>
      </c>
      <c r="K484" s="2">
        <v>296.0</v>
      </c>
      <c r="L484" s="2">
        <v>6.0</v>
      </c>
      <c r="M484" s="4">
        <v>24713.0</v>
      </c>
      <c r="N484" s="2" t="s">
        <v>36</v>
      </c>
      <c r="O484" s="2">
        <v>71.0</v>
      </c>
      <c r="P484" s="2" t="s">
        <v>189</v>
      </c>
      <c r="Q484" s="2" t="s">
        <v>32</v>
      </c>
      <c r="R484" s="2">
        <v>34.0</v>
      </c>
      <c r="T484" s="2" t="s">
        <v>1448</v>
      </c>
      <c r="U484" s="2" t="b">
        <v>0</v>
      </c>
      <c r="V484" s="5">
        <v>0.0082</v>
      </c>
      <c r="W484" s="5">
        <v>0.0203</v>
      </c>
      <c r="X484" s="5">
        <v>1.66E-4</v>
      </c>
      <c r="Y484" s="2">
        <v>83.48986486</v>
      </c>
    </row>
    <row r="485">
      <c r="A485" s="2">
        <v>1869.0</v>
      </c>
      <c r="B485" s="2" t="s">
        <v>1449</v>
      </c>
      <c r="C485" s="2" t="s">
        <v>7</v>
      </c>
      <c r="D485" s="2" t="s">
        <v>1450</v>
      </c>
      <c r="E485" s="2" t="s">
        <v>1451</v>
      </c>
      <c r="F485" s="6">
        <v>45745.458333333336</v>
      </c>
      <c r="G485" s="2">
        <v>43897.0</v>
      </c>
      <c r="H485" s="2">
        <v>43897.0</v>
      </c>
      <c r="I485" s="2">
        <v>35919.0</v>
      </c>
      <c r="J485" s="2">
        <v>307.0</v>
      </c>
      <c r="K485" s="2">
        <v>247.0</v>
      </c>
      <c r="L485" s="2">
        <v>4.0</v>
      </c>
      <c r="M485" s="4">
        <v>8273.0</v>
      </c>
      <c r="N485" s="2" t="s">
        <v>36</v>
      </c>
      <c r="O485" s="2">
        <v>71.0</v>
      </c>
      <c r="P485" s="2" t="s">
        <v>189</v>
      </c>
      <c r="Q485" s="2" t="s">
        <v>32</v>
      </c>
      <c r="R485" s="2">
        <v>26.0</v>
      </c>
      <c r="T485" s="2" t="s">
        <v>47</v>
      </c>
      <c r="U485" s="2" t="b">
        <v>0</v>
      </c>
      <c r="V485" s="5">
        <v>0.0069</v>
      </c>
      <c r="W485" s="5">
        <v>0.0162</v>
      </c>
      <c r="X485" s="5">
        <v>1.11E-4</v>
      </c>
      <c r="Y485" s="2">
        <v>33.49392713</v>
      </c>
      <c r="AA485" s="2" t="s">
        <v>33</v>
      </c>
    </row>
    <row r="486">
      <c r="A486" s="2">
        <v>1868.0</v>
      </c>
      <c r="B486" s="2" t="s">
        <v>1452</v>
      </c>
      <c r="C486" s="2" t="s">
        <v>7</v>
      </c>
      <c r="D486" s="2" t="s">
        <v>1453</v>
      </c>
      <c r="E486" s="2" t="s">
        <v>1454</v>
      </c>
      <c r="F486" s="6">
        <v>45745.458333333336</v>
      </c>
      <c r="G486" s="2">
        <v>57969.0</v>
      </c>
      <c r="H486" s="2">
        <v>57969.0</v>
      </c>
      <c r="I486" s="2">
        <v>49719.0</v>
      </c>
      <c r="J486" s="2">
        <v>327.0</v>
      </c>
      <c r="K486" s="2">
        <v>267.0</v>
      </c>
      <c r="L486" s="2">
        <v>5.0</v>
      </c>
      <c r="M486" s="4">
        <v>11638.0</v>
      </c>
      <c r="N486" s="2" t="s">
        <v>30</v>
      </c>
      <c r="O486" s="2">
        <v>70.0</v>
      </c>
      <c r="P486" s="2" t="s">
        <v>189</v>
      </c>
      <c r="Q486" s="2" t="s">
        <v>32</v>
      </c>
      <c r="R486" s="2">
        <v>39.0</v>
      </c>
      <c r="T486" s="2" t="s">
        <v>47</v>
      </c>
      <c r="U486" s="2" t="b">
        <v>0</v>
      </c>
      <c r="V486" s="5">
        <v>0.0054</v>
      </c>
      <c r="W486" s="5">
        <v>0.0187</v>
      </c>
      <c r="X486" s="5">
        <v>1.01E-4</v>
      </c>
      <c r="Y486" s="2">
        <v>43.58801498</v>
      </c>
      <c r="AA486" s="2" t="s">
        <v>33</v>
      </c>
    </row>
    <row r="487">
      <c r="A487" s="2">
        <v>1871.0</v>
      </c>
      <c r="B487" s="2" t="s">
        <v>1455</v>
      </c>
      <c r="C487" s="2" t="s">
        <v>7</v>
      </c>
      <c r="D487" s="2" t="s">
        <v>1456</v>
      </c>
      <c r="E487" s="2" t="s">
        <v>1457</v>
      </c>
      <c r="F487" s="6">
        <v>45745.625</v>
      </c>
      <c r="G487" s="2">
        <v>43888.0</v>
      </c>
      <c r="H487" s="2">
        <v>43888.0</v>
      </c>
      <c r="I487" s="2">
        <v>36222.0</v>
      </c>
      <c r="J487" s="2">
        <v>276.0</v>
      </c>
      <c r="K487" s="2">
        <v>232.0</v>
      </c>
      <c r="L487" s="2">
        <v>3.0</v>
      </c>
      <c r="M487" s="4">
        <v>24080.0</v>
      </c>
      <c r="N487" s="2" t="s">
        <v>36</v>
      </c>
      <c r="O487" s="2">
        <v>71.0</v>
      </c>
      <c r="P487" s="2" t="s">
        <v>31</v>
      </c>
      <c r="Q487" s="2" t="s">
        <v>32</v>
      </c>
      <c r="R487" s="2">
        <v>37.0</v>
      </c>
      <c r="T487" s="2" t="s">
        <v>143</v>
      </c>
      <c r="U487" s="2" t="b">
        <v>1</v>
      </c>
      <c r="V487" s="5">
        <v>0.0064</v>
      </c>
      <c r="W487" s="5">
        <v>0.0129</v>
      </c>
      <c r="X487" s="5">
        <v>8.3E-5</v>
      </c>
      <c r="Y487" s="2">
        <v>103.7931034</v>
      </c>
      <c r="AA487" s="2" t="s">
        <v>33</v>
      </c>
    </row>
    <row r="488">
      <c r="A488" s="2">
        <v>1870.0</v>
      </c>
      <c r="B488" s="2" t="s">
        <v>1458</v>
      </c>
      <c r="C488" s="2" t="s">
        <v>7</v>
      </c>
      <c r="D488" s="2" t="s">
        <v>1459</v>
      </c>
      <c r="E488" s="2" t="s">
        <v>1460</v>
      </c>
      <c r="F488" s="6">
        <v>45745.625</v>
      </c>
      <c r="G488" s="2">
        <v>57977.0</v>
      </c>
      <c r="H488" s="2">
        <v>57977.0</v>
      </c>
      <c r="I488" s="2">
        <v>49885.0</v>
      </c>
      <c r="J488" s="2">
        <v>364.0</v>
      </c>
      <c r="K488" s="2">
        <v>312.0</v>
      </c>
      <c r="L488" s="2">
        <v>7.0</v>
      </c>
      <c r="M488" s="4">
        <v>23615.0</v>
      </c>
      <c r="N488" s="2" t="s">
        <v>30</v>
      </c>
      <c r="O488" s="2">
        <v>70.0</v>
      </c>
      <c r="P488" s="2" t="s">
        <v>189</v>
      </c>
      <c r="Q488" s="2" t="s">
        <v>32</v>
      </c>
      <c r="R488" s="2">
        <v>37.0</v>
      </c>
      <c r="U488" s="2" t="b">
        <v>0</v>
      </c>
      <c r="V488" s="5">
        <v>0.0063</v>
      </c>
      <c r="W488" s="5">
        <v>0.0224</v>
      </c>
      <c r="X488" s="5">
        <v>1.4E-4</v>
      </c>
      <c r="Y488" s="2">
        <v>75.68910256</v>
      </c>
      <c r="Z488" s="2">
        <v>2015.0</v>
      </c>
      <c r="AA488" s="2" t="s">
        <v>33</v>
      </c>
    </row>
    <row r="489">
      <c r="A489" s="2">
        <v>1873.0</v>
      </c>
      <c r="B489" s="2" t="s">
        <v>1461</v>
      </c>
      <c r="C489" s="2" t="s">
        <v>7</v>
      </c>
      <c r="D489" s="2" t="s">
        <v>1462</v>
      </c>
      <c r="E489" s="2" t="s">
        <v>1463</v>
      </c>
      <c r="F489" s="6">
        <v>45745.708333333336</v>
      </c>
      <c r="G489" s="2">
        <v>43899.0</v>
      </c>
      <c r="H489" s="2">
        <v>43899.0</v>
      </c>
      <c r="I489" s="2">
        <v>36244.0</v>
      </c>
      <c r="J489" s="2">
        <v>304.0</v>
      </c>
      <c r="K489" s="2">
        <v>256.0</v>
      </c>
      <c r="L489" s="2">
        <v>11.0</v>
      </c>
      <c r="M489" s="4">
        <v>37356.0</v>
      </c>
      <c r="N489" s="2" t="s">
        <v>36</v>
      </c>
      <c r="O489" s="2">
        <v>71.0</v>
      </c>
      <c r="P489" s="2" t="s">
        <v>189</v>
      </c>
      <c r="Q489" s="2" t="s">
        <v>32</v>
      </c>
      <c r="R489" s="2">
        <v>43.0</v>
      </c>
      <c r="U489" s="2" t="b">
        <v>0</v>
      </c>
      <c r="V489" s="5">
        <v>0.0071</v>
      </c>
      <c r="W489" s="5">
        <v>0.043</v>
      </c>
      <c r="X489" s="5">
        <v>3.03E-4</v>
      </c>
      <c r="Y489" s="2">
        <v>145.921875</v>
      </c>
      <c r="AA489" s="2" t="s">
        <v>33</v>
      </c>
    </row>
    <row r="490">
      <c r="A490" s="2">
        <v>1872.0</v>
      </c>
      <c r="B490" s="2" t="s">
        <v>1464</v>
      </c>
      <c r="C490" s="2" t="s">
        <v>7</v>
      </c>
      <c r="D490" s="2" t="s">
        <v>1465</v>
      </c>
      <c r="E490" s="2" t="s">
        <v>1466</v>
      </c>
      <c r="F490" s="6">
        <v>45745.708333333336</v>
      </c>
      <c r="G490" s="2">
        <v>58010.0</v>
      </c>
      <c r="H490" s="2">
        <v>58010.0</v>
      </c>
      <c r="I490" s="2">
        <v>49867.0</v>
      </c>
      <c r="J490" s="2">
        <v>373.0</v>
      </c>
      <c r="K490" s="2">
        <v>306.0</v>
      </c>
      <c r="L490" s="2">
        <v>12.0</v>
      </c>
      <c r="M490" s="4">
        <v>48774.0</v>
      </c>
      <c r="N490" s="2" t="s">
        <v>30</v>
      </c>
      <c r="O490" s="2">
        <v>70.0</v>
      </c>
      <c r="P490" s="2" t="s">
        <v>189</v>
      </c>
      <c r="Q490" s="2" t="s">
        <v>32</v>
      </c>
      <c r="R490" s="2">
        <v>31.0</v>
      </c>
      <c r="T490" s="2" t="s">
        <v>47</v>
      </c>
      <c r="U490" s="2" t="b">
        <v>0</v>
      </c>
      <c r="V490" s="5">
        <v>0.0061</v>
      </c>
      <c r="W490" s="5">
        <v>0.0392</v>
      </c>
      <c r="X490" s="5">
        <v>2.41E-4</v>
      </c>
      <c r="Y490" s="2">
        <v>159.3921569</v>
      </c>
      <c r="AA490" s="2" t="s">
        <v>33</v>
      </c>
    </row>
    <row r="491">
      <c r="A491" s="2">
        <v>1875.0</v>
      </c>
      <c r="B491" s="2" t="s">
        <v>1467</v>
      </c>
      <c r="C491" s="2" t="s">
        <v>7</v>
      </c>
      <c r="D491" s="2" t="s">
        <v>1468</v>
      </c>
      <c r="E491" s="2" t="s">
        <v>1469</v>
      </c>
      <c r="F491" s="6">
        <v>45746.458333333336</v>
      </c>
      <c r="G491" s="2">
        <v>43861.0</v>
      </c>
      <c r="H491" s="2">
        <v>43861.0</v>
      </c>
      <c r="I491" s="2">
        <v>35845.0</v>
      </c>
      <c r="J491" s="2">
        <v>214.0</v>
      </c>
      <c r="K491" s="2">
        <v>181.0</v>
      </c>
      <c r="L491" s="2">
        <v>4.0</v>
      </c>
      <c r="M491" s="4">
        <v>5125.0</v>
      </c>
      <c r="N491" s="2" t="s">
        <v>36</v>
      </c>
      <c r="O491" s="2">
        <v>71.0</v>
      </c>
      <c r="P491" s="2" t="s">
        <v>189</v>
      </c>
      <c r="Q491" s="2" t="s">
        <v>32</v>
      </c>
      <c r="R491" s="2">
        <v>40.0</v>
      </c>
      <c r="T491" s="2" t="s">
        <v>1470</v>
      </c>
      <c r="U491" s="2" t="b">
        <v>0</v>
      </c>
      <c r="V491" s="5">
        <v>0.005</v>
      </c>
      <c r="W491" s="5">
        <v>0.0221</v>
      </c>
      <c r="X491" s="5">
        <v>1.12E-4</v>
      </c>
      <c r="Y491" s="2">
        <v>28.31491713</v>
      </c>
      <c r="AA491" s="2" t="s">
        <v>33</v>
      </c>
    </row>
    <row r="492">
      <c r="A492" s="2">
        <v>1874.0</v>
      </c>
      <c r="B492" s="2" t="s">
        <v>1471</v>
      </c>
      <c r="C492" s="2" t="s">
        <v>7</v>
      </c>
      <c r="D492" s="2" t="s">
        <v>1472</v>
      </c>
      <c r="E492" s="2" t="s">
        <v>1473</v>
      </c>
      <c r="F492" s="6">
        <v>45746.458333333336</v>
      </c>
      <c r="G492" s="2">
        <v>57881.0</v>
      </c>
      <c r="H492" s="2">
        <v>57881.0</v>
      </c>
      <c r="I492" s="2">
        <v>49576.0</v>
      </c>
      <c r="J492" s="2">
        <v>247.0</v>
      </c>
      <c r="K492" s="2">
        <v>214.0</v>
      </c>
      <c r="L492" s="2">
        <v>3.0</v>
      </c>
      <c r="M492" s="4">
        <v>3606.0</v>
      </c>
      <c r="N492" s="2" t="s">
        <v>30</v>
      </c>
      <c r="O492" s="2">
        <v>70.0</v>
      </c>
      <c r="P492" s="2" t="s">
        <v>189</v>
      </c>
      <c r="Q492" s="2" t="s">
        <v>32</v>
      </c>
      <c r="R492" s="2">
        <v>35.0</v>
      </c>
      <c r="T492" s="2" t="s">
        <v>1474</v>
      </c>
      <c r="U492" s="2" t="b">
        <v>0</v>
      </c>
      <c r="V492" s="5">
        <v>0.0043</v>
      </c>
      <c r="W492" s="5">
        <v>0.014</v>
      </c>
      <c r="X492" s="5">
        <v>6.1E-5</v>
      </c>
      <c r="Y492" s="2">
        <v>16.85046729</v>
      </c>
      <c r="AA492" s="2" t="s">
        <v>33</v>
      </c>
    </row>
    <row r="493">
      <c r="A493" s="2">
        <v>1877.0</v>
      </c>
      <c r="B493" s="2" t="s">
        <v>1475</v>
      </c>
      <c r="C493" s="2" t="s">
        <v>7</v>
      </c>
      <c r="D493" s="2" t="s">
        <v>1476</v>
      </c>
      <c r="E493" s="2" t="s">
        <v>1477</v>
      </c>
      <c r="F493" s="6">
        <v>45746.625</v>
      </c>
      <c r="G493" s="2">
        <v>43872.0</v>
      </c>
      <c r="H493" s="2">
        <v>43872.0</v>
      </c>
      <c r="I493" s="2">
        <v>36066.0</v>
      </c>
      <c r="J493" s="2">
        <v>214.0</v>
      </c>
      <c r="K493" s="2">
        <v>168.0</v>
      </c>
      <c r="L493" s="2">
        <v>4.0</v>
      </c>
      <c r="M493" s="4">
        <v>8485.0</v>
      </c>
      <c r="N493" s="2" t="s">
        <v>36</v>
      </c>
      <c r="O493" s="2">
        <v>71.0</v>
      </c>
      <c r="P493" s="2" t="s">
        <v>189</v>
      </c>
      <c r="Q493" s="2" t="s">
        <v>32</v>
      </c>
      <c r="R493" s="2">
        <v>33.0</v>
      </c>
      <c r="U493" s="2" t="b">
        <v>0</v>
      </c>
      <c r="V493" s="5">
        <v>0.0047</v>
      </c>
      <c r="W493" s="5">
        <v>0.0238</v>
      </c>
      <c r="X493" s="5">
        <v>1.11E-4</v>
      </c>
      <c r="Y493" s="2">
        <v>50.50595238</v>
      </c>
      <c r="AA493" s="2" t="s">
        <v>33</v>
      </c>
    </row>
    <row r="494">
      <c r="A494" s="2">
        <v>1876.0</v>
      </c>
      <c r="B494" s="2" t="s">
        <v>1478</v>
      </c>
      <c r="C494" s="2" t="s">
        <v>7</v>
      </c>
      <c r="D494" s="2" t="s">
        <v>1479</v>
      </c>
      <c r="E494" s="2" t="s">
        <v>1480</v>
      </c>
      <c r="F494" s="6">
        <v>45746.625</v>
      </c>
      <c r="G494" s="2">
        <v>57925.0</v>
      </c>
      <c r="H494" s="2">
        <v>57925.0</v>
      </c>
      <c r="I494" s="2">
        <v>49593.0</v>
      </c>
      <c r="J494" s="2">
        <v>250.0</v>
      </c>
      <c r="K494" s="2">
        <v>207.0</v>
      </c>
      <c r="L494" s="2">
        <v>0.0</v>
      </c>
      <c r="M494" s="2">
        <v>0.0</v>
      </c>
      <c r="N494" s="2" t="s">
        <v>30</v>
      </c>
      <c r="O494" s="2">
        <v>70.0</v>
      </c>
      <c r="P494" s="2" t="s">
        <v>189</v>
      </c>
      <c r="Q494" s="2" t="s">
        <v>32</v>
      </c>
      <c r="R494" s="2">
        <v>33.0</v>
      </c>
      <c r="U494" s="2" t="b">
        <v>0</v>
      </c>
      <c r="V494" s="5">
        <v>0.0042</v>
      </c>
      <c r="W494" s="5">
        <v>0.0</v>
      </c>
      <c r="X494" s="5">
        <v>0.0</v>
      </c>
      <c r="Y494" s="2">
        <v>0.0</v>
      </c>
      <c r="Z494" s="2">
        <v>2382.0</v>
      </c>
      <c r="AA494" s="2" t="s">
        <v>33</v>
      </c>
    </row>
    <row r="495">
      <c r="A495" s="2">
        <v>1879.0</v>
      </c>
      <c r="B495" s="2" t="s">
        <v>1481</v>
      </c>
      <c r="C495" s="2" t="s">
        <v>7</v>
      </c>
      <c r="D495" s="2" t="s">
        <v>1482</v>
      </c>
      <c r="E495" s="2" t="s">
        <v>1483</v>
      </c>
      <c r="F495" s="6">
        <v>45746.708333333336</v>
      </c>
      <c r="G495" s="2">
        <v>43887.0</v>
      </c>
      <c r="H495" s="2">
        <v>43887.0</v>
      </c>
      <c r="I495" s="2">
        <v>36249.0</v>
      </c>
      <c r="J495" s="2">
        <v>280.0</v>
      </c>
      <c r="K495" s="2">
        <v>226.0</v>
      </c>
      <c r="L495" s="2">
        <v>3.0</v>
      </c>
      <c r="M495" s="4">
        <v>15980.0</v>
      </c>
      <c r="N495" s="2" t="s">
        <v>36</v>
      </c>
      <c r="O495" s="2">
        <v>71.0</v>
      </c>
      <c r="P495" s="2" t="s">
        <v>189</v>
      </c>
      <c r="Q495" s="2" t="s">
        <v>32</v>
      </c>
      <c r="R495" s="2">
        <v>40.0</v>
      </c>
      <c r="U495" s="2" t="b">
        <v>1</v>
      </c>
      <c r="V495" s="5">
        <v>0.0062</v>
      </c>
      <c r="W495" s="5">
        <v>0.0133</v>
      </c>
      <c r="X495" s="5">
        <v>8.3E-5</v>
      </c>
      <c r="Y495" s="2">
        <v>70.7079646</v>
      </c>
      <c r="AA495" s="2" t="s">
        <v>33</v>
      </c>
    </row>
    <row r="496">
      <c r="A496" s="2">
        <v>1878.0</v>
      </c>
      <c r="B496" s="2" t="s">
        <v>1484</v>
      </c>
      <c r="C496" s="2" t="s">
        <v>7</v>
      </c>
      <c r="D496" s="2" t="s">
        <v>1485</v>
      </c>
      <c r="E496" s="2" t="s">
        <v>1486</v>
      </c>
      <c r="F496" s="6">
        <v>45746.708333333336</v>
      </c>
      <c r="G496" s="2">
        <v>57936.0</v>
      </c>
      <c r="H496" s="2">
        <v>57936.0</v>
      </c>
      <c r="I496" s="2">
        <v>49848.0</v>
      </c>
      <c r="J496" s="2">
        <v>364.0</v>
      </c>
      <c r="K496" s="2">
        <v>300.0</v>
      </c>
      <c r="L496" s="2">
        <v>3.0</v>
      </c>
      <c r="M496" s="4">
        <v>5966.0</v>
      </c>
      <c r="N496" s="2" t="s">
        <v>30</v>
      </c>
      <c r="O496" s="2">
        <v>70.0</v>
      </c>
      <c r="P496" s="2" t="s">
        <v>189</v>
      </c>
      <c r="Q496" s="2" t="s">
        <v>32</v>
      </c>
      <c r="R496" s="2">
        <v>42.0</v>
      </c>
      <c r="T496" s="2" t="s">
        <v>143</v>
      </c>
      <c r="U496" s="2" t="b">
        <v>0</v>
      </c>
      <c r="V496" s="5">
        <v>0.006</v>
      </c>
      <c r="W496" s="5">
        <v>0.01</v>
      </c>
      <c r="X496" s="5">
        <v>6.0E-5</v>
      </c>
      <c r="Y496" s="2">
        <v>19.88666667</v>
      </c>
      <c r="Z496" s="2">
        <v>3629.0</v>
      </c>
      <c r="AA496" s="2" t="s">
        <v>33</v>
      </c>
    </row>
    <row r="497">
      <c r="A497" s="2">
        <v>1880.0</v>
      </c>
      <c r="B497" s="2" t="s">
        <v>1487</v>
      </c>
      <c r="C497" s="2" t="s">
        <v>7</v>
      </c>
      <c r="D497" s="2" t="s">
        <v>1488</v>
      </c>
      <c r="E497" s="2" t="s">
        <v>1489</v>
      </c>
      <c r="F497" s="6">
        <v>45747.48333333333</v>
      </c>
      <c r="G497" s="2">
        <v>57915.0</v>
      </c>
      <c r="H497" s="2">
        <v>57915.0</v>
      </c>
      <c r="I497" s="2">
        <v>49965.0</v>
      </c>
      <c r="J497" s="2">
        <v>277.0</v>
      </c>
      <c r="K497" s="2">
        <v>227.0</v>
      </c>
      <c r="L497" s="2">
        <v>1.0</v>
      </c>
      <c r="M497" s="4">
        <v>2999.0</v>
      </c>
      <c r="N497" s="2" t="s">
        <v>30</v>
      </c>
      <c r="O497" s="2">
        <v>70.0</v>
      </c>
      <c r="P497" s="2" t="s">
        <v>189</v>
      </c>
      <c r="Q497" s="2" t="s">
        <v>32</v>
      </c>
      <c r="R497" s="2">
        <v>34.0</v>
      </c>
      <c r="U497" s="2" t="b">
        <v>0</v>
      </c>
      <c r="V497" s="5">
        <v>0.0045</v>
      </c>
      <c r="W497" s="5">
        <v>0.0044</v>
      </c>
      <c r="X497" s="5">
        <v>2.0E-5</v>
      </c>
      <c r="Y497" s="2">
        <v>13.21145374</v>
      </c>
      <c r="AA497" s="2" t="s">
        <v>33</v>
      </c>
    </row>
    <row r="498">
      <c r="A498" s="2">
        <v>1881.0</v>
      </c>
      <c r="B498" s="2" t="s">
        <v>1490</v>
      </c>
      <c r="C498" s="2" t="s">
        <v>7</v>
      </c>
      <c r="D498" s="2" t="s">
        <v>1491</v>
      </c>
      <c r="E498" s="2" t="s">
        <v>1492</v>
      </c>
      <c r="F498" s="6">
        <v>45747.48541666667</v>
      </c>
      <c r="G498" s="2">
        <v>43804.0</v>
      </c>
      <c r="H498" s="2">
        <v>43804.0</v>
      </c>
      <c r="I498" s="2">
        <v>36176.0</v>
      </c>
      <c r="J498" s="2">
        <v>215.0</v>
      </c>
      <c r="K498" s="2">
        <v>168.0</v>
      </c>
      <c r="L498" s="2">
        <v>0.0</v>
      </c>
      <c r="M498" s="2">
        <v>0.0</v>
      </c>
      <c r="N498" s="2" t="s">
        <v>36</v>
      </c>
      <c r="O498" s="2">
        <v>71.0</v>
      </c>
      <c r="P498" s="2" t="s">
        <v>189</v>
      </c>
      <c r="Q498" s="2" t="s">
        <v>32</v>
      </c>
      <c r="R498" s="2">
        <v>31.0</v>
      </c>
      <c r="T498" s="2" t="s">
        <v>162</v>
      </c>
      <c r="U498" s="2" t="b">
        <v>0</v>
      </c>
      <c r="V498" s="5">
        <v>0.0046</v>
      </c>
      <c r="W498" s="5">
        <v>0.0</v>
      </c>
      <c r="X498" s="5">
        <v>0.0</v>
      </c>
      <c r="Y498" s="2">
        <v>0.0</v>
      </c>
      <c r="AA498" s="2" t="s">
        <v>33</v>
      </c>
    </row>
    <row r="499">
      <c r="A499" s="2">
        <v>1882.0</v>
      </c>
      <c r="B499" s="2" t="s">
        <v>1493</v>
      </c>
      <c r="C499" s="2" t="s">
        <v>7</v>
      </c>
      <c r="D499" s="2" t="s">
        <v>1494</v>
      </c>
      <c r="E499" s="2" t="s">
        <v>1495</v>
      </c>
      <c r="F499" s="6">
        <v>45747.64513888889</v>
      </c>
      <c r="G499" s="2">
        <v>57919.0</v>
      </c>
      <c r="H499" s="2">
        <v>57919.0</v>
      </c>
      <c r="I499" s="2">
        <v>50040.0</v>
      </c>
      <c r="J499" s="2">
        <v>346.0</v>
      </c>
      <c r="K499" s="2">
        <v>296.0</v>
      </c>
      <c r="L499" s="2">
        <v>6.0</v>
      </c>
      <c r="M499" s="4">
        <v>14321.0</v>
      </c>
      <c r="N499" s="2" t="s">
        <v>30</v>
      </c>
      <c r="O499" s="2">
        <v>70.0</v>
      </c>
      <c r="P499" s="2" t="s">
        <v>189</v>
      </c>
      <c r="Q499" s="2" t="s">
        <v>32</v>
      </c>
      <c r="R499" s="2">
        <v>45.0</v>
      </c>
      <c r="T499" s="7" t="str">
        <f>IFERROR(__xludf.DUMMYFUNCTION("AI(""has offer Come X Pay X"",D499)"),"has offer Come X Pay X")</f>
        <v>has offer Come X Pay X</v>
      </c>
      <c r="U499" s="2" t="b">
        <v>0</v>
      </c>
      <c r="V499" s="5">
        <v>0.0059</v>
      </c>
      <c r="W499" s="5">
        <v>0.0203</v>
      </c>
      <c r="X499" s="5">
        <v>1.2E-4</v>
      </c>
      <c r="Y499" s="2">
        <v>48.38175676</v>
      </c>
      <c r="Z499" s="2">
        <v>4228.0</v>
      </c>
      <c r="AA499" s="2" t="s">
        <v>33</v>
      </c>
    </row>
    <row r="500">
      <c r="A500" s="2">
        <v>1883.0</v>
      </c>
      <c r="B500" s="2" t="s">
        <v>1496</v>
      </c>
      <c r="C500" s="2" t="s">
        <v>7</v>
      </c>
      <c r="D500" s="2" t="s">
        <v>1497</v>
      </c>
      <c r="E500" s="2" t="s">
        <v>1498</v>
      </c>
      <c r="F500" s="6">
        <v>45747.646527777775</v>
      </c>
      <c r="G500" s="2">
        <v>43810.0</v>
      </c>
      <c r="H500" s="2">
        <v>43810.0</v>
      </c>
      <c r="I500" s="2">
        <v>36345.0</v>
      </c>
      <c r="J500" s="2">
        <v>297.0</v>
      </c>
      <c r="K500" s="2">
        <v>228.0</v>
      </c>
      <c r="L500" s="2">
        <v>5.0</v>
      </c>
      <c r="M500" s="4">
        <v>16159.0</v>
      </c>
      <c r="N500" s="2" t="s">
        <v>36</v>
      </c>
      <c r="O500" s="2">
        <v>71.0</v>
      </c>
      <c r="P500" s="2" t="s">
        <v>189</v>
      </c>
      <c r="Q500" s="2" t="s">
        <v>32</v>
      </c>
      <c r="R500" s="2">
        <v>41.0</v>
      </c>
      <c r="U500" s="2" t="b">
        <v>0</v>
      </c>
      <c r="V500" s="5">
        <v>0.0063</v>
      </c>
      <c r="W500" s="5">
        <v>0.0219</v>
      </c>
      <c r="X500" s="5">
        <v>1.38E-4</v>
      </c>
      <c r="Y500" s="2">
        <v>70.87280702</v>
      </c>
      <c r="AA500" s="2" t="s">
        <v>33</v>
      </c>
    </row>
    <row r="501">
      <c r="A501" s="2">
        <v>1885.0</v>
      </c>
      <c r="B501" s="2" t="s">
        <v>1499</v>
      </c>
      <c r="C501" s="2" t="s">
        <v>7</v>
      </c>
      <c r="D501" s="2" t="s">
        <v>1500</v>
      </c>
      <c r="E501" s="2" t="s">
        <v>1501</v>
      </c>
      <c r="F501" s="6">
        <v>45747.791666666664</v>
      </c>
      <c r="G501" s="2">
        <v>43856.0</v>
      </c>
      <c r="H501" s="2">
        <v>43856.0</v>
      </c>
      <c r="I501" s="2">
        <v>36393.0</v>
      </c>
      <c r="J501" s="2">
        <v>282.0</v>
      </c>
      <c r="K501" s="2">
        <v>219.0</v>
      </c>
      <c r="L501" s="2">
        <v>0.0</v>
      </c>
      <c r="M501" s="2">
        <v>0.0</v>
      </c>
      <c r="N501" s="2" t="s">
        <v>36</v>
      </c>
      <c r="O501" s="2">
        <v>71.0</v>
      </c>
      <c r="P501" s="2" t="s">
        <v>189</v>
      </c>
      <c r="Q501" s="2" t="s">
        <v>32</v>
      </c>
      <c r="R501" s="2">
        <v>58.0</v>
      </c>
      <c r="U501" s="2" t="b">
        <v>0</v>
      </c>
      <c r="V501" s="5">
        <v>0.006</v>
      </c>
      <c r="W501" s="5">
        <v>0.0</v>
      </c>
      <c r="X501" s="5">
        <v>0.0</v>
      </c>
      <c r="Y501" s="2">
        <v>0.0</v>
      </c>
      <c r="AA501" s="2" t="s">
        <v>33</v>
      </c>
    </row>
    <row r="502">
      <c r="A502" s="2">
        <v>1884.0</v>
      </c>
      <c r="B502" s="2" t="s">
        <v>1502</v>
      </c>
      <c r="C502" s="2" t="s">
        <v>7</v>
      </c>
      <c r="D502" s="2" t="s">
        <v>1503</v>
      </c>
      <c r="E502" s="2" t="s">
        <v>1504</v>
      </c>
      <c r="F502" s="6">
        <v>45747.791666666664</v>
      </c>
      <c r="G502" s="2">
        <v>57960.0</v>
      </c>
      <c r="H502" s="2">
        <v>57960.0</v>
      </c>
      <c r="I502" s="2">
        <v>50047.0</v>
      </c>
      <c r="J502" s="2">
        <v>386.0</v>
      </c>
      <c r="K502" s="2">
        <v>311.0</v>
      </c>
      <c r="L502" s="2">
        <v>6.0</v>
      </c>
      <c r="M502" s="4">
        <v>16220.0</v>
      </c>
      <c r="N502" s="2" t="s">
        <v>30</v>
      </c>
      <c r="O502" s="2">
        <v>70.0</v>
      </c>
      <c r="P502" s="2" t="s">
        <v>189</v>
      </c>
      <c r="Q502" s="2" t="s">
        <v>32</v>
      </c>
      <c r="R502" s="2">
        <v>47.0</v>
      </c>
      <c r="T502" s="2" t="s">
        <v>47</v>
      </c>
      <c r="U502" s="2" t="b">
        <v>0</v>
      </c>
      <c r="V502" s="5">
        <v>0.0062</v>
      </c>
      <c r="W502" s="5">
        <v>0.0193</v>
      </c>
      <c r="X502" s="5">
        <v>1.2E-4</v>
      </c>
      <c r="Y502" s="2">
        <v>52.15434084</v>
      </c>
      <c r="Z502" s="2" t="s">
        <v>182</v>
      </c>
      <c r="AA502" s="2" t="s">
        <v>33</v>
      </c>
    </row>
    <row r="503">
      <c r="A503" s="2">
        <v>1887.0</v>
      </c>
      <c r="B503" s="2" t="s">
        <v>1505</v>
      </c>
      <c r="C503" s="2" t="s">
        <v>7</v>
      </c>
      <c r="D503" s="2" t="s">
        <v>805</v>
      </c>
      <c r="E503" s="2" t="s">
        <v>806</v>
      </c>
      <c r="F503" s="6">
        <v>45747.875</v>
      </c>
      <c r="G503" s="2">
        <v>43854.0</v>
      </c>
      <c r="H503" s="2">
        <v>43854.0</v>
      </c>
      <c r="I503" s="2">
        <v>36310.0</v>
      </c>
      <c r="J503" s="2">
        <v>234.0</v>
      </c>
      <c r="K503" s="2">
        <v>188.0</v>
      </c>
      <c r="L503" s="2">
        <v>2.0</v>
      </c>
      <c r="M503" s="4">
        <v>8496.0</v>
      </c>
      <c r="N503" s="2" t="s">
        <v>36</v>
      </c>
      <c r="O503" s="2">
        <v>71.0</v>
      </c>
      <c r="P503" s="2" t="s">
        <v>189</v>
      </c>
      <c r="Q503" s="2" t="s">
        <v>32</v>
      </c>
      <c r="R503" s="2">
        <v>34.0</v>
      </c>
      <c r="U503" s="2" t="b">
        <v>0</v>
      </c>
      <c r="V503" s="5">
        <v>0.0052</v>
      </c>
      <c r="W503" s="5">
        <v>0.0106</v>
      </c>
      <c r="X503" s="5">
        <v>5.5E-5</v>
      </c>
      <c r="Y503" s="2">
        <v>45.19148936</v>
      </c>
      <c r="AA503" s="2" t="s">
        <v>33</v>
      </c>
    </row>
    <row r="504">
      <c r="A504" s="2">
        <v>1886.0</v>
      </c>
      <c r="B504" s="2" t="s">
        <v>1506</v>
      </c>
      <c r="C504" s="2" t="s">
        <v>7</v>
      </c>
      <c r="D504" s="2" t="s">
        <v>1507</v>
      </c>
      <c r="E504" s="2" t="s">
        <v>809</v>
      </c>
      <c r="F504" s="6">
        <v>45747.875</v>
      </c>
      <c r="G504" s="2">
        <v>57992.0</v>
      </c>
      <c r="H504" s="2">
        <v>57992.0</v>
      </c>
      <c r="I504" s="2">
        <v>49985.0</v>
      </c>
      <c r="J504" s="2">
        <v>298.0</v>
      </c>
      <c r="K504" s="2">
        <v>254.0</v>
      </c>
      <c r="L504" s="2">
        <v>2.0</v>
      </c>
      <c r="M504" s="4">
        <v>2619.0</v>
      </c>
      <c r="N504" s="2" t="s">
        <v>30</v>
      </c>
      <c r="O504" s="2">
        <v>70.0</v>
      </c>
      <c r="P504" s="2" t="s">
        <v>189</v>
      </c>
      <c r="Q504" s="2" t="s">
        <v>32</v>
      </c>
      <c r="R504" s="2">
        <v>31.0</v>
      </c>
      <c r="U504" s="2" t="b">
        <v>0</v>
      </c>
      <c r="V504" s="5">
        <v>0.0051</v>
      </c>
      <c r="W504" s="5">
        <v>0.0079</v>
      </c>
      <c r="X504" s="5">
        <v>4.0E-5</v>
      </c>
      <c r="Y504" s="2">
        <v>10.31102362</v>
      </c>
      <c r="AA504" s="2" t="s">
        <v>33</v>
      </c>
    </row>
    <row r="505">
      <c r="A505" s="2">
        <v>1888.0</v>
      </c>
      <c r="B505" s="2" t="s">
        <v>1508</v>
      </c>
      <c r="C505" s="2" t="s">
        <v>7</v>
      </c>
      <c r="D505" s="2" t="s">
        <v>1509</v>
      </c>
      <c r="E505" s="2" t="s">
        <v>1510</v>
      </c>
      <c r="F505" s="6">
        <v>45748.48263888889</v>
      </c>
      <c r="G505" s="2">
        <v>57784.0</v>
      </c>
      <c r="H505" s="2">
        <v>57784.0</v>
      </c>
      <c r="I505" s="2">
        <v>49980.0</v>
      </c>
      <c r="J505" s="2">
        <v>233.0</v>
      </c>
      <c r="K505" s="2">
        <v>194.0</v>
      </c>
      <c r="L505" s="2">
        <v>1.0</v>
      </c>
      <c r="M505" s="4">
        <v>1996.0</v>
      </c>
      <c r="N505" s="2" t="s">
        <v>30</v>
      </c>
      <c r="O505" s="2">
        <v>70.0</v>
      </c>
      <c r="P505" s="2" t="s">
        <v>31</v>
      </c>
      <c r="Q505" s="2" t="s">
        <v>32</v>
      </c>
      <c r="R505" s="2">
        <v>38.0</v>
      </c>
      <c r="U505" s="2" t="b">
        <v>0</v>
      </c>
      <c r="V505" s="5">
        <v>0.0039</v>
      </c>
      <c r="W505" s="5">
        <v>0.0052</v>
      </c>
      <c r="X505" s="5">
        <v>2.0E-5</v>
      </c>
      <c r="Y505" s="2">
        <v>10.28865979</v>
      </c>
      <c r="AA505" s="2" t="s">
        <v>33</v>
      </c>
    </row>
    <row r="506">
      <c r="A506" s="2">
        <v>1889.0</v>
      </c>
      <c r="B506" s="2" t="s">
        <v>1511</v>
      </c>
      <c r="C506" s="2" t="s">
        <v>7</v>
      </c>
      <c r="D506" s="2" t="s">
        <v>1512</v>
      </c>
      <c r="E506" s="2" t="s">
        <v>1513</v>
      </c>
      <c r="F506" s="6">
        <v>45748.48402777778</v>
      </c>
      <c r="G506" s="2">
        <v>43748.0</v>
      </c>
      <c r="H506" s="2">
        <v>43748.0</v>
      </c>
      <c r="I506" s="2">
        <v>36094.0</v>
      </c>
      <c r="J506" s="2">
        <v>217.0</v>
      </c>
      <c r="K506" s="2">
        <v>176.0</v>
      </c>
      <c r="L506" s="2">
        <v>5.0</v>
      </c>
      <c r="M506" s="4">
        <v>22220.0</v>
      </c>
      <c r="N506" s="2" t="s">
        <v>36</v>
      </c>
      <c r="O506" s="2">
        <v>71.0</v>
      </c>
      <c r="P506" s="2" t="s">
        <v>31</v>
      </c>
      <c r="Q506" s="2" t="s">
        <v>32</v>
      </c>
      <c r="R506" s="2">
        <v>44.0</v>
      </c>
      <c r="T506" s="2" t="s">
        <v>47</v>
      </c>
      <c r="U506" s="2" t="b">
        <v>0</v>
      </c>
      <c r="V506" s="5">
        <v>0.0049</v>
      </c>
      <c r="W506" s="5">
        <v>0.0284</v>
      </c>
      <c r="X506" s="5">
        <v>1.39E-4</v>
      </c>
      <c r="Y506" s="2">
        <v>126.25</v>
      </c>
      <c r="AA506" s="2" t="s">
        <v>33</v>
      </c>
    </row>
    <row r="507">
      <c r="A507" s="2">
        <v>1891.0</v>
      </c>
      <c r="B507" s="2" t="s">
        <v>1514</v>
      </c>
      <c r="C507" s="2" t="s">
        <v>7</v>
      </c>
      <c r="D507" s="2" t="s">
        <v>1515</v>
      </c>
      <c r="E507" s="2" t="s">
        <v>1516</v>
      </c>
      <c r="F507" s="6">
        <v>45748.625</v>
      </c>
      <c r="G507" s="2">
        <v>43744.0</v>
      </c>
      <c r="H507" s="2">
        <v>43744.0</v>
      </c>
      <c r="I507" s="2">
        <v>36292.0</v>
      </c>
      <c r="J507" s="2">
        <v>214.0</v>
      </c>
      <c r="K507" s="2">
        <v>176.0</v>
      </c>
      <c r="L507" s="2">
        <v>3.0</v>
      </c>
      <c r="M507" s="4">
        <v>7656.0</v>
      </c>
      <c r="N507" s="2" t="s">
        <v>36</v>
      </c>
      <c r="O507" s="2">
        <v>71.0</v>
      </c>
      <c r="P507" s="2" t="s">
        <v>31</v>
      </c>
      <c r="Q507" s="2" t="s">
        <v>32</v>
      </c>
      <c r="R507" s="2">
        <v>38.0</v>
      </c>
      <c r="T507" s="2" t="s">
        <v>58</v>
      </c>
      <c r="U507" s="2" t="b">
        <v>1</v>
      </c>
      <c r="V507" s="5">
        <v>0.0048</v>
      </c>
      <c r="W507" s="5">
        <v>0.017</v>
      </c>
      <c r="X507" s="5">
        <v>8.3E-5</v>
      </c>
      <c r="Y507" s="2">
        <v>43.5</v>
      </c>
      <c r="AA507" s="2" t="s">
        <v>33</v>
      </c>
    </row>
    <row r="508">
      <c r="A508" s="2">
        <v>1890.0</v>
      </c>
      <c r="B508" s="2" t="s">
        <v>1517</v>
      </c>
      <c r="C508" s="2" t="s">
        <v>7</v>
      </c>
      <c r="D508" s="2" t="s">
        <v>1518</v>
      </c>
      <c r="E508" s="2" t="s">
        <v>1519</v>
      </c>
      <c r="F508" s="6">
        <v>45748.625</v>
      </c>
      <c r="G508" s="2">
        <v>57795.0</v>
      </c>
      <c r="H508" s="2">
        <v>57795.0</v>
      </c>
      <c r="I508" s="2">
        <v>50052.0</v>
      </c>
      <c r="J508" s="2">
        <v>290.0</v>
      </c>
      <c r="K508" s="2">
        <v>255.0</v>
      </c>
      <c r="L508" s="2">
        <v>6.0</v>
      </c>
      <c r="M508" s="4">
        <v>16560.0</v>
      </c>
      <c r="N508" s="2" t="s">
        <v>30</v>
      </c>
      <c r="O508" s="2">
        <v>70.0</v>
      </c>
      <c r="P508" s="2" t="s">
        <v>31</v>
      </c>
      <c r="Q508" s="2" t="s">
        <v>32</v>
      </c>
      <c r="R508" s="2">
        <v>37.0</v>
      </c>
      <c r="T508" s="2" t="s">
        <v>1185</v>
      </c>
      <c r="U508" s="2" t="b">
        <v>0</v>
      </c>
      <c r="V508" s="5">
        <v>0.0051</v>
      </c>
      <c r="W508" s="5">
        <v>0.0235</v>
      </c>
      <c r="X508" s="5">
        <v>1.2E-4</v>
      </c>
      <c r="Y508" s="2">
        <v>64.94117647</v>
      </c>
      <c r="Z508" s="2">
        <v>894.0</v>
      </c>
      <c r="AA508" s="2" t="s">
        <v>33</v>
      </c>
    </row>
    <row r="509">
      <c r="A509" s="2">
        <v>1893.0</v>
      </c>
      <c r="B509" s="2" t="s">
        <v>1520</v>
      </c>
      <c r="C509" s="2" t="s">
        <v>7</v>
      </c>
      <c r="D509" s="2" t="s">
        <v>1521</v>
      </c>
      <c r="E509" s="2" t="s">
        <v>1522</v>
      </c>
      <c r="F509" s="6">
        <v>45748.708333333336</v>
      </c>
      <c r="G509" s="2">
        <v>43755.0</v>
      </c>
      <c r="H509" s="2">
        <v>43755.0</v>
      </c>
      <c r="I509" s="2">
        <v>36291.0</v>
      </c>
      <c r="J509" s="2">
        <v>247.0</v>
      </c>
      <c r="K509" s="2">
        <v>185.0</v>
      </c>
      <c r="L509" s="2">
        <v>0.0</v>
      </c>
      <c r="M509" s="2">
        <v>0.0</v>
      </c>
      <c r="N509" s="2" t="s">
        <v>36</v>
      </c>
      <c r="O509" s="2">
        <v>71.0</v>
      </c>
      <c r="P509" s="2" t="s">
        <v>31</v>
      </c>
      <c r="Q509" s="2" t="s">
        <v>32</v>
      </c>
      <c r="R509" s="2">
        <v>34.0</v>
      </c>
      <c r="T509" s="2" t="s">
        <v>47</v>
      </c>
      <c r="U509" s="2" t="b">
        <v>0</v>
      </c>
      <c r="V509" s="5">
        <v>0.0051</v>
      </c>
      <c r="W509" s="5">
        <v>0.0</v>
      </c>
      <c r="X509" s="5">
        <v>0.0</v>
      </c>
      <c r="Y509" s="2">
        <v>0.0</v>
      </c>
      <c r="AA509" s="2" t="s">
        <v>33</v>
      </c>
    </row>
    <row r="510">
      <c r="A510" s="2">
        <v>1892.0</v>
      </c>
      <c r="B510" s="2" t="s">
        <v>1523</v>
      </c>
      <c r="C510" s="2" t="s">
        <v>7</v>
      </c>
      <c r="D510" s="2" t="s">
        <v>1524</v>
      </c>
      <c r="E510" s="2" t="s">
        <v>1525</v>
      </c>
      <c r="F510" s="6">
        <v>45748.708333333336</v>
      </c>
      <c r="G510" s="2">
        <v>57803.0</v>
      </c>
      <c r="H510" s="2">
        <v>57803.0</v>
      </c>
      <c r="I510" s="2">
        <v>50074.0</v>
      </c>
      <c r="J510" s="2">
        <v>284.0</v>
      </c>
      <c r="K510" s="2">
        <v>233.0</v>
      </c>
      <c r="L510" s="2">
        <v>2.0</v>
      </c>
      <c r="M510" s="4">
        <v>5254.0</v>
      </c>
      <c r="N510" s="2" t="s">
        <v>30</v>
      </c>
      <c r="O510" s="2">
        <v>70.0</v>
      </c>
      <c r="P510" s="2" t="s">
        <v>31</v>
      </c>
      <c r="Q510" s="2" t="s">
        <v>32</v>
      </c>
      <c r="R510" s="2">
        <v>33.0</v>
      </c>
      <c r="U510" s="2" t="b">
        <v>0</v>
      </c>
      <c r="V510" s="5">
        <v>0.0047</v>
      </c>
      <c r="W510" s="5">
        <v>0.0086</v>
      </c>
      <c r="X510" s="5">
        <v>4.0E-5</v>
      </c>
      <c r="Y510" s="2">
        <v>22.54935622</v>
      </c>
      <c r="Z510" s="2">
        <v>4097.0</v>
      </c>
      <c r="AA510" s="2" t="s">
        <v>33</v>
      </c>
    </row>
    <row r="511">
      <c r="A511" s="2">
        <v>1895.0</v>
      </c>
      <c r="B511" s="2" t="s">
        <v>1526</v>
      </c>
      <c r="C511" s="2" t="s">
        <v>7</v>
      </c>
      <c r="D511" s="2" t="s">
        <v>172</v>
      </c>
      <c r="E511" s="2" t="s">
        <v>290</v>
      </c>
      <c r="F511" s="6">
        <v>45749.458333333336</v>
      </c>
      <c r="G511" s="2">
        <v>43657.0</v>
      </c>
      <c r="H511" s="2">
        <v>43657.0</v>
      </c>
      <c r="I511" s="2">
        <v>35959.0</v>
      </c>
      <c r="J511" s="2">
        <v>172.0</v>
      </c>
      <c r="K511" s="2">
        <v>144.0</v>
      </c>
      <c r="L511" s="2">
        <v>2.0</v>
      </c>
      <c r="M511" s="4">
        <v>7230.0</v>
      </c>
      <c r="N511" s="2" t="s">
        <v>36</v>
      </c>
      <c r="O511" s="2">
        <v>71.0</v>
      </c>
      <c r="P511" s="2" t="s">
        <v>31</v>
      </c>
      <c r="Q511" s="2" t="s">
        <v>32</v>
      </c>
      <c r="R511" s="2">
        <v>24.0</v>
      </c>
      <c r="T511" s="2" t="s">
        <v>1527</v>
      </c>
      <c r="U511" s="2" t="b">
        <v>0</v>
      </c>
      <c r="V511" s="5">
        <v>0.004</v>
      </c>
      <c r="W511" s="5">
        <v>0.0139</v>
      </c>
      <c r="X511" s="5">
        <v>5.6E-5</v>
      </c>
      <c r="Y511" s="2">
        <v>50.20833333</v>
      </c>
      <c r="AA511" s="2" t="s">
        <v>33</v>
      </c>
    </row>
    <row r="512">
      <c r="A512" s="2">
        <v>1894.0</v>
      </c>
      <c r="B512" s="2" t="s">
        <v>1528</v>
      </c>
      <c r="C512" s="2" t="s">
        <v>7</v>
      </c>
      <c r="D512" s="2" t="s">
        <v>170</v>
      </c>
      <c r="E512" s="2" t="s">
        <v>288</v>
      </c>
      <c r="F512" s="6">
        <v>45749.458333333336</v>
      </c>
      <c r="G512" s="2">
        <v>57627.0</v>
      </c>
      <c r="H512" s="2">
        <v>57627.0</v>
      </c>
      <c r="I512" s="2">
        <v>49766.0</v>
      </c>
      <c r="J512" s="2">
        <v>245.0</v>
      </c>
      <c r="K512" s="2">
        <v>195.0</v>
      </c>
      <c r="L512" s="2">
        <v>3.0</v>
      </c>
      <c r="M512" s="4">
        <v>4002.0</v>
      </c>
      <c r="N512" s="2" t="s">
        <v>30</v>
      </c>
      <c r="O512" s="2">
        <v>70.0</v>
      </c>
      <c r="P512" s="2" t="s">
        <v>31</v>
      </c>
      <c r="Q512" s="2" t="s">
        <v>32</v>
      </c>
      <c r="R512" s="2">
        <v>27.0</v>
      </c>
      <c r="T512" s="2" t="s">
        <v>1529</v>
      </c>
      <c r="U512" s="2" t="b">
        <v>0</v>
      </c>
      <c r="V512" s="5">
        <v>0.0039</v>
      </c>
      <c r="W512" s="5">
        <v>0.0154</v>
      </c>
      <c r="X512" s="5">
        <v>6.0E-5</v>
      </c>
      <c r="Y512" s="2">
        <v>20.52307692</v>
      </c>
      <c r="AA512" s="2" t="s">
        <v>33</v>
      </c>
    </row>
    <row r="513">
      <c r="A513" s="2">
        <v>1897.0</v>
      </c>
      <c r="B513" s="2" t="s">
        <v>1530</v>
      </c>
      <c r="C513" s="2" t="s">
        <v>7</v>
      </c>
      <c r="D513" s="2" t="s">
        <v>1531</v>
      </c>
      <c r="E513" s="2" t="s">
        <v>1532</v>
      </c>
      <c r="F513" s="6">
        <v>45749.625</v>
      </c>
      <c r="G513" s="2">
        <v>43659.0</v>
      </c>
      <c r="H513" s="2">
        <v>43659.0</v>
      </c>
      <c r="I513" s="2">
        <v>36238.0</v>
      </c>
      <c r="J513" s="2">
        <v>217.0</v>
      </c>
      <c r="K513" s="2">
        <v>183.0</v>
      </c>
      <c r="L513" s="2">
        <v>2.0</v>
      </c>
      <c r="M513" s="4">
        <v>3589.0</v>
      </c>
      <c r="N513" s="2" t="s">
        <v>36</v>
      </c>
      <c r="O513" s="2">
        <v>71.0</v>
      </c>
      <c r="P513" s="2" t="s">
        <v>31</v>
      </c>
      <c r="Q513" s="2" t="s">
        <v>32</v>
      </c>
      <c r="R513" s="2">
        <v>48.0</v>
      </c>
      <c r="T513" s="2" t="s">
        <v>47</v>
      </c>
      <c r="U513" s="2" t="b">
        <v>0</v>
      </c>
      <c r="V513" s="5">
        <v>0.005</v>
      </c>
      <c r="W513" s="5">
        <v>0.0109</v>
      </c>
      <c r="X513" s="5">
        <v>5.5E-5</v>
      </c>
      <c r="Y513" s="2">
        <v>19.61202186</v>
      </c>
      <c r="AA513" s="2" t="s">
        <v>33</v>
      </c>
    </row>
    <row r="514">
      <c r="A514" s="2">
        <v>1896.0</v>
      </c>
      <c r="B514" s="2" t="s">
        <v>1533</v>
      </c>
      <c r="C514" s="2" t="s">
        <v>7</v>
      </c>
      <c r="D514" s="2" t="s">
        <v>1534</v>
      </c>
      <c r="E514" s="2" t="s">
        <v>1535</v>
      </c>
      <c r="F514" s="6">
        <v>45749.625</v>
      </c>
      <c r="G514" s="2">
        <v>57638.0</v>
      </c>
      <c r="H514" s="2">
        <v>57638.0</v>
      </c>
      <c r="I514" s="2">
        <v>49988.0</v>
      </c>
      <c r="J514" s="2">
        <v>259.0</v>
      </c>
      <c r="K514" s="2">
        <v>220.0</v>
      </c>
      <c r="L514" s="2">
        <v>3.0</v>
      </c>
      <c r="M514" s="4">
        <v>18406.0</v>
      </c>
      <c r="N514" s="2" t="s">
        <v>30</v>
      </c>
      <c r="O514" s="2">
        <v>70.0</v>
      </c>
      <c r="P514" s="2" t="s">
        <v>31</v>
      </c>
      <c r="Q514" s="2" t="s">
        <v>32</v>
      </c>
      <c r="R514" s="2">
        <v>45.0</v>
      </c>
      <c r="U514" s="2" t="b">
        <v>0</v>
      </c>
      <c r="V514" s="5">
        <v>0.0044</v>
      </c>
      <c r="W514" s="5">
        <v>0.0136</v>
      </c>
      <c r="X514" s="5">
        <v>6.0E-5</v>
      </c>
      <c r="Y514" s="2">
        <v>83.66363636</v>
      </c>
      <c r="AA514" s="2" t="s">
        <v>33</v>
      </c>
    </row>
    <row r="515">
      <c r="A515" s="2">
        <v>1899.0</v>
      </c>
      <c r="B515" s="2" t="s">
        <v>1536</v>
      </c>
      <c r="C515" s="2" t="s">
        <v>7</v>
      </c>
      <c r="D515" s="2" t="s">
        <v>1537</v>
      </c>
      <c r="E515" s="2" t="s">
        <v>1538</v>
      </c>
      <c r="F515" s="6">
        <v>45749.708333333336</v>
      </c>
      <c r="G515" s="2">
        <v>43674.0</v>
      </c>
      <c r="H515" s="2">
        <v>43674.0</v>
      </c>
      <c r="I515" s="2">
        <v>36204.0</v>
      </c>
      <c r="J515" s="2">
        <v>285.0</v>
      </c>
      <c r="K515" s="2">
        <v>220.0</v>
      </c>
      <c r="L515" s="2">
        <v>2.0</v>
      </c>
      <c r="M515" s="4">
        <v>4859.0</v>
      </c>
      <c r="N515" s="2" t="s">
        <v>36</v>
      </c>
      <c r="O515" s="2">
        <v>71.0</v>
      </c>
      <c r="P515" s="2" t="s">
        <v>31</v>
      </c>
      <c r="Q515" s="2" t="s">
        <v>32</v>
      </c>
      <c r="R515" s="2">
        <v>31.0</v>
      </c>
      <c r="T515" s="2" t="s">
        <v>47</v>
      </c>
      <c r="U515" s="2" t="b">
        <v>0</v>
      </c>
      <c r="V515" s="5">
        <v>0.0061</v>
      </c>
      <c r="W515" s="5">
        <v>0.0091</v>
      </c>
      <c r="X515" s="5">
        <v>5.5E-5</v>
      </c>
      <c r="Y515" s="2">
        <v>22.08636364</v>
      </c>
      <c r="AA515" s="2" t="s">
        <v>33</v>
      </c>
    </row>
    <row r="516">
      <c r="A516" s="2">
        <v>1898.0</v>
      </c>
      <c r="B516" s="2" t="s">
        <v>1539</v>
      </c>
      <c r="C516" s="2" t="s">
        <v>7</v>
      </c>
      <c r="D516" s="2" t="s">
        <v>1540</v>
      </c>
      <c r="E516" s="2" t="s">
        <v>1541</v>
      </c>
      <c r="F516" s="6">
        <v>45749.708333333336</v>
      </c>
      <c r="G516" s="2">
        <v>57652.0</v>
      </c>
      <c r="H516" s="2">
        <v>57652.0</v>
      </c>
      <c r="I516" s="2">
        <v>50028.0</v>
      </c>
      <c r="J516" s="2">
        <v>294.0</v>
      </c>
      <c r="K516" s="2">
        <v>240.0</v>
      </c>
      <c r="L516" s="2">
        <v>5.0</v>
      </c>
      <c r="M516" s="4">
        <v>11806.0</v>
      </c>
      <c r="N516" s="2" t="s">
        <v>30</v>
      </c>
      <c r="O516" s="2">
        <v>70.0</v>
      </c>
      <c r="P516" s="2" t="s">
        <v>31</v>
      </c>
      <c r="Q516" s="2" t="s">
        <v>32</v>
      </c>
      <c r="R516" s="2">
        <v>29.0</v>
      </c>
      <c r="U516" s="2" t="b">
        <v>0</v>
      </c>
      <c r="V516" s="5">
        <v>0.0048</v>
      </c>
      <c r="W516" s="5">
        <v>0.0208</v>
      </c>
      <c r="X516" s="5">
        <v>1.0E-4</v>
      </c>
      <c r="Y516" s="2">
        <v>49.19166667</v>
      </c>
      <c r="Z516" s="2">
        <v>5737.0</v>
      </c>
      <c r="AA516" s="2" t="s">
        <v>33</v>
      </c>
    </row>
    <row r="517">
      <c r="A517" s="2">
        <v>1900.0</v>
      </c>
      <c r="B517" s="2" t="s">
        <v>1542</v>
      </c>
      <c r="C517" s="2" t="s">
        <v>7</v>
      </c>
      <c r="D517" s="2" t="s">
        <v>1543</v>
      </c>
      <c r="E517" s="2" t="s">
        <v>1544</v>
      </c>
      <c r="F517" s="6">
        <v>45750.46388888889</v>
      </c>
      <c r="G517" s="2">
        <v>57699.0</v>
      </c>
      <c r="H517" s="2">
        <v>57699.0</v>
      </c>
      <c r="I517" s="2">
        <v>49756.0</v>
      </c>
      <c r="J517" s="2">
        <v>248.0</v>
      </c>
      <c r="K517" s="2">
        <v>222.0</v>
      </c>
      <c r="L517" s="2">
        <v>2.0</v>
      </c>
      <c r="M517" s="4">
        <v>18138.0</v>
      </c>
      <c r="N517" s="2" t="s">
        <v>30</v>
      </c>
      <c r="O517" s="2">
        <v>70.0</v>
      </c>
      <c r="P517" s="2" t="s">
        <v>31</v>
      </c>
      <c r="Q517" s="2" t="s">
        <v>32</v>
      </c>
      <c r="R517" s="2">
        <v>36.0</v>
      </c>
      <c r="T517" s="2" t="s">
        <v>47</v>
      </c>
      <c r="U517" s="2" t="b">
        <v>0</v>
      </c>
      <c r="V517" s="5">
        <v>0.0045</v>
      </c>
      <c r="W517" s="5">
        <v>0.009</v>
      </c>
      <c r="X517" s="5">
        <v>4.0E-5</v>
      </c>
      <c r="Y517" s="2">
        <v>81.7027027</v>
      </c>
      <c r="AA517" s="2" t="s">
        <v>33</v>
      </c>
    </row>
    <row r="518">
      <c r="A518" s="2">
        <v>1901.0</v>
      </c>
      <c r="B518" s="2" t="s">
        <v>1545</v>
      </c>
      <c r="C518" s="2" t="s">
        <v>7</v>
      </c>
      <c r="D518" s="2" t="s">
        <v>1546</v>
      </c>
      <c r="E518" s="2" t="s">
        <v>1547</v>
      </c>
      <c r="F518" s="6">
        <v>45750.46597222222</v>
      </c>
      <c r="G518" s="2">
        <v>43771.0</v>
      </c>
      <c r="H518" s="2">
        <v>43771.0</v>
      </c>
      <c r="I518" s="2">
        <v>36094.0</v>
      </c>
      <c r="J518" s="2">
        <v>211.0</v>
      </c>
      <c r="K518" s="2">
        <v>176.0</v>
      </c>
      <c r="L518" s="2">
        <v>2.0</v>
      </c>
      <c r="M518" s="4">
        <v>10978.0</v>
      </c>
      <c r="N518" s="2" t="s">
        <v>36</v>
      </c>
      <c r="O518" s="2">
        <v>71.0</v>
      </c>
      <c r="P518" s="2" t="s">
        <v>31</v>
      </c>
      <c r="Q518" s="2" t="s">
        <v>32</v>
      </c>
      <c r="R518" s="2">
        <v>36.0</v>
      </c>
      <c r="T518" s="2" t="s">
        <v>47</v>
      </c>
      <c r="U518" s="2" t="b">
        <v>0</v>
      </c>
      <c r="V518" s="5">
        <v>0.0049</v>
      </c>
      <c r="W518" s="5">
        <v>0.0114</v>
      </c>
      <c r="X518" s="5">
        <v>5.5E-5</v>
      </c>
      <c r="Y518" s="2">
        <v>62.375</v>
      </c>
      <c r="AA518" s="2" t="s">
        <v>33</v>
      </c>
    </row>
    <row r="519">
      <c r="A519" s="2">
        <v>1903.0</v>
      </c>
      <c r="B519" s="2" t="s">
        <v>1548</v>
      </c>
      <c r="C519" s="2" t="s">
        <v>7</v>
      </c>
      <c r="D519" s="2" t="s">
        <v>1549</v>
      </c>
      <c r="E519" s="2" t="s">
        <v>1550</v>
      </c>
      <c r="F519" s="6">
        <v>45750.625</v>
      </c>
      <c r="G519" s="2">
        <v>43779.0</v>
      </c>
      <c r="H519" s="2">
        <v>43779.0</v>
      </c>
      <c r="I519" s="2">
        <v>36289.0</v>
      </c>
      <c r="J519" s="2">
        <v>295.0</v>
      </c>
      <c r="K519" s="2">
        <v>244.0</v>
      </c>
      <c r="L519" s="2">
        <v>6.0</v>
      </c>
      <c r="M519" s="4">
        <v>37983.0</v>
      </c>
      <c r="N519" s="2" t="s">
        <v>36</v>
      </c>
      <c r="O519" s="2">
        <v>71.0</v>
      </c>
      <c r="P519" s="2" t="s">
        <v>31</v>
      </c>
      <c r="Q519" s="2" t="s">
        <v>32</v>
      </c>
      <c r="R519" s="2">
        <v>30.0</v>
      </c>
      <c r="U519" s="2" t="b">
        <v>1</v>
      </c>
      <c r="V519" s="5">
        <v>0.0067</v>
      </c>
      <c r="W519" s="5">
        <v>0.0246</v>
      </c>
      <c r="X519" s="5">
        <v>1.65E-4</v>
      </c>
      <c r="Y519" s="2">
        <v>155.6680328</v>
      </c>
      <c r="AA519" s="2" t="s">
        <v>33</v>
      </c>
    </row>
    <row r="520">
      <c r="A520" s="2">
        <v>1902.0</v>
      </c>
      <c r="B520" s="2" t="s">
        <v>1551</v>
      </c>
      <c r="C520" s="2" t="s">
        <v>7</v>
      </c>
      <c r="D520" s="2" t="s">
        <v>1552</v>
      </c>
      <c r="E520" s="2" t="s">
        <v>1553</v>
      </c>
      <c r="F520" s="6">
        <v>45750.625</v>
      </c>
      <c r="G520" s="2">
        <v>57693.0</v>
      </c>
      <c r="H520" s="2">
        <v>57693.0</v>
      </c>
      <c r="I520" s="2">
        <v>49926.0</v>
      </c>
      <c r="J520" s="2">
        <v>341.0</v>
      </c>
      <c r="K520" s="2">
        <v>280.0</v>
      </c>
      <c r="L520" s="2">
        <v>9.0</v>
      </c>
      <c r="M520" s="4">
        <v>28419.0</v>
      </c>
      <c r="N520" s="2" t="s">
        <v>30</v>
      </c>
      <c r="O520" s="2">
        <v>70.0</v>
      </c>
      <c r="P520" s="2" t="s">
        <v>31</v>
      </c>
      <c r="Q520" s="2" t="s">
        <v>32</v>
      </c>
      <c r="R520" s="2">
        <v>33.0</v>
      </c>
      <c r="T520" s="2" t="s">
        <v>58</v>
      </c>
      <c r="U520" s="2" t="b">
        <v>0</v>
      </c>
      <c r="V520" s="5">
        <v>0.0056</v>
      </c>
      <c r="W520" s="5">
        <v>0.0321</v>
      </c>
      <c r="X520" s="5">
        <v>1.8E-4</v>
      </c>
      <c r="Y520" s="2">
        <v>101.4964286</v>
      </c>
      <c r="Z520" s="2">
        <v>370.0</v>
      </c>
      <c r="AA520" s="2" t="s">
        <v>33</v>
      </c>
    </row>
    <row r="521">
      <c r="A521" s="2">
        <v>1905.0</v>
      </c>
      <c r="B521" s="2" t="s">
        <v>1554</v>
      </c>
      <c r="C521" s="2" t="s">
        <v>7</v>
      </c>
      <c r="D521" s="2" t="s">
        <v>1549</v>
      </c>
      <c r="E521" s="2" t="s">
        <v>1555</v>
      </c>
      <c r="F521" s="6">
        <v>45750.708333333336</v>
      </c>
      <c r="G521" s="2">
        <v>43792.0</v>
      </c>
      <c r="H521" s="2">
        <v>43792.0</v>
      </c>
      <c r="I521" s="2">
        <v>36336.0</v>
      </c>
      <c r="J521" s="2">
        <v>251.0</v>
      </c>
      <c r="K521" s="2">
        <v>213.0</v>
      </c>
      <c r="L521" s="2">
        <v>5.0</v>
      </c>
      <c r="M521" s="4">
        <v>22356.0</v>
      </c>
      <c r="N521" s="2" t="s">
        <v>36</v>
      </c>
      <c r="O521" s="2">
        <v>71.0</v>
      </c>
      <c r="P521" s="2" t="s">
        <v>31</v>
      </c>
      <c r="Q521" s="2" t="s">
        <v>32</v>
      </c>
      <c r="R521" s="2">
        <v>30.0</v>
      </c>
      <c r="U521" s="2" t="b">
        <v>1</v>
      </c>
      <c r="V521" s="5">
        <v>0.0059</v>
      </c>
      <c r="W521" s="5">
        <v>0.0235</v>
      </c>
      <c r="X521" s="5">
        <v>1.38E-4</v>
      </c>
      <c r="Y521" s="2">
        <v>104.9577465</v>
      </c>
      <c r="AA521" s="2" t="s">
        <v>33</v>
      </c>
    </row>
    <row r="522">
      <c r="A522" s="2">
        <v>1904.0</v>
      </c>
      <c r="B522" s="2" t="s">
        <v>1556</v>
      </c>
      <c r="C522" s="2" t="s">
        <v>7</v>
      </c>
      <c r="D522" s="2" t="s">
        <v>1557</v>
      </c>
      <c r="E522" s="2" t="s">
        <v>1558</v>
      </c>
      <c r="F522" s="6">
        <v>45750.708333333336</v>
      </c>
      <c r="G522" s="2">
        <v>57714.0</v>
      </c>
      <c r="H522" s="2">
        <v>57714.0</v>
      </c>
      <c r="I522" s="2">
        <v>50007.0</v>
      </c>
      <c r="J522" s="2">
        <v>266.0</v>
      </c>
      <c r="K522" s="2">
        <v>225.0</v>
      </c>
      <c r="L522" s="2">
        <v>5.0</v>
      </c>
      <c r="M522" s="4">
        <v>11121.0</v>
      </c>
      <c r="N522" s="2" t="s">
        <v>30</v>
      </c>
      <c r="O522" s="2">
        <v>70.0</v>
      </c>
      <c r="P522" s="2" t="s">
        <v>31</v>
      </c>
      <c r="Q522" s="2" t="s">
        <v>32</v>
      </c>
      <c r="R522" s="2">
        <v>19.0</v>
      </c>
      <c r="T522" s="2" t="s">
        <v>47</v>
      </c>
      <c r="U522" s="2" t="b">
        <v>0</v>
      </c>
      <c r="V522" s="5">
        <v>0.0045</v>
      </c>
      <c r="W522" s="5">
        <v>0.0222</v>
      </c>
      <c r="X522" s="5">
        <v>1.0E-4</v>
      </c>
      <c r="Y522" s="2">
        <v>49.42666667</v>
      </c>
      <c r="Z522" s="2">
        <v>5742.0</v>
      </c>
      <c r="AA522" s="2" t="s">
        <v>33</v>
      </c>
    </row>
    <row r="523">
      <c r="A523" s="2">
        <v>1910.0</v>
      </c>
      <c r="B523" s="2" t="s">
        <v>1559</v>
      </c>
      <c r="C523" s="2" t="s">
        <v>7</v>
      </c>
      <c r="D523" s="2" t="s">
        <v>1560</v>
      </c>
      <c r="E523" s="2" t="s">
        <v>1561</v>
      </c>
      <c r="F523" s="6">
        <v>45751.48055555556</v>
      </c>
      <c r="G523" s="2">
        <v>57656.0</v>
      </c>
      <c r="H523" s="2">
        <v>57656.0</v>
      </c>
      <c r="I523" s="2">
        <v>49675.0</v>
      </c>
      <c r="J523" s="2">
        <v>301.0</v>
      </c>
      <c r="K523" s="2">
        <v>246.0</v>
      </c>
      <c r="L523" s="2">
        <v>6.0</v>
      </c>
      <c r="M523" s="4">
        <v>11390.0</v>
      </c>
      <c r="N523" s="2" t="s">
        <v>30</v>
      </c>
      <c r="O523" s="2">
        <v>70.0</v>
      </c>
      <c r="P523" s="2" t="s">
        <v>31</v>
      </c>
      <c r="Q523" s="2" t="s">
        <v>32</v>
      </c>
      <c r="R523" s="2">
        <v>42.0</v>
      </c>
      <c r="U523" s="2" t="b">
        <v>0</v>
      </c>
      <c r="V523" s="5">
        <v>0.005</v>
      </c>
      <c r="W523" s="5">
        <v>0.0244</v>
      </c>
      <c r="X523" s="5">
        <v>1.21E-4</v>
      </c>
      <c r="Y523" s="2">
        <v>46.30081301</v>
      </c>
      <c r="Z523" s="2">
        <v>5083.0</v>
      </c>
      <c r="AA523" s="2" t="s">
        <v>33</v>
      </c>
    </row>
    <row r="524">
      <c r="A524" s="2">
        <v>1911.0</v>
      </c>
      <c r="B524" s="2" t="s">
        <v>1562</v>
      </c>
      <c r="C524" s="2" t="s">
        <v>7</v>
      </c>
      <c r="D524" s="2" t="s">
        <v>1563</v>
      </c>
      <c r="E524" s="2" t="s">
        <v>1564</v>
      </c>
      <c r="F524" s="6">
        <v>45751.481944444444</v>
      </c>
      <c r="G524" s="2">
        <v>43743.0</v>
      </c>
      <c r="H524" s="2">
        <v>43743.0</v>
      </c>
      <c r="I524" s="2">
        <v>36083.0</v>
      </c>
      <c r="J524" s="2">
        <v>220.0</v>
      </c>
      <c r="K524" s="2">
        <v>169.0</v>
      </c>
      <c r="L524" s="2">
        <v>4.0</v>
      </c>
      <c r="M524" s="4">
        <v>16200.0</v>
      </c>
      <c r="N524" s="2" t="s">
        <v>36</v>
      </c>
      <c r="O524" s="2">
        <v>71.0</v>
      </c>
      <c r="P524" s="2" t="s">
        <v>31</v>
      </c>
      <c r="Q524" s="2" t="s">
        <v>32</v>
      </c>
      <c r="R524" s="2">
        <v>38.0</v>
      </c>
      <c r="T524" s="2" t="s">
        <v>47</v>
      </c>
      <c r="U524" s="2" t="b">
        <v>0</v>
      </c>
      <c r="V524" s="5">
        <v>0.0047</v>
      </c>
      <c r="W524" s="5">
        <v>0.0237</v>
      </c>
      <c r="X524" s="5">
        <v>1.11E-4</v>
      </c>
      <c r="Y524" s="2">
        <v>95.85798817</v>
      </c>
      <c r="AA524" s="2" t="s">
        <v>33</v>
      </c>
    </row>
    <row r="525">
      <c r="A525" s="2">
        <v>1913.0</v>
      </c>
      <c r="B525" s="2" t="s">
        <v>1565</v>
      </c>
      <c r="C525" s="2" t="s">
        <v>7</v>
      </c>
      <c r="D525" s="2" t="s">
        <v>1566</v>
      </c>
      <c r="E525" s="2" t="s">
        <v>1567</v>
      </c>
      <c r="F525" s="6">
        <v>45751.625</v>
      </c>
      <c r="G525" s="2">
        <v>43728.0</v>
      </c>
      <c r="H525" s="2">
        <v>43728.0</v>
      </c>
      <c r="I525" s="2">
        <v>36230.0</v>
      </c>
      <c r="J525" s="2">
        <v>215.0</v>
      </c>
      <c r="K525" s="2">
        <v>170.0</v>
      </c>
      <c r="L525" s="2">
        <v>5.0</v>
      </c>
      <c r="M525" s="4">
        <v>13346.0</v>
      </c>
      <c r="N525" s="2" t="s">
        <v>36</v>
      </c>
      <c r="O525" s="2">
        <v>71.0</v>
      </c>
      <c r="P525" s="2" t="s">
        <v>31</v>
      </c>
      <c r="Q525" s="2" t="s">
        <v>32</v>
      </c>
      <c r="R525" s="2">
        <v>27.0</v>
      </c>
      <c r="T525" s="2" t="s">
        <v>47</v>
      </c>
      <c r="U525" s="2" t="b">
        <v>0</v>
      </c>
      <c r="V525" s="5">
        <v>0.0047</v>
      </c>
      <c r="W525" s="5">
        <v>0.0294</v>
      </c>
      <c r="X525" s="5">
        <v>1.38E-4</v>
      </c>
      <c r="Y525" s="2">
        <v>78.50588235</v>
      </c>
      <c r="AA525" s="2" t="s">
        <v>33</v>
      </c>
    </row>
    <row r="526">
      <c r="A526" s="2">
        <v>1912.0</v>
      </c>
      <c r="B526" s="2" t="s">
        <v>1568</v>
      </c>
      <c r="C526" s="2" t="s">
        <v>7</v>
      </c>
      <c r="D526" s="2" t="s">
        <v>1569</v>
      </c>
      <c r="E526" s="2" t="s">
        <v>1570</v>
      </c>
      <c r="F526" s="6">
        <v>45751.625</v>
      </c>
      <c r="G526" s="2">
        <v>57660.0</v>
      </c>
      <c r="H526" s="2">
        <v>57660.0</v>
      </c>
      <c r="I526" s="2">
        <v>49883.0</v>
      </c>
      <c r="J526" s="2">
        <v>289.0</v>
      </c>
      <c r="K526" s="2">
        <v>235.0</v>
      </c>
      <c r="L526" s="2">
        <v>2.0</v>
      </c>
      <c r="M526" s="4">
        <v>2697.0</v>
      </c>
      <c r="N526" s="2" t="s">
        <v>30</v>
      </c>
      <c r="O526" s="2">
        <v>70.0</v>
      </c>
      <c r="P526" s="2" t="s">
        <v>31</v>
      </c>
      <c r="Q526" s="2" t="s">
        <v>32</v>
      </c>
      <c r="R526" s="2">
        <v>20.0</v>
      </c>
      <c r="T526" s="2" t="s">
        <v>47</v>
      </c>
      <c r="U526" s="2" t="b">
        <v>0</v>
      </c>
      <c r="V526" s="5">
        <v>0.0047</v>
      </c>
      <c r="W526" s="5">
        <v>0.0085</v>
      </c>
      <c r="X526" s="5">
        <v>4.0E-5</v>
      </c>
      <c r="Y526" s="2">
        <v>11.47659574</v>
      </c>
      <c r="Z526" s="2">
        <v>1961.0</v>
      </c>
      <c r="AA526" s="2" t="s">
        <v>33</v>
      </c>
    </row>
    <row r="527">
      <c r="A527" s="2">
        <v>1915.0</v>
      </c>
      <c r="B527" s="2" t="s">
        <v>1571</v>
      </c>
      <c r="C527" s="2" t="s">
        <v>7</v>
      </c>
      <c r="D527" s="2" t="s">
        <v>1572</v>
      </c>
      <c r="E527" s="2" t="e">
        <v>#N/A</v>
      </c>
      <c r="F527" s="6">
        <v>45751.708333333336</v>
      </c>
      <c r="G527" s="2">
        <v>43725.0</v>
      </c>
      <c r="H527" s="2">
        <v>43725.0</v>
      </c>
      <c r="I527" s="2">
        <v>36215.0</v>
      </c>
      <c r="J527" s="2">
        <v>285.0</v>
      </c>
      <c r="K527" s="2">
        <v>224.0</v>
      </c>
      <c r="L527" s="2">
        <v>3.0</v>
      </c>
      <c r="M527" s="4">
        <v>22374.0</v>
      </c>
      <c r="N527" s="2" t="s">
        <v>36</v>
      </c>
      <c r="O527" s="2">
        <v>71.0</v>
      </c>
      <c r="P527" s="2" t="s">
        <v>31</v>
      </c>
      <c r="Q527" s="2" t="s">
        <v>32</v>
      </c>
      <c r="R527" s="2">
        <v>27.0</v>
      </c>
      <c r="T527" s="2" t="s">
        <v>47</v>
      </c>
      <c r="U527" s="2" t="b">
        <v>0</v>
      </c>
      <c r="V527" s="5">
        <v>0.0062</v>
      </c>
      <c r="W527" s="5">
        <v>0.0134</v>
      </c>
      <c r="X527" s="5">
        <v>8.3E-5</v>
      </c>
      <c r="Y527" s="2">
        <v>99.88392857</v>
      </c>
      <c r="AA527" s="2" t="s">
        <v>33</v>
      </c>
    </row>
    <row r="528">
      <c r="A528" s="2">
        <v>1914.0</v>
      </c>
      <c r="B528" s="2" t="s">
        <v>1573</v>
      </c>
      <c r="C528" s="2" t="s">
        <v>7</v>
      </c>
      <c r="D528" s="2" t="s">
        <v>1574</v>
      </c>
      <c r="E528" s="2" t="e">
        <v>#N/A</v>
      </c>
      <c r="F528" s="6">
        <v>45751.708333333336</v>
      </c>
      <c r="G528" s="2">
        <v>57700.0</v>
      </c>
      <c r="H528" s="2">
        <v>57700.0</v>
      </c>
      <c r="I528" s="2">
        <v>49918.0</v>
      </c>
      <c r="J528" s="2">
        <v>324.0</v>
      </c>
      <c r="K528" s="2">
        <v>265.0</v>
      </c>
      <c r="L528" s="2">
        <v>7.0</v>
      </c>
      <c r="M528" s="4">
        <v>18290.0</v>
      </c>
      <c r="N528" s="2" t="s">
        <v>30</v>
      </c>
      <c r="O528" s="2">
        <v>70.0</v>
      </c>
      <c r="P528" s="2" t="s">
        <v>31</v>
      </c>
      <c r="Q528" s="2" t="s">
        <v>32</v>
      </c>
      <c r="R528" s="2">
        <v>25.0</v>
      </c>
      <c r="T528" s="2" t="s">
        <v>47</v>
      </c>
      <c r="U528" s="2" t="b">
        <v>0</v>
      </c>
      <c r="V528" s="5">
        <v>0.0053</v>
      </c>
      <c r="W528" s="5">
        <v>0.0264</v>
      </c>
      <c r="X528" s="5">
        <v>1.4E-4</v>
      </c>
      <c r="Y528" s="2">
        <v>69.01886792</v>
      </c>
      <c r="AA528" s="2" t="s">
        <v>33</v>
      </c>
    </row>
    <row r="529">
      <c r="A529" s="2">
        <v>1917.0</v>
      </c>
      <c r="B529" s="2" t="s">
        <v>1575</v>
      </c>
      <c r="C529" s="2" t="s">
        <v>7</v>
      </c>
      <c r="D529" s="2" t="s">
        <v>1576</v>
      </c>
      <c r="E529" s="2" t="e">
        <v>#N/A</v>
      </c>
      <c r="F529" s="6">
        <v>45752.458333333336</v>
      </c>
      <c r="G529" s="2">
        <v>43703.0</v>
      </c>
      <c r="H529" s="2">
        <v>43703.0</v>
      </c>
      <c r="I529" s="2">
        <v>35873.0</v>
      </c>
      <c r="J529" s="2">
        <v>283.0</v>
      </c>
      <c r="K529" s="2">
        <v>228.0</v>
      </c>
      <c r="L529" s="2">
        <v>3.0</v>
      </c>
      <c r="M529" s="4">
        <v>12855.0</v>
      </c>
      <c r="N529" s="2" t="s">
        <v>36</v>
      </c>
      <c r="O529" s="2">
        <v>71.0</v>
      </c>
      <c r="P529" s="2" t="s">
        <v>31</v>
      </c>
      <c r="Q529" s="2" t="s">
        <v>32</v>
      </c>
      <c r="R529" s="2">
        <v>34.0</v>
      </c>
      <c r="T529" s="2" t="s">
        <v>58</v>
      </c>
      <c r="U529" s="2" t="b">
        <v>0</v>
      </c>
      <c r="V529" s="5">
        <v>0.0064</v>
      </c>
      <c r="W529" s="5">
        <v>0.0132</v>
      </c>
      <c r="X529" s="5">
        <v>8.4E-5</v>
      </c>
      <c r="Y529" s="2">
        <v>56.38157895</v>
      </c>
      <c r="AA529" s="2" t="s">
        <v>33</v>
      </c>
    </row>
    <row r="530">
      <c r="A530" s="2">
        <v>1916.0</v>
      </c>
      <c r="B530" s="2" t="s">
        <v>1577</v>
      </c>
      <c r="C530" s="2" t="s">
        <v>7</v>
      </c>
      <c r="D530" s="2" t="s">
        <v>1578</v>
      </c>
      <c r="E530" s="2" t="e">
        <v>#N/A</v>
      </c>
      <c r="F530" s="6">
        <v>45752.458333333336</v>
      </c>
      <c r="G530" s="2">
        <v>57687.0</v>
      </c>
      <c r="H530" s="2">
        <v>57687.0</v>
      </c>
      <c r="I530" s="2">
        <v>49602.0</v>
      </c>
      <c r="J530" s="2">
        <v>416.0</v>
      </c>
      <c r="K530" s="2">
        <v>338.0</v>
      </c>
      <c r="L530" s="2">
        <v>7.0</v>
      </c>
      <c r="M530" s="4">
        <v>14494.0</v>
      </c>
      <c r="N530" s="2" t="s">
        <v>30</v>
      </c>
      <c r="O530" s="2">
        <v>70.0</v>
      </c>
      <c r="P530" s="2" t="s">
        <v>31</v>
      </c>
      <c r="Q530" s="2" t="s">
        <v>32</v>
      </c>
      <c r="R530" s="2">
        <v>29.0</v>
      </c>
      <c r="T530" s="2" t="s">
        <v>1185</v>
      </c>
      <c r="U530" s="2" t="b">
        <v>0</v>
      </c>
      <c r="V530" s="5">
        <v>0.0068</v>
      </c>
      <c r="W530" s="5">
        <v>0.0207</v>
      </c>
      <c r="X530" s="5">
        <v>1.41E-4</v>
      </c>
      <c r="Y530" s="2">
        <v>42.8816568</v>
      </c>
      <c r="AA530" s="2" t="s">
        <v>33</v>
      </c>
    </row>
    <row r="531">
      <c r="A531" s="2">
        <v>1919.0</v>
      </c>
      <c r="B531" s="2" t="s">
        <v>1579</v>
      </c>
      <c r="C531" s="2" t="s">
        <v>7</v>
      </c>
      <c r="D531" s="2" t="s">
        <v>1580</v>
      </c>
      <c r="E531" s="2" t="s">
        <v>1581</v>
      </c>
      <c r="F531" s="6">
        <v>45752.625</v>
      </c>
      <c r="G531" s="2">
        <v>43702.0</v>
      </c>
      <c r="H531" s="2">
        <v>43702.0</v>
      </c>
      <c r="I531" s="2">
        <v>36186.0</v>
      </c>
      <c r="J531" s="2">
        <v>259.0</v>
      </c>
      <c r="K531" s="2">
        <v>203.0</v>
      </c>
      <c r="L531" s="2">
        <v>5.0</v>
      </c>
      <c r="M531" s="4">
        <v>8136.0</v>
      </c>
      <c r="N531" s="2" t="s">
        <v>36</v>
      </c>
      <c r="O531" s="2">
        <v>71.0</v>
      </c>
      <c r="P531" s="2" t="s">
        <v>31</v>
      </c>
      <c r="Q531" s="2" t="s">
        <v>32</v>
      </c>
      <c r="R531" s="2">
        <v>40.0</v>
      </c>
      <c r="U531" s="2" t="b">
        <v>0</v>
      </c>
      <c r="V531" s="5">
        <v>0.0056</v>
      </c>
      <c r="W531" s="5">
        <v>0.0246</v>
      </c>
      <c r="X531" s="5">
        <v>1.38E-4</v>
      </c>
      <c r="Y531" s="2">
        <v>40.07881773</v>
      </c>
      <c r="AA531" s="2" t="s">
        <v>33</v>
      </c>
    </row>
    <row r="532">
      <c r="A532" s="2">
        <v>1918.0</v>
      </c>
      <c r="B532" s="2" t="s">
        <v>1582</v>
      </c>
      <c r="C532" s="2" t="s">
        <v>7</v>
      </c>
      <c r="D532" s="2" t="s">
        <v>1583</v>
      </c>
      <c r="E532" s="2" t="s">
        <v>1584</v>
      </c>
      <c r="F532" s="6">
        <v>45752.625</v>
      </c>
      <c r="G532" s="2">
        <v>57738.0</v>
      </c>
      <c r="H532" s="2">
        <v>57738.0</v>
      </c>
      <c r="I532" s="2">
        <v>49950.0</v>
      </c>
      <c r="J532" s="2">
        <v>248.0</v>
      </c>
      <c r="K532" s="2">
        <v>203.0</v>
      </c>
      <c r="L532" s="2">
        <v>2.0</v>
      </c>
      <c r="M532" s="4">
        <v>5598.0</v>
      </c>
      <c r="N532" s="2" t="s">
        <v>30</v>
      </c>
      <c r="O532" s="2">
        <v>70.0</v>
      </c>
      <c r="P532" s="2" t="s">
        <v>31</v>
      </c>
      <c r="Q532" s="2" t="s">
        <v>32</v>
      </c>
      <c r="R532" s="2">
        <v>35.0</v>
      </c>
      <c r="T532" s="2" t="s">
        <v>47</v>
      </c>
      <c r="U532" s="2" t="b">
        <v>0</v>
      </c>
      <c r="V532" s="5">
        <v>0.0041</v>
      </c>
      <c r="W532" s="5">
        <v>0.0099</v>
      </c>
      <c r="X532" s="5">
        <v>4.0E-5</v>
      </c>
      <c r="Y532" s="2">
        <v>27.57635468</v>
      </c>
      <c r="AA532" s="2" t="s">
        <v>33</v>
      </c>
    </row>
    <row r="533">
      <c r="A533" s="2">
        <v>1921.0</v>
      </c>
      <c r="B533" s="2" t="s">
        <v>1585</v>
      </c>
      <c r="C533" s="2" t="s">
        <v>7</v>
      </c>
      <c r="D533" s="2" t="s">
        <v>1586</v>
      </c>
      <c r="E533" s="2" t="s">
        <v>1587</v>
      </c>
      <c r="F533" s="6">
        <v>45752.708333333336</v>
      </c>
      <c r="G533" s="2">
        <v>43717.0</v>
      </c>
      <c r="H533" s="2">
        <v>43717.0</v>
      </c>
      <c r="I533" s="2">
        <v>36259.0</v>
      </c>
      <c r="J533" s="2">
        <v>250.0</v>
      </c>
      <c r="K533" s="2">
        <v>193.0</v>
      </c>
      <c r="L533" s="2">
        <v>3.0</v>
      </c>
      <c r="M533" s="4">
        <v>10798.0</v>
      </c>
      <c r="N533" s="2" t="s">
        <v>36</v>
      </c>
      <c r="O533" s="2">
        <v>71.0</v>
      </c>
      <c r="P533" s="2" t="s">
        <v>31</v>
      </c>
      <c r="Q533" s="2" t="s">
        <v>32</v>
      </c>
      <c r="R533" s="2">
        <v>32.0</v>
      </c>
      <c r="T533" s="2" t="s">
        <v>47</v>
      </c>
      <c r="U533" s="2" t="b">
        <v>0</v>
      </c>
      <c r="V533" s="5">
        <v>0.0053</v>
      </c>
      <c r="W533" s="5">
        <v>0.0155</v>
      </c>
      <c r="X533" s="5">
        <v>8.3E-5</v>
      </c>
      <c r="Y533" s="2">
        <v>55.94818653</v>
      </c>
      <c r="AA533" s="2" t="s">
        <v>33</v>
      </c>
    </row>
    <row r="534">
      <c r="A534" s="2">
        <v>1920.0</v>
      </c>
      <c r="B534" s="2" t="s">
        <v>1588</v>
      </c>
      <c r="C534" s="2" t="s">
        <v>7</v>
      </c>
      <c r="D534" s="2" t="s">
        <v>1589</v>
      </c>
      <c r="E534" s="2" t="s">
        <v>1590</v>
      </c>
      <c r="F534" s="6">
        <v>45752.708333333336</v>
      </c>
      <c r="G534" s="2">
        <v>57772.0</v>
      </c>
      <c r="H534" s="2">
        <v>57772.0</v>
      </c>
      <c r="I534" s="2">
        <v>49918.0</v>
      </c>
      <c r="J534" s="2">
        <v>272.0</v>
      </c>
      <c r="K534" s="2">
        <v>227.0</v>
      </c>
      <c r="L534" s="2">
        <v>2.0</v>
      </c>
      <c r="M534" s="4">
        <v>4920.0</v>
      </c>
      <c r="N534" s="2" t="s">
        <v>30</v>
      </c>
      <c r="O534" s="2">
        <v>70.0</v>
      </c>
      <c r="P534" s="2" t="s">
        <v>31</v>
      </c>
      <c r="Q534" s="2" t="s">
        <v>32</v>
      </c>
      <c r="R534" s="2">
        <v>28.0</v>
      </c>
      <c r="U534" s="2" t="b">
        <v>0</v>
      </c>
      <c r="V534" s="5">
        <v>0.0045</v>
      </c>
      <c r="W534" s="5">
        <v>0.0088</v>
      </c>
      <c r="X534" s="5">
        <v>4.0E-5</v>
      </c>
      <c r="Y534" s="2">
        <v>21.67400881</v>
      </c>
      <c r="Z534" s="2">
        <v>4141.0</v>
      </c>
      <c r="AA534" s="2" t="s">
        <v>33</v>
      </c>
    </row>
    <row r="535">
      <c r="A535" s="2">
        <v>1923.0</v>
      </c>
      <c r="B535" s="2" t="s">
        <v>1591</v>
      </c>
      <c r="C535" s="2" t="s">
        <v>7</v>
      </c>
      <c r="D535" s="2" t="s">
        <v>1592</v>
      </c>
      <c r="E535" s="2" t="s">
        <v>1593</v>
      </c>
      <c r="F535" s="6">
        <v>45753.458333333336</v>
      </c>
      <c r="G535" s="2">
        <v>43663.0</v>
      </c>
      <c r="H535" s="2">
        <v>43663.0</v>
      </c>
      <c r="I535" s="2">
        <v>35921.0</v>
      </c>
      <c r="J535" s="2">
        <v>313.0</v>
      </c>
      <c r="K535" s="2">
        <v>258.0</v>
      </c>
      <c r="L535" s="2">
        <v>10.0</v>
      </c>
      <c r="M535" s="4">
        <v>30876.0</v>
      </c>
      <c r="N535" s="2" t="s">
        <v>36</v>
      </c>
      <c r="O535" s="2">
        <v>71.0</v>
      </c>
      <c r="P535" s="2" t="s">
        <v>31</v>
      </c>
      <c r="Q535" s="2" t="s">
        <v>32</v>
      </c>
      <c r="R535" s="2">
        <v>41.0</v>
      </c>
      <c r="U535" s="2" t="b">
        <v>0</v>
      </c>
      <c r="V535" s="5">
        <v>0.0072</v>
      </c>
      <c r="W535" s="5">
        <v>0.0388</v>
      </c>
      <c r="X535" s="5">
        <v>2.78E-4</v>
      </c>
      <c r="Y535" s="2">
        <v>119.6744186</v>
      </c>
      <c r="AA535" s="2" t="s">
        <v>33</v>
      </c>
    </row>
    <row r="536">
      <c r="A536" s="2">
        <v>1922.0</v>
      </c>
      <c r="B536" s="2" t="s">
        <v>1594</v>
      </c>
      <c r="C536" s="2" t="s">
        <v>7</v>
      </c>
      <c r="D536" s="2" t="s">
        <v>1595</v>
      </c>
      <c r="E536" s="2" t="s">
        <v>1596</v>
      </c>
      <c r="F536" s="6">
        <v>45753.458333333336</v>
      </c>
      <c r="G536" s="2">
        <v>57718.0</v>
      </c>
      <c r="H536" s="2">
        <v>57718.0</v>
      </c>
      <c r="I536" s="2">
        <v>49681.0</v>
      </c>
      <c r="J536" s="2">
        <v>434.0</v>
      </c>
      <c r="K536" s="2">
        <v>358.0</v>
      </c>
      <c r="L536" s="2">
        <v>4.0</v>
      </c>
      <c r="M536" s="4">
        <v>9018.0</v>
      </c>
      <c r="N536" s="2" t="s">
        <v>30</v>
      </c>
      <c r="O536" s="2">
        <v>70.0</v>
      </c>
      <c r="P536" s="2" t="s">
        <v>31</v>
      </c>
      <c r="Q536" s="2" t="s">
        <v>32</v>
      </c>
      <c r="R536" s="2">
        <v>35.0</v>
      </c>
      <c r="T536" s="2" t="s">
        <v>58</v>
      </c>
      <c r="U536" s="2" t="b">
        <v>0</v>
      </c>
      <c r="V536" s="5">
        <v>0.0072</v>
      </c>
      <c r="W536" s="5">
        <v>0.0112</v>
      </c>
      <c r="X536" s="5">
        <v>8.1E-5</v>
      </c>
      <c r="Y536" s="2">
        <v>25.18994413</v>
      </c>
      <c r="AA536" s="2" t="s">
        <v>33</v>
      </c>
    </row>
    <row r="537">
      <c r="A537" s="2">
        <v>1925.0</v>
      </c>
      <c r="B537" s="2" t="s">
        <v>1597</v>
      </c>
      <c r="C537" s="2" t="s">
        <v>7</v>
      </c>
      <c r="D537" s="2" t="s">
        <v>1598</v>
      </c>
      <c r="E537" s="2" t="s">
        <v>1599</v>
      </c>
      <c r="F537" s="6">
        <v>45753.625</v>
      </c>
      <c r="G537" s="2">
        <v>43681.0</v>
      </c>
      <c r="H537" s="2">
        <v>43681.0</v>
      </c>
      <c r="I537" s="2">
        <v>36200.0</v>
      </c>
      <c r="J537" s="2">
        <v>299.0</v>
      </c>
      <c r="K537" s="2">
        <v>249.0</v>
      </c>
      <c r="L537" s="2">
        <v>5.0</v>
      </c>
      <c r="M537" s="4">
        <v>14596.0</v>
      </c>
      <c r="N537" s="2" t="s">
        <v>36</v>
      </c>
      <c r="O537" s="2">
        <v>71.0</v>
      </c>
      <c r="P537" s="2" t="s">
        <v>31</v>
      </c>
      <c r="Q537" s="2" t="s">
        <v>32</v>
      </c>
      <c r="R537" s="2">
        <v>34.0</v>
      </c>
      <c r="U537" s="2" t="b">
        <v>0</v>
      </c>
      <c r="V537" s="5">
        <v>0.0069</v>
      </c>
      <c r="W537" s="5">
        <v>0.0201</v>
      </c>
      <c r="X537" s="5">
        <v>1.38E-4</v>
      </c>
      <c r="Y537" s="2">
        <v>58.6184739</v>
      </c>
      <c r="AA537" s="2" t="s">
        <v>33</v>
      </c>
    </row>
    <row r="538">
      <c r="A538" s="2">
        <v>1924.0</v>
      </c>
      <c r="B538" s="2" t="s">
        <v>1600</v>
      </c>
      <c r="C538" s="2" t="s">
        <v>7</v>
      </c>
      <c r="D538" s="2" t="s">
        <v>1601</v>
      </c>
      <c r="E538" s="2" t="s">
        <v>1602</v>
      </c>
      <c r="F538" s="6">
        <v>45753.625</v>
      </c>
      <c r="G538" s="2">
        <v>57765.0</v>
      </c>
      <c r="H538" s="2">
        <v>57765.0</v>
      </c>
      <c r="I538" s="2">
        <v>50042.0</v>
      </c>
      <c r="J538" s="2">
        <v>443.0</v>
      </c>
      <c r="K538" s="2">
        <v>359.0</v>
      </c>
      <c r="L538" s="2">
        <v>7.0</v>
      </c>
      <c r="M538" s="4">
        <v>15343.0</v>
      </c>
      <c r="N538" s="2" t="s">
        <v>30</v>
      </c>
      <c r="O538" s="2">
        <v>70.0</v>
      </c>
      <c r="P538" s="2" t="s">
        <v>31</v>
      </c>
      <c r="Q538" s="2" t="s">
        <v>32</v>
      </c>
      <c r="R538" s="2">
        <v>41.0</v>
      </c>
      <c r="T538" s="2" t="s">
        <v>1603</v>
      </c>
      <c r="U538" s="2" t="b">
        <v>0</v>
      </c>
      <c r="V538" s="5">
        <v>0.0072</v>
      </c>
      <c r="W538" s="5">
        <v>0.0195</v>
      </c>
      <c r="X538" s="5">
        <v>1.4E-4</v>
      </c>
      <c r="Y538" s="2">
        <v>42.73816156</v>
      </c>
      <c r="Z538" s="2">
        <v>5075.0</v>
      </c>
      <c r="AA538" s="2" t="s">
        <v>33</v>
      </c>
    </row>
    <row r="539">
      <c r="A539" s="2">
        <v>1927.0</v>
      </c>
      <c r="B539" s="2" t="s">
        <v>1604</v>
      </c>
      <c r="C539" s="2" t="s">
        <v>7</v>
      </c>
      <c r="D539" s="2" t="s">
        <v>1605</v>
      </c>
      <c r="E539" s="2" t="s">
        <v>1606</v>
      </c>
      <c r="F539" s="6">
        <v>45753.708333333336</v>
      </c>
      <c r="G539" s="2">
        <v>43711.0</v>
      </c>
      <c r="H539" s="2">
        <v>43711.0</v>
      </c>
      <c r="I539" s="2">
        <v>36283.0</v>
      </c>
      <c r="J539" s="2">
        <v>309.0</v>
      </c>
      <c r="K539" s="2">
        <v>238.0</v>
      </c>
      <c r="L539" s="2">
        <v>4.0</v>
      </c>
      <c r="M539" s="4">
        <v>14056.0</v>
      </c>
      <c r="N539" s="2" t="s">
        <v>36</v>
      </c>
      <c r="O539" s="2">
        <v>71.0</v>
      </c>
      <c r="P539" s="2" t="s">
        <v>31</v>
      </c>
      <c r="Q539" s="2" t="s">
        <v>32</v>
      </c>
      <c r="R539" s="2">
        <v>34.0</v>
      </c>
      <c r="T539" s="2" t="s">
        <v>47</v>
      </c>
      <c r="U539" s="2" t="b">
        <v>0</v>
      </c>
      <c r="V539" s="5">
        <v>0.0066</v>
      </c>
      <c r="W539" s="5">
        <v>0.0168</v>
      </c>
      <c r="X539" s="5">
        <v>1.1E-4</v>
      </c>
      <c r="Y539" s="2">
        <v>59.05882353</v>
      </c>
      <c r="AA539" s="2" t="s">
        <v>33</v>
      </c>
    </row>
    <row r="540">
      <c r="A540" s="2">
        <v>1926.0</v>
      </c>
      <c r="B540" s="2" t="s">
        <v>1607</v>
      </c>
      <c r="C540" s="2" t="s">
        <v>7</v>
      </c>
      <c r="D540" s="2" t="s">
        <v>1608</v>
      </c>
      <c r="E540" s="2" t="s">
        <v>1609</v>
      </c>
      <c r="F540" s="6">
        <v>45753.708333333336</v>
      </c>
      <c r="G540" s="2">
        <v>57797.0</v>
      </c>
      <c r="H540" s="2">
        <v>57797.0</v>
      </c>
      <c r="I540" s="2">
        <v>50049.0</v>
      </c>
      <c r="J540" s="2">
        <v>358.0</v>
      </c>
      <c r="K540" s="2">
        <v>296.0</v>
      </c>
      <c r="L540" s="2">
        <v>5.0</v>
      </c>
      <c r="M540" s="4">
        <v>26976.0</v>
      </c>
      <c r="N540" s="2" t="s">
        <v>30</v>
      </c>
      <c r="O540" s="2">
        <v>70.0</v>
      </c>
      <c r="P540" s="2" t="s">
        <v>31</v>
      </c>
      <c r="Q540" s="2" t="s">
        <v>32</v>
      </c>
      <c r="R540" s="2">
        <v>35.0</v>
      </c>
      <c r="T540" s="2" t="s">
        <v>47</v>
      </c>
      <c r="U540" s="2" t="b">
        <v>0</v>
      </c>
      <c r="V540" s="5">
        <v>0.0059</v>
      </c>
      <c r="W540" s="5">
        <v>0.0169</v>
      </c>
      <c r="X540" s="5">
        <v>1.0E-4</v>
      </c>
      <c r="Y540" s="2">
        <v>91.13513514</v>
      </c>
      <c r="AA540" s="2" t="s">
        <v>33</v>
      </c>
    </row>
    <row r="541">
      <c r="A541" s="2">
        <v>1928.0</v>
      </c>
      <c r="B541" s="2" t="s">
        <v>1610</v>
      </c>
      <c r="C541" s="2" t="s">
        <v>7</v>
      </c>
      <c r="D541" s="2" t="s">
        <v>1611</v>
      </c>
      <c r="E541" s="2" t="s">
        <v>1612</v>
      </c>
      <c r="F541" s="6">
        <v>45755.64791666667</v>
      </c>
      <c r="G541" s="2">
        <v>56451.0</v>
      </c>
      <c r="H541" s="2">
        <v>56451.0</v>
      </c>
      <c r="I541" s="2">
        <v>48794.0</v>
      </c>
      <c r="J541" s="2">
        <v>522.0</v>
      </c>
      <c r="K541" s="2">
        <v>421.0</v>
      </c>
      <c r="L541" s="2">
        <v>13.0</v>
      </c>
      <c r="M541" s="4">
        <v>38710.0</v>
      </c>
      <c r="N541" s="2" t="s">
        <v>30</v>
      </c>
      <c r="O541" s="2">
        <v>70.0</v>
      </c>
      <c r="P541" s="2" t="s">
        <v>31</v>
      </c>
      <c r="Q541" s="2" t="s">
        <v>32</v>
      </c>
      <c r="R541" s="2">
        <v>35.0</v>
      </c>
      <c r="T541" s="2" t="s">
        <v>58</v>
      </c>
      <c r="U541" s="2" t="b">
        <v>0</v>
      </c>
      <c r="V541" s="5">
        <v>0.0086</v>
      </c>
      <c r="W541" s="5">
        <v>0.0309</v>
      </c>
      <c r="X541" s="5">
        <v>2.66E-4</v>
      </c>
      <c r="Y541" s="2">
        <v>91.94774347</v>
      </c>
      <c r="AA541" s="2" t="s">
        <v>33</v>
      </c>
    </row>
    <row r="542">
      <c r="A542" s="2">
        <v>1929.0</v>
      </c>
      <c r="B542" s="2" t="s">
        <v>1613</v>
      </c>
      <c r="C542" s="2" t="s">
        <v>7</v>
      </c>
      <c r="D542" s="2" t="s">
        <v>1614</v>
      </c>
      <c r="E542" s="2" t="s">
        <v>1615</v>
      </c>
      <c r="F542" s="6">
        <v>45755.65138888889</v>
      </c>
      <c r="G542" s="2">
        <v>43121.0</v>
      </c>
      <c r="H542" s="2">
        <v>43121.0</v>
      </c>
      <c r="I542" s="2">
        <v>35757.0</v>
      </c>
      <c r="J542" s="2">
        <v>351.0</v>
      </c>
      <c r="K542" s="2">
        <v>276.0</v>
      </c>
      <c r="L542" s="2">
        <v>13.0</v>
      </c>
      <c r="M542" s="4">
        <v>46798.0</v>
      </c>
      <c r="N542" s="2" t="s">
        <v>36</v>
      </c>
      <c r="O542" s="2">
        <v>71.0</v>
      </c>
      <c r="P542" s="2" t="s">
        <v>31</v>
      </c>
      <c r="Q542" s="2" t="s">
        <v>32</v>
      </c>
      <c r="R542" s="2">
        <v>32.0</v>
      </c>
      <c r="T542" s="2" t="s">
        <v>405</v>
      </c>
      <c r="U542" s="2" t="b">
        <v>1</v>
      </c>
      <c r="V542" s="5">
        <v>0.0077</v>
      </c>
      <c r="W542" s="5">
        <v>0.0471</v>
      </c>
      <c r="X542" s="5">
        <v>3.64E-4</v>
      </c>
      <c r="Y542" s="2">
        <v>169.557971</v>
      </c>
      <c r="AA542" s="2" t="s">
        <v>33</v>
      </c>
    </row>
    <row r="543">
      <c r="A543" s="2">
        <v>1931.0</v>
      </c>
      <c r="B543" s="2" t="s">
        <v>1616</v>
      </c>
      <c r="C543" s="2" t="s">
        <v>7</v>
      </c>
      <c r="D543" s="2" t="s">
        <v>1617</v>
      </c>
      <c r="E543" s="2" t="s">
        <v>1618</v>
      </c>
      <c r="F543" s="6">
        <v>45755.708333333336</v>
      </c>
      <c r="G543" s="2">
        <v>43003.0</v>
      </c>
      <c r="H543" s="2">
        <v>43003.0</v>
      </c>
      <c r="I543" s="2">
        <v>35755.0</v>
      </c>
      <c r="J543" s="2">
        <v>243.0</v>
      </c>
      <c r="K543" s="2">
        <v>200.0</v>
      </c>
      <c r="L543" s="2">
        <v>5.0</v>
      </c>
      <c r="M543" s="4">
        <v>19622.0</v>
      </c>
      <c r="N543" s="2" t="s">
        <v>36</v>
      </c>
      <c r="O543" s="2">
        <v>71.0</v>
      </c>
      <c r="P543" s="2" t="s">
        <v>31</v>
      </c>
      <c r="Q543" s="2" t="s">
        <v>32</v>
      </c>
      <c r="R543" s="2">
        <v>40.0</v>
      </c>
      <c r="T543" s="7" t="str">
        <f>IFERROR(__xludf.DUMMYFUNCTION("AI(""has offer Come X Pay X"",D674)"),"No")</f>
        <v>No</v>
      </c>
      <c r="U543" s="2" t="b">
        <v>0</v>
      </c>
      <c r="V543" s="5">
        <v>0.0056</v>
      </c>
      <c r="W543" s="5">
        <v>0.025</v>
      </c>
      <c r="X543" s="5">
        <v>1.4E-4</v>
      </c>
      <c r="Y543" s="2">
        <v>98.11</v>
      </c>
      <c r="AA543" s="2" t="s">
        <v>33</v>
      </c>
    </row>
    <row r="544">
      <c r="A544" s="2">
        <v>1930.0</v>
      </c>
      <c r="B544" s="2" t="s">
        <v>1619</v>
      </c>
      <c r="C544" s="2" t="s">
        <v>7</v>
      </c>
      <c r="D544" s="2" t="s">
        <v>1620</v>
      </c>
      <c r="E544" s="2" t="s">
        <v>1621</v>
      </c>
      <c r="F544" s="6">
        <v>45755.708333333336</v>
      </c>
      <c r="G544" s="2">
        <v>56350.0</v>
      </c>
      <c r="H544" s="2">
        <v>56350.0</v>
      </c>
      <c r="I544" s="2">
        <v>48840.0</v>
      </c>
      <c r="J544" s="2">
        <v>266.0</v>
      </c>
      <c r="K544" s="2">
        <v>217.0</v>
      </c>
      <c r="L544" s="2">
        <v>2.0</v>
      </c>
      <c r="M544" s="4">
        <v>5508.0</v>
      </c>
      <c r="N544" s="2" t="s">
        <v>30</v>
      </c>
      <c r="O544" s="2">
        <v>70.0</v>
      </c>
      <c r="P544" s="2" t="s">
        <v>31</v>
      </c>
      <c r="Q544" s="2" t="s">
        <v>32</v>
      </c>
      <c r="R544" s="2">
        <v>38.0</v>
      </c>
      <c r="U544" s="2" t="b">
        <v>0</v>
      </c>
      <c r="V544" s="5">
        <v>0.0044</v>
      </c>
      <c r="W544" s="5">
        <v>0.0092</v>
      </c>
      <c r="X544" s="5">
        <v>4.1E-5</v>
      </c>
      <c r="Y544" s="2">
        <v>25.38248848</v>
      </c>
      <c r="AA544" s="2" t="s">
        <v>33</v>
      </c>
    </row>
    <row r="545">
      <c r="A545" s="2">
        <v>1933.0</v>
      </c>
      <c r="B545" s="2" t="s">
        <v>1622</v>
      </c>
      <c r="C545" s="2" t="s">
        <v>7</v>
      </c>
      <c r="D545" s="2" t="s">
        <v>1623</v>
      </c>
      <c r="E545" s="2" t="s">
        <v>1624</v>
      </c>
      <c r="F545" s="6">
        <v>45755.791666666664</v>
      </c>
      <c r="G545" s="2">
        <v>43045.0</v>
      </c>
      <c r="H545" s="2">
        <v>43045.0</v>
      </c>
      <c r="I545" s="2">
        <v>35868.0</v>
      </c>
      <c r="J545" s="2">
        <v>246.0</v>
      </c>
      <c r="K545" s="2">
        <v>199.0</v>
      </c>
      <c r="L545" s="2">
        <v>1.0</v>
      </c>
      <c r="M545" s="4">
        <v>4740.0</v>
      </c>
      <c r="N545" s="2" t="s">
        <v>36</v>
      </c>
      <c r="O545" s="2">
        <v>71.0</v>
      </c>
      <c r="P545" s="2" t="s">
        <v>31</v>
      </c>
      <c r="Q545" s="2" t="s">
        <v>32</v>
      </c>
      <c r="R545" s="2">
        <v>41.0</v>
      </c>
      <c r="T545" s="2" t="s">
        <v>47</v>
      </c>
      <c r="U545" s="2" t="b">
        <v>0</v>
      </c>
      <c r="V545" s="5">
        <v>0.0055</v>
      </c>
      <c r="W545" s="5">
        <v>0.005</v>
      </c>
      <c r="X545" s="5">
        <v>2.8E-5</v>
      </c>
      <c r="Y545" s="2">
        <v>23.81909548</v>
      </c>
      <c r="AA545" s="2" t="s">
        <v>33</v>
      </c>
    </row>
    <row r="546">
      <c r="A546" s="2">
        <v>1932.0</v>
      </c>
      <c r="B546" s="2" t="s">
        <v>1625</v>
      </c>
      <c r="C546" s="2" t="s">
        <v>7</v>
      </c>
      <c r="D546" s="2" t="s">
        <v>1626</v>
      </c>
      <c r="E546" s="2" t="s">
        <v>1627</v>
      </c>
      <c r="F546" s="6">
        <v>45755.791666666664</v>
      </c>
      <c r="G546" s="2">
        <v>56380.0</v>
      </c>
      <c r="H546" s="2">
        <v>56380.0</v>
      </c>
      <c r="I546" s="2">
        <v>48905.0</v>
      </c>
      <c r="J546" s="2">
        <v>263.0</v>
      </c>
      <c r="K546" s="2">
        <v>217.0</v>
      </c>
      <c r="L546" s="2">
        <v>6.0</v>
      </c>
      <c r="M546" s="4">
        <v>29277.0</v>
      </c>
      <c r="N546" s="2" t="s">
        <v>30</v>
      </c>
      <c r="O546" s="2">
        <v>70.0</v>
      </c>
      <c r="P546" s="2" t="s">
        <v>31</v>
      </c>
      <c r="Q546" s="2" t="s">
        <v>32</v>
      </c>
      <c r="R546" s="2">
        <v>42.0</v>
      </c>
      <c r="U546" s="2" t="b">
        <v>0</v>
      </c>
      <c r="V546" s="5">
        <v>0.0044</v>
      </c>
      <c r="W546" s="5">
        <v>0.0276</v>
      </c>
      <c r="X546" s="5">
        <v>1.23E-4</v>
      </c>
      <c r="Y546" s="2">
        <v>134.9170507</v>
      </c>
      <c r="Z546" s="2">
        <v>5688.0</v>
      </c>
      <c r="AA546" s="2" t="s">
        <v>33</v>
      </c>
    </row>
    <row r="547">
      <c r="A547" s="2">
        <v>1934.0</v>
      </c>
      <c r="B547" s="2" t="s">
        <v>1628</v>
      </c>
      <c r="C547" s="2" t="s">
        <v>7</v>
      </c>
      <c r="D547" s="2" t="s">
        <v>170</v>
      </c>
      <c r="E547" s="2" t="s">
        <v>288</v>
      </c>
      <c r="F547" s="6">
        <v>45756.46944444445</v>
      </c>
      <c r="G547" s="2">
        <v>56524.0</v>
      </c>
      <c r="H547" s="2">
        <v>56524.0</v>
      </c>
      <c r="I547" s="2">
        <v>48874.0</v>
      </c>
      <c r="J547" s="2">
        <v>252.0</v>
      </c>
      <c r="K547" s="2">
        <v>214.0</v>
      </c>
      <c r="L547" s="2">
        <v>5.0</v>
      </c>
      <c r="M547" s="4">
        <v>12833.0</v>
      </c>
      <c r="N547" s="2" t="s">
        <v>30</v>
      </c>
      <c r="O547" s="2">
        <v>70.0</v>
      </c>
      <c r="P547" s="2" t="s">
        <v>31</v>
      </c>
      <c r="Q547" s="2" t="s">
        <v>32</v>
      </c>
      <c r="R547" s="2">
        <v>27.0</v>
      </c>
      <c r="U547" s="2" t="b">
        <v>0</v>
      </c>
      <c r="V547" s="5">
        <v>0.0044</v>
      </c>
      <c r="W547" s="5">
        <v>0.0234</v>
      </c>
      <c r="X547" s="5">
        <v>1.02E-4</v>
      </c>
      <c r="Y547" s="2">
        <v>59.96728972</v>
      </c>
      <c r="AA547" s="2" t="s">
        <v>33</v>
      </c>
    </row>
    <row r="548">
      <c r="A548" s="2">
        <v>1935.0</v>
      </c>
      <c r="B548" s="2" t="s">
        <v>1629</v>
      </c>
      <c r="C548" s="2" t="s">
        <v>7</v>
      </c>
      <c r="D548" s="2" t="s">
        <v>172</v>
      </c>
      <c r="E548" s="2" t="s">
        <v>290</v>
      </c>
      <c r="F548" s="6">
        <v>45756.472916666666</v>
      </c>
      <c r="G548" s="2">
        <v>43133.0</v>
      </c>
      <c r="H548" s="2">
        <v>43133.0</v>
      </c>
      <c r="I548" s="2">
        <v>35608.0</v>
      </c>
      <c r="J548" s="2">
        <v>193.0</v>
      </c>
      <c r="K548" s="2">
        <v>155.0</v>
      </c>
      <c r="L548" s="2">
        <v>2.0</v>
      </c>
      <c r="M548" s="4">
        <v>6669.0</v>
      </c>
      <c r="N548" s="2" t="s">
        <v>36</v>
      </c>
      <c r="O548" s="2">
        <v>71.0</v>
      </c>
      <c r="P548" s="2" t="s">
        <v>31</v>
      </c>
      <c r="Q548" s="2" t="s">
        <v>32</v>
      </c>
      <c r="R548" s="2">
        <v>24.0</v>
      </c>
      <c r="T548" s="2" t="s">
        <v>47</v>
      </c>
      <c r="U548" s="2" t="b">
        <v>0</v>
      </c>
      <c r="V548" s="5">
        <v>0.0044</v>
      </c>
      <c r="W548" s="5">
        <v>0.0129</v>
      </c>
      <c r="X548" s="5">
        <v>5.6E-5</v>
      </c>
      <c r="Y548" s="2">
        <v>43.02580645</v>
      </c>
      <c r="AA548" s="2" t="s">
        <v>33</v>
      </c>
    </row>
    <row r="549">
      <c r="A549" s="2">
        <v>1937.0</v>
      </c>
      <c r="B549" s="2" t="s">
        <v>1630</v>
      </c>
      <c r="C549" s="2" t="s">
        <v>7</v>
      </c>
      <c r="D549" s="2" t="s">
        <v>1631</v>
      </c>
      <c r="E549" s="2" t="s">
        <v>1632</v>
      </c>
      <c r="F549" s="6">
        <v>45756.625</v>
      </c>
      <c r="G549" s="2">
        <v>43129.0</v>
      </c>
      <c r="H549" s="2">
        <v>43129.0</v>
      </c>
      <c r="I549" s="2">
        <v>35834.0</v>
      </c>
      <c r="J549" s="2">
        <v>276.0</v>
      </c>
      <c r="K549" s="2">
        <v>224.0</v>
      </c>
      <c r="L549" s="2">
        <v>6.0</v>
      </c>
      <c r="M549" s="4">
        <v>15808.0</v>
      </c>
      <c r="N549" s="2" t="s">
        <v>36</v>
      </c>
      <c r="O549" s="2">
        <v>71.0</v>
      </c>
      <c r="P549" s="2" t="s">
        <v>31</v>
      </c>
      <c r="Q549" s="2" t="s">
        <v>32</v>
      </c>
      <c r="R549" s="2">
        <v>30.0</v>
      </c>
      <c r="T549" s="2" t="s">
        <v>47</v>
      </c>
      <c r="U549" s="2" t="b">
        <v>0</v>
      </c>
      <c r="V549" s="5">
        <v>0.0063</v>
      </c>
      <c r="W549" s="5">
        <v>0.0268</v>
      </c>
      <c r="X549" s="5">
        <v>1.67E-4</v>
      </c>
      <c r="Y549" s="2">
        <v>70.57142857</v>
      </c>
      <c r="AA549" s="2" t="s">
        <v>33</v>
      </c>
    </row>
    <row r="550">
      <c r="A550" s="2">
        <v>1936.0</v>
      </c>
      <c r="B550" s="2" t="s">
        <v>1633</v>
      </c>
      <c r="C550" s="2" t="s">
        <v>7</v>
      </c>
      <c r="D550" s="2" t="s">
        <v>1634</v>
      </c>
      <c r="E550" s="2" t="s">
        <v>1635</v>
      </c>
      <c r="F550" s="6">
        <v>45756.625</v>
      </c>
      <c r="G550" s="2">
        <v>56554.0</v>
      </c>
      <c r="H550" s="2">
        <v>56554.0</v>
      </c>
      <c r="I550" s="2">
        <v>48997.0</v>
      </c>
      <c r="J550" s="2">
        <v>394.0</v>
      </c>
      <c r="K550" s="2">
        <v>320.0</v>
      </c>
      <c r="L550" s="2">
        <v>9.0</v>
      </c>
      <c r="M550" s="4">
        <v>20613.0</v>
      </c>
      <c r="N550" s="2" t="s">
        <v>30</v>
      </c>
      <c r="O550" s="2">
        <v>70.0</v>
      </c>
      <c r="P550" s="2" t="s">
        <v>31</v>
      </c>
      <c r="Q550" s="2" t="s">
        <v>32</v>
      </c>
      <c r="R550" s="2">
        <v>33.0</v>
      </c>
      <c r="U550" s="2" t="b">
        <v>0</v>
      </c>
      <c r="V550" s="5">
        <v>0.0065</v>
      </c>
      <c r="W550" s="5">
        <v>0.0281</v>
      </c>
      <c r="X550" s="5">
        <v>1.84E-4</v>
      </c>
      <c r="Y550" s="2">
        <v>64.415625</v>
      </c>
      <c r="Z550" s="2">
        <v>1826.0</v>
      </c>
      <c r="AA550" s="2" t="s">
        <v>33</v>
      </c>
    </row>
    <row r="551">
      <c r="A551" s="2">
        <v>1939.0</v>
      </c>
      <c r="B551" s="2" t="s">
        <v>1636</v>
      </c>
      <c r="C551" s="2" t="s">
        <v>7</v>
      </c>
      <c r="D551" s="2" t="s">
        <v>1637</v>
      </c>
      <c r="E551" s="2" t="s">
        <v>1638</v>
      </c>
      <c r="F551" s="6">
        <v>45756.708333333336</v>
      </c>
      <c r="G551" s="2">
        <v>43139.0</v>
      </c>
      <c r="H551" s="2">
        <v>43139.0</v>
      </c>
      <c r="I551" s="2">
        <v>35834.0</v>
      </c>
      <c r="J551" s="2">
        <v>229.0</v>
      </c>
      <c r="K551" s="2">
        <v>178.0</v>
      </c>
      <c r="L551" s="2">
        <v>4.0</v>
      </c>
      <c r="M551" s="4">
        <v>10120.0</v>
      </c>
      <c r="N551" s="2" t="s">
        <v>36</v>
      </c>
      <c r="O551" s="2">
        <v>71.0</v>
      </c>
      <c r="P551" s="2" t="s">
        <v>31</v>
      </c>
      <c r="Q551" s="2" t="s">
        <v>32</v>
      </c>
      <c r="R551" s="2">
        <v>42.0</v>
      </c>
      <c r="U551" s="2" t="b">
        <v>0</v>
      </c>
      <c r="V551" s="5">
        <v>0.005</v>
      </c>
      <c r="W551" s="5">
        <v>0.0225</v>
      </c>
      <c r="X551" s="5">
        <v>1.12E-4</v>
      </c>
      <c r="Y551" s="2">
        <v>56.85393258</v>
      </c>
      <c r="AA551" s="2" t="s">
        <v>33</v>
      </c>
    </row>
    <row r="552">
      <c r="A552" s="2">
        <v>1938.0</v>
      </c>
      <c r="B552" s="2" t="s">
        <v>1639</v>
      </c>
      <c r="C552" s="2" t="s">
        <v>7</v>
      </c>
      <c r="D552" s="2" t="s">
        <v>1640</v>
      </c>
      <c r="E552" s="2" t="s">
        <v>1641</v>
      </c>
      <c r="F552" s="6">
        <v>45756.708333333336</v>
      </c>
      <c r="G552" s="2">
        <v>56594.0</v>
      </c>
      <c r="H552" s="2">
        <v>56594.0</v>
      </c>
      <c r="I552" s="2">
        <v>49026.0</v>
      </c>
      <c r="J552" s="2">
        <v>266.0</v>
      </c>
      <c r="K552" s="2">
        <v>219.0</v>
      </c>
      <c r="L552" s="2">
        <v>4.0</v>
      </c>
      <c r="M552" s="4">
        <v>9611.0</v>
      </c>
      <c r="N552" s="2" t="s">
        <v>30</v>
      </c>
      <c r="O552" s="2">
        <v>70.0</v>
      </c>
      <c r="P552" s="2" t="s">
        <v>31</v>
      </c>
      <c r="Q552" s="2" t="s">
        <v>32</v>
      </c>
      <c r="R552" s="2">
        <v>43.0</v>
      </c>
      <c r="T552" s="2" t="s">
        <v>47</v>
      </c>
      <c r="U552" s="2" t="b">
        <v>0</v>
      </c>
      <c r="V552" s="5">
        <v>0.0045</v>
      </c>
      <c r="W552" s="5">
        <v>0.0183</v>
      </c>
      <c r="X552" s="5">
        <v>8.2E-5</v>
      </c>
      <c r="Y552" s="2">
        <v>43.88584475</v>
      </c>
      <c r="Z552" s="2">
        <v>4082.0</v>
      </c>
      <c r="AA552" s="2" t="s">
        <v>33</v>
      </c>
    </row>
    <row r="553">
      <c r="A553" s="2">
        <v>1940.0</v>
      </c>
      <c r="B553" s="2" t="s">
        <v>1642</v>
      </c>
      <c r="C553" s="2" t="s">
        <v>7</v>
      </c>
      <c r="D553" s="2" t="s">
        <v>1643</v>
      </c>
      <c r="E553" s="2" t="s">
        <v>1644</v>
      </c>
      <c r="F553" s="6">
        <v>45757.50277777778</v>
      </c>
      <c r="G553" s="2">
        <v>56815.0</v>
      </c>
      <c r="H553" s="2">
        <v>56815.0</v>
      </c>
      <c r="I553" s="2">
        <v>49058.0</v>
      </c>
      <c r="J553" s="2">
        <v>283.0</v>
      </c>
      <c r="K553" s="2">
        <v>224.0</v>
      </c>
      <c r="L553" s="2">
        <v>3.0</v>
      </c>
      <c r="M553" s="4">
        <v>3648.0</v>
      </c>
      <c r="N553" s="2" t="s">
        <v>30</v>
      </c>
      <c r="O553" s="2">
        <v>70.0</v>
      </c>
      <c r="P553" s="2" t="s">
        <v>31</v>
      </c>
      <c r="Q553" s="2" t="s">
        <v>32</v>
      </c>
      <c r="R553" s="2">
        <v>32.0</v>
      </c>
      <c r="T553" s="2" t="s">
        <v>47</v>
      </c>
      <c r="U553" s="2" t="b">
        <v>0</v>
      </c>
      <c r="V553" s="5">
        <v>0.0046</v>
      </c>
      <c r="W553" s="5">
        <v>0.0134</v>
      </c>
      <c r="X553" s="5">
        <v>6.1E-5</v>
      </c>
      <c r="Y553" s="2">
        <v>16.28571429</v>
      </c>
      <c r="AA553" s="2" t="s">
        <v>33</v>
      </c>
    </row>
    <row r="554">
      <c r="A554" s="2">
        <v>1941.0</v>
      </c>
      <c r="B554" s="2" t="s">
        <v>1645</v>
      </c>
      <c r="C554" s="2" t="s">
        <v>7</v>
      </c>
      <c r="D554" s="2" t="s">
        <v>1646</v>
      </c>
      <c r="E554" s="2" t="s">
        <v>1647</v>
      </c>
      <c r="F554" s="6">
        <v>45757.50347222222</v>
      </c>
      <c r="G554" s="2">
        <v>43305.0</v>
      </c>
      <c r="H554" s="2">
        <v>43305.0</v>
      </c>
      <c r="I554" s="2">
        <v>35781.0</v>
      </c>
      <c r="J554" s="2">
        <v>234.0</v>
      </c>
      <c r="K554" s="2">
        <v>190.0</v>
      </c>
      <c r="L554" s="2">
        <v>3.0</v>
      </c>
      <c r="M554" s="4">
        <v>10176.0</v>
      </c>
      <c r="N554" s="2" t="s">
        <v>36</v>
      </c>
      <c r="O554" s="2">
        <v>71.0</v>
      </c>
      <c r="P554" s="2" t="s">
        <v>31</v>
      </c>
      <c r="Q554" s="2" t="s">
        <v>32</v>
      </c>
      <c r="R554" s="2">
        <v>30.0</v>
      </c>
      <c r="U554" s="2" t="b">
        <v>0</v>
      </c>
      <c r="V554" s="5">
        <v>0.0053</v>
      </c>
      <c r="W554" s="5">
        <v>0.0158</v>
      </c>
      <c r="X554" s="5">
        <v>8.4E-5</v>
      </c>
      <c r="Y554" s="2">
        <v>53.55789474</v>
      </c>
      <c r="AA554" s="2" t="s">
        <v>33</v>
      </c>
    </row>
    <row r="555">
      <c r="A555" s="2">
        <v>1943.0</v>
      </c>
      <c r="B555" s="2" t="s">
        <v>1648</v>
      </c>
      <c r="C555" s="2" t="s">
        <v>7</v>
      </c>
      <c r="D555" s="2" t="s">
        <v>1649</v>
      </c>
      <c r="E555" s="2" t="s">
        <v>1650</v>
      </c>
      <c r="F555" s="6">
        <v>45757.625</v>
      </c>
      <c r="G555" s="2">
        <v>43279.0</v>
      </c>
      <c r="H555" s="2">
        <v>43279.0</v>
      </c>
      <c r="I555" s="2">
        <v>35894.0</v>
      </c>
      <c r="J555" s="2">
        <v>276.0</v>
      </c>
      <c r="K555" s="2">
        <v>213.0</v>
      </c>
      <c r="L555" s="2">
        <v>3.0</v>
      </c>
      <c r="M555" s="4">
        <v>20113.0</v>
      </c>
      <c r="N555" s="2" t="s">
        <v>36</v>
      </c>
      <c r="O555" s="2">
        <v>71.0</v>
      </c>
      <c r="P555" s="2" t="s">
        <v>31</v>
      </c>
      <c r="Q555" s="2" t="s">
        <v>32</v>
      </c>
      <c r="R555" s="2">
        <v>39.0</v>
      </c>
      <c r="T555" s="2" t="s">
        <v>162</v>
      </c>
      <c r="U555" s="2" t="b">
        <v>0</v>
      </c>
      <c r="V555" s="5">
        <v>0.0059</v>
      </c>
      <c r="W555" s="5">
        <v>0.0141</v>
      </c>
      <c r="X555" s="5">
        <v>8.4E-5</v>
      </c>
      <c r="Y555" s="2">
        <v>94.42723005</v>
      </c>
      <c r="AA555" s="2" t="s">
        <v>33</v>
      </c>
    </row>
    <row r="556">
      <c r="A556" s="2">
        <v>1942.0</v>
      </c>
      <c r="B556" s="2" t="s">
        <v>1651</v>
      </c>
      <c r="C556" s="2" t="s">
        <v>7</v>
      </c>
      <c r="D556" s="2" t="s">
        <v>1652</v>
      </c>
      <c r="E556" s="2" t="s">
        <v>1653</v>
      </c>
      <c r="F556" s="6">
        <v>45757.625</v>
      </c>
      <c r="G556" s="2">
        <v>56844.0</v>
      </c>
      <c r="H556" s="2">
        <v>56844.0</v>
      </c>
      <c r="I556" s="2">
        <v>49181.0</v>
      </c>
      <c r="J556" s="2">
        <v>266.0</v>
      </c>
      <c r="K556" s="2">
        <v>210.0</v>
      </c>
      <c r="L556" s="2">
        <v>8.0</v>
      </c>
      <c r="M556" s="4">
        <v>23088.0</v>
      </c>
      <c r="N556" s="2" t="s">
        <v>30</v>
      </c>
      <c r="O556" s="2">
        <v>70.0</v>
      </c>
      <c r="P556" s="2" t="s">
        <v>31</v>
      </c>
      <c r="Q556" s="2" t="s">
        <v>32</v>
      </c>
      <c r="R556" s="2">
        <v>37.0</v>
      </c>
      <c r="T556" s="2" t="s">
        <v>47</v>
      </c>
      <c r="U556" s="2" t="b">
        <v>0</v>
      </c>
      <c r="V556" s="5">
        <v>0.0043</v>
      </c>
      <c r="W556" s="5">
        <v>0.0381</v>
      </c>
      <c r="X556" s="5">
        <v>1.63E-4</v>
      </c>
      <c r="Y556" s="2">
        <v>109.9428571</v>
      </c>
      <c r="AA556" s="2" t="s">
        <v>33</v>
      </c>
    </row>
    <row r="557">
      <c r="A557" s="2">
        <v>1945.0</v>
      </c>
      <c r="B557" s="2" t="s">
        <v>1654</v>
      </c>
      <c r="C557" s="2" t="s">
        <v>7</v>
      </c>
      <c r="D557" s="2" t="s">
        <v>1655</v>
      </c>
      <c r="E557" s="2" t="s">
        <v>1656</v>
      </c>
      <c r="F557" s="6">
        <v>45757.708333333336</v>
      </c>
      <c r="G557" s="2">
        <v>43307.0</v>
      </c>
      <c r="H557" s="2">
        <v>43307.0</v>
      </c>
      <c r="I557" s="2">
        <v>35885.0</v>
      </c>
      <c r="J557" s="2">
        <v>217.0</v>
      </c>
      <c r="K557" s="2">
        <v>174.0</v>
      </c>
      <c r="L557" s="2">
        <v>4.0</v>
      </c>
      <c r="M557" s="4">
        <v>10464.0</v>
      </c>
      <c r="N557" s="2" t="s">
        <v>36</v>
      </c>
      <c r="O557" s="2">
        <v>71.0</v>
      </c>
      <c r="P557" s="2" t="s">
        <v>31</v>
      </c>
      <c r="Q557" s="2" t="s">
        <v>32</v>
      </c>
      <c r="R557" s="2">
        <v>46.0</v>
      </c>
      <c r="U557" s="2" t="b">
        <v>0</v>
      </c>
      <c r="V557" s="5">
        <v>0.0048</v>
      </c>
      <c r="W557" s="5">
        <v>0.023</v>
      </c>
      <c r="X557" s="5">
        <v>1.11E-4</v>
      </c>
      <c r="Y557" s="2">
        <v>60.13793103</v>
      </c>
      <c r="AA557" s="2" t="s">
        <v>33</v>
      </c>
    </row>
    <row r="558">
      <c r="A558" s="2">
        <v>1944.0</v>
      </c>
      <c r="B558" s="2" t="s">
        <v>1657</v>
      </c>
      <c r="C558" s="2" t="s">
        <v>7</v>
      </c>
      <c r="D558" s="2" t="s">
        <v>1658</v>
      </c>
      <c r="E558" s="2" t="s">
        <v>1659</v>
      </c>
      <c r="F558" s="6">
        <v>45757.708333333336</v>
      </c>
      <c r="G558" s="2">
        <v>56891.0</v>
      </c>
      <c r="H558" s="2">
        <v>56891.0</v>
      </c>
      <c r="I558" s="2">
        <v>49247.0</v>
      </c>
      <c r="J558" s="2">
        <v>261.0</v>
      </c>
      <c r="K558" s="2">
        <v>211.0</v>
      </c>
      <c r="L558" s="2">
        <v>3.0</v>
      </c>
      <c r="M558" s="4">
        <v>6980.0</v>
      </c>
      <c r="N558" s="2" t="s">
        <v>30</v>
      </c>
      <c r="O558" s="2">
        <v>70.0</v>
      </c>
      <c r="P558" s="2" t="s">
        <v>31</v>
      </c>
      <c r="Q558" s="2" t="s">
        <v>32</v>
      </c>
      <c r="R558" s="2">
        <v>42.0</v>
      </c>
      <c r="U558" s="2" t="b">
        <v>0</v>
      </c>
      <c r="V558" s="5">
        <v>0.0043</v>
      </c>
      <c r="W558" s="5">
        <v>0.0142</v>
      </c>
      <c r="X558" s="5">
        <v>6.1E-5</v>
      </c>
      <c r="Y558" s="2">
        <v>33.08056872</v>
      </c>
      <c r="AA558" s="2" t="s">
        <v>33</v>
      </c>
    </row>
    <row r="559">
      <c r="A559" s="2">
        <v>1946.0</v>
      </c>
      <c r="B559" s="2" t="s">
        <v>1660</v>
      </c>
      <c r="C559" s="2" t="s">
        <v>7</v>
      </c>
      <c r="D559" s="2" t="s">
        <v>1661</v>
      </c>
      <c r="E559" s="2" t="s">
        <v>1662</v>
      </c>
      <c r="F559" s="6">
        <v>45758.49652777778</v>
      </c>
      <c r="G559" s="2">
        <v>57014.0</v>
      </c>
      <c r="H559" s="2">
        <v>57014.0</v>
      </c>
      <c r="I559" s="2">
        <v>49215.0</v>
      </c>
      <c r="J559" s="2">
        <v>258.0</v>
      </c>
      <c r="K559" s="2">
        <v>209.0</v>
      </c>
      <c r="L559" s="2">
        <v>5.0</v>
      </c>
      <c r="M559" s="4">
        <v>13170.0</v>
      </c>
      <c r="N559" s="2" t="s">
        <v>30</v>
      </c>
      <c r="O559" s="2">
        <v>70.0</v>
      </c>
      <c r="P559" s="2" t="s">
        <v>31</v>
      </c>
      <c r="Q559" s="2" t="s">
        <v>32</v>
      </c>
      <c r="R559" s="2">
        <v>33.0</v>
      </c>
      <c r="U559" s="2" t="b">
        <v>0</v>
      </c>
      <c r="V559" s="5">
        <v>0.0042</v>
      </c>
      <c r="W559" s="5">
        <v>0.0239</v>
      </c>
      <c r="X559" s="5">
        <v>1.02E-4</v>
      </c>
      <c r="Y559" s="2">
        <v>63.01435407</v>
      </c>
      <c r="Z559" s="2">
        <v>5208.0</v>
      </c>
      <c r="AA559" s="2" t="s">
        <v>33</v>
      </c>
    </row>
    <row r="560">
      <c r="A560" s="2">
        <v>1947.0</v>
      </c>
      <c r="B560" s="2" t="s">
        <v>1663</v>
      </c>
      <c r="C560" s="2" t="s">
        <v>7</v>
      </c>
      <c r="D560" s="2" t="s">
        <v>1664</v>
      </c>
      <c r="E560" s="2" t="s">
        <v>1665</v>
      </c>
      <c r="F560" s="6">
        <v>45758.49791666667</v>
      </c>
      <c r="G560" s="2">
        <v>43367.0</v>
      </c>
      <c r="H560" s="2">
        <v>43367.0</v>
      </c>
      <c r="I560" s="2">
        <v>35694.0</v>
      </c>
      <c r="J560" s="2">
        <v>218.0</v>
      </c>
      <c r="K560" s="2">
        <v>181.0</v>
      </c>
      <c r="L560" s="2">
        <v>1.0</v>
      </c>
      <c r="M560" s="4">
        <v>10396.0</v>
      </c>
      <c r="N560" s="2" t="s">
        <v>36</v>
      </c>
      <c r="O560" s="2">
        <v>71.0</v>
      </c>
      <c r="P560" s="2" t="s">
        <v>31</v>
      </c>
      <c r="Q560" s="2" t="s">
        <v>32</v>
      </c>
      <c r="R560" s="2">
        <v>39.0</v>
      </c>
      <c r="U560" s="2" t="b">
        <v>0</v>
      </c>
      <c r="V560" s="5">
        <v>0.0051</v>
      </c>
      <c r="W560" s="5">
        <v>0.0055</v>
      </c>
      <c r="X560" s="5">
        <v>2.8E-5</v>
      </c>
      <c r="Y560" s="2">
        <v>57.43646409</v>
      </c>
      <c r="AA560" s="2" t="s">
        <v>33</v>
      </c>
    </row>
    <row r="561">
      <c r="A561" s="2">
        <v>1949.0</v>
      </c>
      <c r="B561" s="2" t="s">
        <v>1666</v>
      </c>
      <c r="C561" s="2" t="s">
        <v>7</v>
      </c>
      <c r="D561" s="2" t="s">
        <v>1667</v>
      </c>
      <c r="E561" s="2" t="s">
        <v>1668</v>
      </c>
      <c r="F561" s="6">
        <v>45758.625</v>
      </c>
      <c r="G561" s="2">
        <v>43368.0</v>
      </c>
      <c r="H561" s="2">
        <v>43368.0</v>
      </c>
      <c r="I561" s="2">
        <v>35928.0</v>
      </c>
      <c r="J561" s="2">
        <v>304.0</v>
      </c>
      <c r="K561" s="2">
        <v>251.0</v>
      </c>
      <c r="L561" s="2">
        <v>9.0</v>
      </c>
      <c r="M561" s="4">
        <v>54727.0</v>
      </c>
      <c r="N561" s="2" t="s">
        <v>36</v>
      </c>
      <c r="O561" s="2">
        <v>71.0</v>
      </c>
      <c r="P561" s="2" t="s">
        <v>31</v>
      </c>
      <c r="Q561" s="2" t="s">
        <v>32</v>
      </c>
      <c r="R561" s="2">
        <v>40.0</v>
      </c>
      <c r="U561" s="2" t="b">
        <v>1</v>
      </c>
      <c r="V561" s="5">
        <v>0.007</v>
      </c>
      <c r="W561" s="5">
        <v>0.0359</v>
      </c>
      <c r="X561" s="5">
        <v>2.51E-4</v>
      </c>
      <c r="Y561" s="2">
        <v>218.0358566</v>
      </c>
      <c r="AA561" s="2" t="s">
        <v>33</v>
      </c>
    </row>
    <row r="562">
      <c r="A562" s="2">
        <v>1948.0</v>
      </c>
      <c r="B562" s="2" t="s">
        <v>1669</v>
      </c>
      <c r="C562" s="2" t="s">
        <v>7</v>
      </c>
      <c r="D562" s="2" t="s">
        <v>1670</v>
      </c>
      <c r="E562" s="2" t="s">
        <v>1671</v>
      </c>
      <c r="F562" s="6">
        <v>45758.625</v>
      </c>
      <c r="G562" s="2">
        <v>57041.0</v>
      </c>
      <c r="H562" s="2">
        <v>57041.0</v>
      </c>
      <c r="I562" s="2">
        <v>49350.0</v>
      </c>
      <c r="J562" s="2">
        <v>277.0</v>
      </c>
      <c r="K562" s="2">
        <v>220.0</v>
      </c>
      <c r="L562" s="2">
        <v>5.0</v>
      </c>
      <c r="M562" s="4">
        <v>16065.0</v>
      </c>
      <c r="N562" s="2" t="s">
        <v>30</v>
      </c>
      <c r="O562" s="2">
        <v>70.0</v>
      </c>
      <c r="P562" s="2" t="s">
        <v>31</v>
      </c>
      <c r="Q562" s="2" t="s">
        <v>32</v>
      </c>
      <c r="R562" s="2">
        <v>38.0</v>
      </c>
      <c r="T562" s="2" t="s">
        <v>143</v>
      </c>
      <c r="U562" s="2" t="b">
        <v>0</v>
      </c>
      <c r="V562" s="5">
        <v>0.0045</v>
      </c>
      <c r="W562" s="5">
        <v>0.0227</v>
      </c>
      <c r="X562" s="5">
        <v>1.01E-4</v>
      </c>
      <c r="Y562" s="2">
        <v>73.02272727</v>
      </c>
      <c r="Z562" s="2">
        <v>4763.0</v>
      </c>
      <c r="AA562" s="2" t="s">
        <v>33</v>
      </c>
    </row>
    <row r="563">
      <c r="A563" s="2">
        <v>1951.0</v>
      </c>
      <c r="B563" s="2" t="s">
        <v>1672</v>
      </c>
      <c r="C563" s="2" t="s">
        <v>7</v>
      </c>
      <c r="D563" s="2" t="s">
        <v>1673</v>
      </c>
      <c r="E563" s="2" t="s">
        <v>1674</v>
      </c>
      <c r="F563" s="6">
        <v>45758.708333333336</v>
      </c>
      <c r="G563" s="2">
        <v>43399.0</v>
      </c>
      <c r="H563" s="2">
        <v>43399.0</v>
      </c>
      <c r="I563" s="2">
        <v>36002.0</v>
      </c>
      <c r="J563" s="2">
        <v>218.0</v>
      </c>
      <c r="K563" s="2">
        <v>172.0</v>
      </c>
      <c r="L563" s="2">
        <v>0.0</v>
      </c>
      <c r="M563" s="2">
        <v>0.0</v>
      </c>
      <c r="N563" s="2" t="s">
        <v>36</v>
      </c>
      <c r="O563" s="2">
        <v>71.0</v>
      </c>
      <c r="P563" s="2" t="s">
        <v>31</v>
      </c>
      <c r="Q563" s="2" t="s">
        <v>32</v>
      </c>
      <c r="R563" s="2">
        <v>31.0</v>
      </c>
      <c r="T563" s="2" t="s">
        <v>47</v>
      </c>
      <c r="U563" s="2" t="b">
        <v>0</v>
      </c>
      <c r="V563" s="5">
        <v>0.0048</v>
      </c>
      <c r="W563" s="5">
        <v>0.0</v>
      </c>
      <c r="X563" s="5">
        <v>0.0</v>
      </c>
      <c r="Y563" s="2">
        <v>0.0</v>
      </c>
      <c r="AA563" s="2" t="s">
        <v>33</v>
      </c>
    </row>
    <row r="564">
      <c r="A564" s="2">
        <v>1950.0</v>
      </c>
      <c r="B564" s="2" t="s">
        <v>1675</v>
      </c>
      <c r="C564" s="2" t="s">
        <v>7</v>
      </c>
      <c r="D564" s="2" t="s">
        <v>1676</v>
      </c>
      <c r="E564" s="2" t="s">
        <v>1677</v>
      </c>
      <c r="F564" s="6">
        <v>45758.708333333336</v>
      </c>
      <c r="G564" s="2">
        <v>57069.0</v>
      </c>
      <c r="H564" s="2">
        <v>57069.0</v>
      </c>
      <c r="I564" s="2">
        <v>49376.0</v>
      </c>
      <c r="J564" s="2">
        <v>261.0</v>
      </c>
      <c r="K564" s="2">
        <v>215.0</v>
      </c>
      <c r="L564" s="2">
        <v>5.0</v>
      </c>
      <c r="M564" s="4">
        <v>26720.0</v>
      </c>
      <c r="N564" s="2" t="s">
        <v>30</v>
      </c>
      <c r="O564" s="2">
        <v>70.0</v>
      </c>
      <c r="P564" s="2" t="s">
        <v>31</v>
      </c>
      <c r="Q564" s="2" t="s">
        <v>32</v>
      </c>
      <c r="R564" s="2">
        <v>32.0</v>
      </c>
      <c r="T564" s="7" t="str">
        <f>IFERROR(__xludf.DUMMYFUNCTION("AI(""has offer Come X Pay X"",D564)"),"has offer Come X Pay X")</f>
        <v>has offer Come X Pay X</v>
      </c>
      <c r="U564" s="2" t="b">
        <v>0</v>
      </c>
      <c r="V564" s="5">
        <v>0.0044</v>
      </c>
      <c r="W564" s="5">
        <v>0.0233</v>
      </c>
      <c r="X564" s="5">
        <v>1.01E-4</v>
      </c>
      <c r="Y564" s="2">
        <v>124.2790698</v>
      </c>
      <c r="AA564" s="2" t="s">
        <v>33</v>
      </c>
    </row>
    <row r="565">
      <c r="A565" s="2">
        <v>1953.0</v>
      </c>
      <c r="B565" s="2" t="s">
        <v>1678</v>
      </c>
      <c r="C565" s="2" t="s">
        <v>7</v>
      </c>
      <c r="D565" s="2" t="s">
        <v>1679</v>
      </c>
      <c r="E565" s="2" t="s">
        <v>1680</v>
      </c>
      <c r="F565" s="6">
        <v>45759.416666666664</v>
      </c>
      <c r="G565" s="2">
        <v>43627.0</v>
      </c>
      <c r="H565" s="2">
        <v>43627.0</v>
      </c>
      <c r="I565" s="2">
        <v>35503.0</v>
      </c>
      <c r="J565" s="2">
        <v>236.0</v>
      </c>
      <c r="K565" s="2">
        <v>181.0</v>
      </c>
      <c r="L565" s="2">
        <v>3.0</v>
      </c>
      <c r="M565" s="4">
        <v>7592.0</v>
      </c>
      <c r="N565" s="2" t="s">
        <v>36</v>
      </c>
      <c r="O565" s="2">
        <v>71.0</v>
      </c>
      <c r="P565" s="2" t="s">
        <v>31</v>
      </c>
      <c r="Q565" s="2" t="s">
        <v>32</v>
      </c>
      <c r="R565" s="2">
        <v>30.0</v>
      </c>
      <c r="T565" s="2" t="s">
        <v>47</v>
      </c>
      <c r="U565" s="2" t="b">
        <v>0</v>
      </c>
      <c r="V565" s="5">
        <v>0.0051</v>
      </c>
      <c r="W565" s="5">
        <v>0.0166</v>
      </c>
      <c r="X565" s="5">
        <v>8.4E-5</v>
      </c>
      <c r="Y565" s="2">
        <v>41.94475138</v>
      </c>
      <c r="AA565" s="2" t="s">
        <v>33</v>
      </c>
    </row>
    <row r="566">
      <c r="A566" s="2">
        <v>1952.0</v>
      </c>
      <c r="B566" s="2" t="s">
        <v>1681</v>
      </c>
      <c r="C566" s="2" t="s">
        <v>7</v>
      </c>
      <c r="D566" s="2" t="s">
        <v>1682</v>
      </c>
      <c r="E566" s="2" t="s">
        <v>1683</v>
      </c>
      <c r="F566" s="6">
        <v>45759.416666666664</v>
      </c>
      <c r="G566" s="2">
        <v>57407.0</v>
      </c>
      <c r="H566" s="2">
        <v>57407.0</v>
      </c>
      <c r="I566" s="2">
        <v>48997.0</v>
      </c>
      <c r="J566" s="2">
        <v>208.0</v>
      </c>
      <c r="K566" s="2">
        <v>170.0</v>
      </c>
      <c r="L566" s="2">
        <v>4.0</v>
      </c>
      <c r="M566" s="4">
        <v>12533.0</v>
      </c>
      <c r="N566" s="2" t="s">
        <v>30</v>
      </c>
      <c r="O566" s="2">
        <v>70.0</v>
      </c>
      <c r="P566" s="2" t="s">
        <v>31</v>
      </c>
      <c r="Q566" s="2" t="s">
        <v>32</v>
      </c>
      <c r="R566" s="2">
        <v>34.0</v>
      </c>
      <c r="T566" s="2" t="s">
        <v>47</v>
      </c>
      <c r="U566" s="2" t="b">
        <v>0</v>
      </c>
      <c r="V566" s="5">
        <v>0.0035</v>
      </c>
      <c r="W566" s="5">
        <v>0.0235</v>
      </c>
      <c r="X566" s="5">
        <v>8.2E-5</v>
      </c>
      <c r="Y566" s="2">
        <v>73.72352941</v>
      </c>
      <c r="AA566" s="2" t="s">
        <v>33</v>
      </c>
    </row>
    <row r="567">
      <c r="A567" s="2">
        <v>1954.0</v>
      </c>
      <c r="B567" s="2" t="s">
        <v>1684</v>
      </c>
      <c r="C567" s="2" t="s">
        <v>7</v>
      </c>
      <c r="D567" s="2" t="s">
        <v>1685</v>
      </c>
      <c r="E567" s="2" t="s">
        <v>1686</v>
      </c>
      <c r="F567" s="6">
        <v>45760.45208333333</v>
      </c>
      <c r="G567" s="2">
        <v>57966.0</v>
      </c>
      <c r="H567" s="2">
        <v>57966.0</v>
      </c>
      <c r="I567" s="2">
        <v>49357.0</v>
      </c>
      <c r="J567" s="2">
        <v>266.0</v>
      </c>
      <c r="K567" s="2">
        <v>226.0</v>
      </c>
      <c r="L567" s="2">
        <v>7.0</v>
      </c>
      <c r="M567" s="4">
        <v>18195.0</v>
      </c>
      <c r="N567" s="2" t="s">
        <v>30</v>
      </c>
      <c r="O567" s="2">
        <v>70.0</v>
      </c>
      <c r="P567" s="2" t="s">
        <v>31</v>
      </c>
      <c r="Q567" s="2" t="s">
        <v>32</v>
      </c>
      <c r="R567" s="2">
        <v>24.0</v>
      </c>
      <c r="T567" s="2" t="s">
        <v>47</v>
      </c>
      <c r="U567" s="2" t="b">
        <v>0</v>
      </c>
      <c r="V567" s="5">
        <v>0.0046</v>
      </c>
      <c r="W567" s="5">
        <v>0.031</v>
      </c>
      <c r="X567" s="5">
        <v>1.42E-4</v>
      </c>
      <c r="Y567" s="2">
        <v>80.50884956</v>
      </c>
      <c r="AA567" s="2" t="s">
        <v>33</v>
      </c>
    </row>
    <row r="568">
      <c r="A568" s="2">
        <v>1955.0</v>
      </c>
      <c r="B568" s="2" t="s">
        <v>1687</v>
      </c>
      <c r="C568" s="2" t="s">
        <v>7</v>
      </c>
      <c r="D568" s="2" t="s">
        <v>1688</v>
      </c>
      <c r="E568" s="2" t="s">
        <v>1689</v>
      </c>
      <c r="F568" s="6">
        <v>45760.45347222222</v>
      </c>
      <c r="G568" s="2">
        <v>44085.0</v>
      </c>
      <c r="H568" s="2">
        <v>44085.0</v>
      </c>
      <c r="I568" s="2">
        <v>35871.0</v>
      </c>
      <c r="J568" s="2">
        <v>249.0</v>
      </c>
      <c r="K568" s="2">
        <v>202.0</v>
      </c>
      <c r="L568" s="2">
        <v>1.0</v>
      </c>
      <c r="M568" s="4">
        <v>3998.0</v>
      </c>
      <c r="N568" s="2" t="s">
        <v>36</v>
      </c>
      <c r="O568" s="2">
        <v>71.0</v>
      </c>
      <c r="P568" s="2" t="s">
        <v>31</v>
      </c>
      <c r="Q568" s="2" t="s">
        <v>32</v>
      </c>
      <c r="R568" s="2">
        <v>22.0</v>
      </c>
      <c r="T568" s="2" t="s">
        <v>47</v>
      </c>
      <c r="U568" s="2" t="b">
        <v>0</v>
      </c>
      <c r="V568" s="5">
        <v>0.0056</v>
      </c>
      <c r="W568" s="5">
        <v>0.005</v>
      </c>
      <c r="X568" s="5">
        <v>2.8E-5</v>
      </c>
      <c r="Y568" s="2">
        <v>19.79207921</v>
      </c>
      <c r="AA568" s="2" t="s">
        <v>33</v>
      </c>
    </row>
    <row r="569">
      <c r="A569" s="2">
        <v>1956.0</v>
      </c>
      <c r="B569" s="2" t="s">
        <v>1690</v>
      </c>
      <c r="C569" s="2" t="s">
        <v>7</v>
      </c>
      <c r="D569" s="2" t="s">
        <v>1691</v>
      </c>
      <c r="E569" s="2" t="s">
        <v>1692</v>
      </c>
      <c r="F569" s="6">
        <v>45764.475</v>
      </c>
      <c r="G569" s="2">
        <v>59887.0</v>
      </c>
      <c r="H569" s="2">
        <v>59887.0</v>
      </c>
      <c r="I569" s="2">
        <v>50509.0</v>
      </c>
      <c r="J569" s="2">
        <v>259.0</v>
      </c>
      <c r="K569" s="2">
        <v>219.0</v>
      </c>
      <c r="L569" s="2">
        <v>4.0</v>
      </c>
      <c r="M569" s="4">
        <v>18744.0</v>
      </c>
      <c r="N569" s="2" t="s">
        <v>30</v>
      </c>
      <c r="O569" s="2">
        <v>70.0</v>
      </c>
      <c r="P569" s="2" t="s">
        <v>31</v>
      </c>
      <c r="Q569" s="2" t="s">
        <v>32</v>
      </c>
      <c r="R569" s="2">
        <v>34.0</v>
      </c>
      <c r="T569" s="2" t="s">
        <v>47</v>
      </c>
      <c r="U569" s="2" t="b">
        <v>0</v>
      </c>
      <c r="V569" s="5">
        <v>0.0043</v>
      </c>
      <c r="W569" s="5">
        <v>0.0183</v>
      </c>
      <c r="X569" s="5">
        <v>7.9E-5</v>
      </c>
      <c r="Y569" s="2">
        <v>85.5890411</v>
      </c>
      <c r="AA569" s="2" t="s">
        <v>33</v>
      </c>
    </row>
    <row r="570">
      <c r="A570" s="2">
        <v>1957.0</v>
      </c>
      <c r="B570" s="2" t="s">
        <v>1693</v>
      </c>
      <c r="C570" s="2" t="s">
        <v>7</v>
      </c>
      <c r="D570" s="2" t="s">
        <v>1694</v>
      </c>
      <c r="E570" s="2" t="s">
        <v>1695</v>
      </c>
      <c r="F570" s="6">
        <v>45764.475694444445</v>
      </c>
      <c r="G570" s="2">
        <v>45672.0</v>
      </c>
      <c r="H570" s="2">
        <v>45672.0</v>
      </c>
      <c r="I570" s="2">
        <v>36653.0</v>
      </c>
      <c r="J570" s="2">
        <v>271.0</v>
      </c>
      <c r="K570" s="2">
        <v>216.0</v>
      </c>
      <c r="L570" s="2">
        <v>4.0</v>
      </c>
      <c r="M570" s="4">
        <v>17627.0</v>
      </c>
      <c r="N570" s="2" t="s">
        <v>36</v>
      </c>
      <c r="O570" s="2">
        <v>71.0</v>
      </c>
      <c r="P570" s="2" t="s">
        <v>31</v>
      </c>
      <c r="Q570" s="2" t="s">
        <v>32</v>
      </c>
      <c r="R570" s="2">
        <v>22.0</v>
      </c>
      <c r="U570" s="2" t="b">
        <v>0</v>
      </c>
      <c r="V570" s="5">
        <v>0.0059</v>
      </c>
      <c r="W570" s="5">
        <v>0.0185</v>
      </c>
      <c r="X570" s="5">
        <v>1.09E-4</v>
      </c>
      <c r="Y570" s="2">
        <v>81.60648148</v>
      </c>
      <c r="AA570" s="2" t="s">
        <v>33</v>
      </c>
    </row>
    <row r="571">
      <c r="A571" s="2">
        <v>1959.0</v>
      </c>
      <c r="B571" s="2" t="s">
        <v>1696</v>
      </c>
      <c r="C571" s="2" t="s">
        <v>7</v>
      </c>
      <c r="D571" s="2" t="s">
        <v>1697</v>
      </c>
      <c r="E571" s="2" t="s">
        <v>1698</v>
      </c>
      <c r="F571" s="6">
        <v>45764.625</v>
      </c>
      <c r="G571" s="2">
        <v>45478.0</v>
      </c>
      <c r="H571" s="2">
        <v>45478.0</v>
      </c>
      <c r="I571" s="2">
        <v>36859.0</v>
      </c>
      <c r="J571" s="2">
        <v>365.0</v>
      </c>
      <c r="K571" s="2">
        <v>297.0</v>
      </c>
      <c r="L571" s="2">
        <v>3.0</v>
      </c>
      <c r="M571" s="4">
        <v>5556.0</v>
      </c>
      <c r="N571" s="2" t="s">
        <v>36</v>
      </c>
      <c r="O571" s="2">
        <v>71.0</v>
      </c>
      <c r="P571" s="2" t="s">
        <v>31</v>
      </c>
      <c r="Q571" s="2" t="s">
        <v>32</v>
      </c>
      <c r="R571" s="2">
        <v>32.0</v>
      </c>
      <c r="T571" s="2" t="s">
        <v>47</v>
      </c>
      <c r="U571" s="2" t="b">
        <v>0</v>
      </c>
      <c r="V571" s="5">
        <v>0.0081</v>
      </c>
      <c r="W571" s="5">
        <v>0.0101</v>
      </c>
      <c r="X571" s="5">
        <v>8.1E-5</v>
      </c>
      <c r="Y571" s="2">
        <v>18.70707071</v>
      </c>
      <c r="AA571" s="2" t="s">
        <v>33</v>
      </c>
    </row>
    <row r="572">
      <c r="A572" s="2">
        <v>1958.0</v>
      </c>
      <c r="B572" s="2" t="s">
        <v>1699</v>
      </c>
      <c r="C572" s="2" t="s">
        <v>7</v>
      </c>
      <c r="D572" s="2" t="s">
        <v>1700</v>
      </c>
      <c r="E572" s="2" t="s">
        <v>1701</v>
      </c>
      <c r="F572" s="6">
        <v>45764.625</v>
      </c>
      <c r="G572" s="2">
        <v>59735.0</v>
      </c>
      <c r="H572" s="2">
        <v>59735.0</v>
      </c>
      <c r="I572" s="2">
        <v>50748.0</v>
      </c>
      <c r="J572" s="2">
        <v>315.0</v>
      </c>
      <c r="K572" s="2">
        <v>263.0</v>
      </c>
      <c r="L572" s="2">
        <v>6.0</v>
      </c>
      <c r="M572" s="4">
        <v>13048.0</v>
      </c>
      <c r="N572" s="2" t="s">
        <v>30</v>
      </c>
      <c r="O572" s="2">
        <v>70.0</v>
      </c>
      <c r="P572" s="2" t="s">
        <v>31</v>
      </c>
      <c r="Q572" s="2" t="s">
        <v>32</v>
      </c>
      <c r="R572" s="2">
        <v>36.0</v>
      </c>
      <c r="U572" s="2" t="b">
        <v>0</v>
      </c>
      <c r="V572" s="5">
        <v>0.0052</v>
      </c>
      <c r="W572" s="5">
        <v>0.0228</v>
      </c>
      <c r="X572" s="5">
        <v>1.18E-4</v>
      </c>
      <c r="Y572" s="2">
        <v>49.6121673</v>
      </c>
      <c r="AA572" s="2" t="s">
        <v>33</v>
      </c>
    </row>
    <row r="573">
      <c r="A573" s="2">
        <v>1961.0</v>
      </c>
      <c r="B573" s="2" t="s">
        <v>1702</v>
      </c>
      <c r="C573" s="2" t="s">
        <v>7</v>
      </c>
      <c r="D573" s="2" t="s">
        <v>1703</v>
      </c>
      <c r="E573" s="2" t="s">
        <v>1704</v>
      </c>
      <c r="F573" s="6">
        <v>45764.708333333336</v>
      </c>
      <c r="G573" s="2">
        <v>45485.0</v>
      </c>
      <c r="H573" s="2">
        <v>45485.0</v>
      </c>
      <c r="I573" s="2">
        <v>36846.0</v>
      </c>
      <c r="J573" s="2">
        <v>406.0</v>
      </c>
      <c r="K573" s="2">
        <v>324.0</v>
      </c>
      <c r="L573" s="2">
        <v>6.0</v>
      </c>
      <c r="M573" s="4">
        <v>17939.0</v>
      </c>
      <c r="N573" s="2" t="s">
        <v>36</v>
      </c>
      <c r="O573" s="2">
        <v>71.0</v>
      </c>
      <c r="P573" s="2" t="s">
        <v>31</v>
      </c>
      <c r="Q573" s="2" t="s">
        <v>32</v>
      </c>
      <c r="R573" s="2">
        <v>40.0</v>
      </c>
      <c r="U573" s="2" t="b">
        <v>0</v>
      </c>
      <c r="V573" s="5">
        <v>0.0088</v>
      </c>
      <c r="W573" s="5">
        <v>0.0185</v>
      </c>
      <c r="X573" s="5">
        <v>1.63E-4</v>
      </c>
      <c r="Y573" s="2">
        <v>55.36728395</v>
      </c>
      <c r="AA573" s="2" t="s">
        <v>33</v>
      </c>
    </row>
    <row r="574">
      <c r="A574" s="2">
        <v>1960.0</v>
      </c>
      <c r="B574" s="2" t="s">
        <v>1705</v>
      </c>
      <c r="C574" s="2" t="s">
        <v>7</v>
      </c>
      <c r="D574" s="2" t="s">
        <v>1706</v>
      </c>
      <c r="E574" s="2" t="s">
        <v>1707</v>
      </c>
      <c r="F574" s="6">
        <v>45764.708333333336</v>
      </c>
      <c r="G574" s="2">
        <v>59771.0</v>
      </c>
      <c r="H574" s="2">
        <v>59771.0</v>
      </c>
      <c r="I574" s="2">
        <v>50776.0</v>
      </c>
      <c r="J574" s="2">
        <v>381.0</v>
      </c>
      <c r="K574" s="2">
        <v>309.0</v>
      </c>
      <c r="L574" s="2">
        <v>7.0</v>
      </c>
      <c r="M574" s="4">
        <v>13929.0</v>
      </c>
      <c r="N574" s="2" t="s">
        <v>30</v>
      </c>
      <c r="O574" s="2">
        <v>70.0</v>
      </c>
      <c r="P574" s="2" t="s">
        <v>31</v>
      </c>
      <c r="Q574" s="2" t="s">
        <v>32</v>
      </c>
      <c r="R574" s="2">
        <v>41.0</v>
      </c>
      <c r="U574" s="2" t="b">
        <v>0</v>
      </c>
      <c r="V574" s="5">
        <v>0.0061</v>
      </c>
      <c r="W574" s="5">
        <v>0.0227</v>
      </c>
      <c r="X574" s="5">
        <v>1.38E-4</v>
      </c>
      <c r="Y574" s="2">
        <v>45.0776699</v>
      </c>
      <c r="Z574" s="2">
        <v>4141.0</v>
      </c>
      <c r="AA574" s="2" t="s">
        <v>33</v>
      </c>
    </row>
    <row r="575">
      <c r="A575" s="2">
        <v>1962.0</v>
      </c>
      <c r="B575" s="2" t="s">
        <v>1708</v>
      </c>
      <c r="C575" s="2" t="s">
        <v>7</v>
      </c>
      <c r="D575" s="2" t="s">
        <v>1709</v>
      </c>
      <c r="E575" s="2" t="s">
        <v>1710</v>
      </c>
      <c r="F575" s="6">
        <v>45765.49791666667</v>
      </c>
      <c r="G575" s="2">
        <v>58662.0</v>
      </c>
      <c r="H575" s="2">
        <v>58662.0</v>
      </c>
      <c r="I575" s="2">
        <v>50586.0</v>
      </c>
      <c r="J575" s="2">
        <v>463.0</v>
      </c>
      <c r="K575" s="2">
        <v>400.0</v>
      </c>
      <c r="L575" s="2">
        <v>11.0</v>
      </c>
      <c r="M575" s="4">
        <v>35154.0</v>
      </c>
      <c r="N575" s="2" t="s">
        <v>30</v>
      </c>
      <c r="O575" s="2">
        <v>70.0</v>
      </c>
      <c r="P575" s="2" t="s">
        <v>31</v>
      </c>
      <c r="Q575" s="2" t="s">
        <v>32</v>
      </c>
      <c r="R575" s="2">
        <v>26.0</v>
      </c>
      <c r="U575" s="2" t="b">
        <v>0</v>
      </c>
      <c r="V575" s="5">
        <v>0.0079</v>
      </c>
      <c r="W575" s="5">
        <v>0.0275</v>
      </c>
      <c r="X575" s="5">
        <v>2.17E-4</v>
      </c>
      <c r="Y575" s="2">
        <v>87.885</v>
      </c>
      <c r="Z575" s="2">
        <v>945.0</v>
      </c>
      <c r="AA575" s="2" t="s">
        <v>33</v>
      </c>
    </row>
    <row r="576">
      <c r="A576" s="2">
        <v>1963.0</v>
      </c>
      <c r="B576" s="2" t="s">
        <v>1711</v>
      </c>
      <c r="C576" s="2" t="s">
        <v>7</v>
      </c>
      <c r="D576" s="2" t="s">
        <v>1712</v>
      </c>
      <c r="E576" s="2" t="s">
        <v>1713</v>
      </c>
      <c r="F576" s="6">
        <v>45765.498611111114</v>
      </c>
      <c r="G576" s="2">
        <v>44426.0</v>
      </c>
      <c r="H576" s="2">
        <v>44426.0</v>
      </c>
      <c r="I576" s="2">
        <v>36631.0</v>
      </c>
      <c r="J576" s="2">
        <v>356.0</v>
      </c>
      <c r="K576" s="2">
        <v>307.0</v>
      </c>
      <c r="L576" s="2">
        <v>7.0</v>
      </c>
      <c r="M576" s="4">
        <v>51505.0</v>
      </c>
      <c r="N576" s="2" t="s">
        <v>36</v>
      </c>
      <c r="O576" s="2">
        <v>71.0</v>
      </c>
      <c r="P576" s="2" t="s">
        <v>31</v>
      </c>
      <c r="Q576" s="2" t="s">
        <v>32</v>
      </c>
      <c r="R576" s="2">
        <v>29.0</v>
      </c>
      <c r="T576" s="2" t="s">
        <v>405</v>
      </c>
      <c r="U576" s="2" t="b">
        <v>1</v>
      </c>
      <c r="V576" s="5">
        <v>0.0084</v>
      </c>
      <c r="W576" s="5">
        <v>0.0228</v>
      </c>
      <c r="X576" s="5">
        <v>1.91E-4</v>
      </c>
      <c r="Y576" s="2">
        <v>167.7687296</v>
      </c>
      <c r="AA576" s="2" t="s">
        <v>33</v>
      </c>
    </row>
    <row r="577">
      <c r="A577" s="2">
        <v>1965.0</v>
      </c>
      <c r="B577" s="2" t="s">
        <v>1714</v>
      </c>
      <c r="C577" s="2" t="s">
        <v>7</v>
      </c>
      <c r="D577" s="2" t="s">
        <v>1715</v>
      </c>
      <c r="E577" s="2" t="s">
        <v>1716</v>
      </c>
      <c r="F577" s="6">
        <v>45765.708333333336</v>
      </c>
      <c r="G577" s="2">
        <v>44452.0</v>
      </c>
      <c r="H577" s="2">
        <v>44452.0</v>
      </c>
      <c r="I577" s="2">
        <v>36864.0</v>
      </c>
      <c r="J577" s="2">
        <v>240.0</v>
      </c>
      <c r="K577" s="2">
        <v>188.0</v>
      </c>
      <c r="L577" s="2">
        <v>3.0</v>
      </c>
      <c r="M577" s="4">
        <v>7419.0</v>
      </c>
      <c r="N577" s="2" t="s">
        <v>36</v>
      </c>
      <c r="O577" s="2">
        <v>71.0</v>
      </c>
      <c r="P577" s="2" t="s">
        <v>31</v>
      </c>
      <c r="Q577" s="2" t="s">
        <v>32</v>
      </c>
      <c r="R577" s="2">
        <v>29.0</v>
      </c>
      <c r="U577" s="2" t="b">
        <v>0</v>
      </c>
      <c r="V577" s="5">
        <v>0.0051</v>
      </c>
      <c r="W577" s="5">
        <v>0.016</v>
      </c>
      <c r="X577" s="5">
        <v>8.1E-5</v>
      </c>
      <c r="Y577" s="2">
        <v>39.46276596</v>
      </c>
      <c r="AA577" s="2" t="s">
        <v>33</v>
      </c>
    </row>
    <row r="578">
      <c r="A578" s="2">
        <v>1964.0</v>
      </c>
      <c r="B578" s="2" t="s">
        <v>1717</v>
      </c>
      <c r="C578" s="2" t="s">
        <v>7</v>
      </c>
      <c r="D578" s="2" t="s">
        <v>1718</v>
      </c>
      <c r="E578" s="2" t="s">
        <v>1719</v>
      </c>
      <c r="F578" s="6">
        <v>45765.708333333336</v>
      </c>
      <c r="G578" s="2">
        <v>58719.0</v>
      </c>
      <c r="H578" s="2">
        <v>58719.0</v>
      </c>
      <c r="I578" s="2">
        <v>50897.0</v>
      </c>
      <c r="J578" s="2">
        <v>269.0</v>
      </c>
      <c r="K578" s="2">
        <v>221.0</v>
      </c>
      <c r="L578" s="2">
        <v>2.0</v>
      </c>
      <c r="M578" s="4">
        <v>2488.0</v>
      </c>
      <c r="N578" s="2" t="s">
        <v>30</v>
      </c>
      <c r="O578" s="2">
        <v>70.0</v>
      </c>
      <c r="P578" s="2" t="s">
        <v>31</v>
      </c>
      <c r="Q578" s="2" t="s">
        <v>32</v>
      </c>
      <c r="R578" s="2">
        <v>30.0</v>
      </c>
      <c r="U578" s="2" t="b">
        <v>0</v>
      </c>
      <c r="V578" s="5">
        <v>0.0043</v>
      </c>
      <c r="W578" s="5">
        <v>0.009</v>
      </c>
      <c r="X578" s="5">
        <v>3.9E-5</v>
      </c>
      <c r="Y578" s="2">
        <v>11.25791855</v>
      </c>
      <c r="AA578" s="2" t="s">
        <v>33</v>
      </c>
    </row>
    <row r="579">
      <c r="A579" s="2">
        <v>1967.0</v>
      </c>
      <c r="B579" s="2" t="s">
        <v>1720</v>
      </c>
      <c r="C579" s="2" t="s">
        <v>7</v>
      </c>
      <c r="D579" s="2" t="s">
        <v>1721</v>
      </c>
      <c r="E579" s="2" t="s">
        <v>1722</v>
      </c>
      <c r="F579" s="6">
        <v>45765.791666666664</v>
      </c>
      <c r="G579" s="2">
        <v>44451.0</v>
      </c>
      <c r="H579" s="2">
        <v>44451.0</v>
      </c>
      <c r="I579" s="2">
        <v>36883.0</v>
      </c>
      <c r="J579" s="2">
        <v>298.0</v>
      </c>
      <c r="K579" s="2">
        <v>231.0</v>
      </c>
      <c r="L579" s="2">
        <v>6.0</v>
      </c>
      <c r="M579" s="4">
        <v>17116.0</v>
      </c>
      <c r="N579" s="2" t="s">
        <v>36</v>
      </c>
      <c r="O579" s="2">
        <v>71.0</v>
      </c>
      <c r="P579" s="2" t="s">
        <v>31</v>
      </c>
      <c r="Q579" s="2" t="s">
        <v>32</v>
      </c>
      <c r="R579" s="2">
        <v>30.0</v>
      </c>
      <c r="U579" s="2" t="b">
        <v>1</v>
      </c>
      <c r="V579" s="5">
        <v>0.0063</v>
      </c>
      <c r="W579" s="5">
        <v>0.026</v>
      </c>
      <c r="X579" s="5">
        <v>1.63E-4</v>
      </c>
      <c r="Y579" s="2">
        <v>74.0952381</v>
      </c>
      <c r="AA579" s="2" t="s">
        <v>33</v>
      </c>
    </row>
    <row r="580">
      <c r="A580" s="2">
        <v>1966.0</v>
      </c>
      <c r="B580" s="2" t="s">
        <v>1723</v>
      </c>
      <c r="C580" s="2" t="s">
        <v>7</v>
      </c>
      <c r="D580" s="2" t="s">
        <v>1724</v>
      </c>
      <c r="E580" s="2" t="s">
        <v>1725</v>
      </c>
      <c r="F580" s="6">
        <v>45765.791666666664</v>
      </c>
      <c r="G580" s="2">
        <v>58748.0</v>
      </c>
      <c r="H580" s="2">
        <v>58748.0</v>
      </c>
      <c r="I580" s="2">
        <v>50832.0</v>
      </c>
      <c r="J580" s="2">
        <v>326.0</v>
      </c>
      <c r="K580" s="2">
        <v>272.0</v>
      </c>
      <c r="L580" s="2">
        <v>3.0</v>
      </c>
      <c r="M580" s="4">
        <v>5162.0</v>
      </c>
      <c r="N580" s="2" t="s">
        <v>30</v>
      </c>
      <c r="O580" s="2">
        <v>70.0</v>
      </c>
      <c r="P580" s="2" t="s">
        <v>31</v>
      </c>
      <c r="Q580" s="2" t="s">
        <v>32</v>
      </c>
      <c r="R580" s="2">
        <v>28.0</v>
      </c>
      <c r="U580" s="2" t="b">
        <v>0</v>
      </c>
      <c r="V580" s="5">
        <v>0.0054</v>
      </c>
      <c r="W580" s="5">
        <v>0.011</v>
      </c>
      <c r="X580" s="5">
        <v>5.9E-5</v>
      </c>
      <c r="Y580" s="2">
        <v>18.97794118</v>
      </c>
      <c r="AA580" s="2" t="s">
        <v>33</v>
      </c>
    </row>
    <row r="581">
      <c r="A581" s="2">
        <v>1969.0</v>
      </c>
      <c r="B581" s="2" t="s">
        <v>1726</v>
      </c>
      <c r="C581" s="2" t="s">
        <v>7</v>
      </c>
      <c r="D581" s="2" t="s">
        <v>1727</v>
      </c>
      <c r="E581" s="2" t="s">
        <v>1728</v>
      </c>
      <c r="F581" s="6">
        <v>45766.458333333336</v>
      </c>
      <c r="G581" s="2">
        <v>44432.0</v>
      </c>
      <c r="H581" s="2">
        <v>44432.0</v>
      </c>
      <c r="I581" s="2">
        <v>36433.0</v>
      </c>
      <c r="J581" s="2">
        <v>222.0</v>
      </c>
      <c r="K581" s="2">
        <v>185.0</v>
      </c>
      <c r="L581" s="2">
        <v>3.0</v>
      </c>
      <c r="M581" s="4">
        <v>5192.0</v>
      </c>
      <c r="N581" s="2" t="s">
        <v>36</v>
      </c>
      <c r="O581" s="2">
        <v>71.0</v>
      </c>
      <c r="P581" s="2" t="s">
        <v>31</v>
      </c>
      <c r="Q581" s="2" t="s">
        <v>32</v>
      </c>
      <c r="R581" s="2">
        <v>45.0</v>
      </c>
      <c r="U581" s="2" t="b">
        <v>0</v>
      </c>
      <c r="V581" s="5">
        <v>0.0051</v>
      </c>
      <c r="W581" s="5">
        <v>0.0162</v>
      </c>
      <c r="X581" s="5">
        <v>8.2E-5</v>
      </c>
      <c r="Y581" s="2">
        <v>28.06486486</v>
      </c>
      <c r="AA581" s="2" t="s">
        <v>33</v>
      </c>
    </row>
    <row r="582">
      <c r="A582" s="2">
        <v>1968.0</v>
      </c>
      <c r="B582" s="2" t="s">
        <v>1729</v>
      </c>
      <c r="C582" s="2" t="s">
        <v>7</v>
      </c>
      <c r="D582" s="2" t="s">
        <v>1730</v>
      </c>
      <c r="E582" s="2" t="s">
        <v>1731</v>
      </c>
      <c r="F582" s="6">
        <v>45766.458333333336</v>
      </c>
      <c r="G582" s="2">
        <v>58740.0</v>
      </c>
      <c r="H582" s="2">
        <v>58740.0</v>
      </c>
      <c r="I582" s="2">
        <v>50445.0</v>
      </c>
      <c r="J582" s="2">
        <v>274.0</v>
      </c>
      <c r="K582" s="2">
        <v>222.0</v>
      </c>
      <c r="L582" s="2">
        <v>5.0</v>
      </c>
      <c r="M582" s="4">
        <v>24832.0</v>
      </c>
      <c r="N582" s="2" t="s">
        <v>30</v>
      </c>
      <c r="O582" s="2">
        <v>70.0</v>
      </c>
      <c r="P582" s="2" t="s">
        <v>31</v>
      </c>
      <c r="Q582" s="2" t="s">
        <v>32</v>
      </c>
      <c r="R582" s="2">
        <v>36.0</v>
      </c>
      <c r="T582" s="2" t="s">
        <v>47</v>
      </c>
      <c r="U582" s="2" t="b">
        <v>0</v>
      </c>
      <c r="V582" s="5">
        <v>0.0044</v>
      </c>
      <c r="W582" s="5">
        <v>0.0225</v>
      </c>
      <c r="X582" s="5">
        <v>9.9E-5</v>
      </c>
      <c r="Y582" s="2">
        <v>111.8558559</v>
      </c>
      <c r="Z582" s="2">
        <v>5083.0</v>
      </c>
      <c r="AA582" s="2" t="s">
        <v>33</v>
      </c>
    </row>
    <row r="583">
      <c r="A583" s="2">
        <v>1971.0</v>
      </c>
      <c r="B583" s="2" t="s">
        <v>1732</v>
      </c>
      <c r="C583" s="2" t="s">
        <v>7</v>
      </c>
      <c r="D583" s="2" t="s">
        <v>1733</v>
      </c>
      <c r="E583" s="2" t="s">
        <v>1734</v>
      </c>
      <c r="F583" s="6">
        <v>45766.541666666664</v>
      </c>
      <c r="G583" s="2">
        <v>44421.0</v>
      </c>
      <c r="H583" s="2">
        <v>44421.0</v>
      </c>
      <c r="I583" s="2">
        <v>36683.0</v>
      </c>
      <c r="J583" s="2">
        <v>313.0</v>
      </c>
      <c r="K583" s="2">
        <v>251.0</v>
      </c>
      <c r="L583" s="2">
        <v>3.0</v>
      </c>
      <c r="M583" s="4">
        <v>5247.0</v>
      </c>
      <c r="N583" s="2" t="s">
        <v>36</v>
      </c>
      <c r="O583" s="2">
        <v>71.0</v>
      </c>
      <c r="P583" s="2" t="s">
        <v>31</v>
      </c>
      <c r="Q583" s="2" t="s">
        <v>32</v>
      </c>
      <c r="R583" s="2">
        <v>31.0</v>
      </c>
      <c r="U583" s="2" t="b">
        <v>0</v>
      </c>
      <c r="V583" s="5">
        <v>0.0068</v>
      </c>
      <c r="W583" s="5">
        <v>0.012</v>
      </c>
      <c r="X583" s="5">
        <v>8.2E-5</v>
      </c>
      <c r="Y583" s="2">
        <v>20.90438247</v>
      </c>
      <c r="AA583" s="2" t="s">
        <v>33</v>
      </c>
    </row>
    <row r="584">
      <c r="A584" s="2">
        <v>1970.0</v>
      </c>
      <c r="B584" s="2" t="s">
        <v>1735</v>
      </c>
      <c r="C584" s="2" t="s">
        <v>7</v>
      </c>
      <c r="D584" s="2" t="s">
        <v>1736</v>
      </c>
      <c r="E584" s="2" t="s">
        <v>1737</v>
      </c>
      <c r="F584" s="6">
        <v>45766.541666666664</v>
      </c>
      <c r="G584" s="2">
        <v>58743.0</v>
      </c>
      <c r="H584" s="2">
        <v>58743.0</v>
      </c>
      <c r="I584" s="2">
        <v>50695.0</v>
      </c>
      <c r="J584" s="2">
        <v>290.0</v>
      </c>
      <c r="K584" s="2">
        <v>243.0</v>
      </c>
      <c r="L584" s="2">
        <v>3.0</v>
      </c>
      <c r="M584" s="4">
        <v>6192.0</v>
      </c>
      <c r="N584" s="2" t="s">
        <v>30</v>
      </c>
      <c r="O584" s="2">
        <v>70.0</v>
      </c>
      <c r="P584" s="2" t="s">
        <v>31</v>
      </c>
      <c r="Q584" s="2" t="s">
        <v>32</v>
      </c>
      <c r="R584" s="2">
        <v>36.0</v>
      </c>
      <c r="U584" s="2" t="b">
        <v>0</v>
      </c>
      <c r="V584" s="5">
        <v>0.0048</v>
      </c>
      <c r="W584" s="5">
        <v>0.0123</v>
      </c>
      <c r="X584" s="5">
        <v>5.9E-5</v>
      </c>
      <c r="Y584" s="2">
        <v>25.48148148</v>
      </c>
      <c r="AA584" s="2" t="s">
        <v>33</v>
      </c>
    </row>
    <row r="585">
      <c r="A585" s="2">
        <v>1973.0</v>
      </c>
      <c r="B585" s="2" t="s">
        <v>1738</v>
      </c>
      <c r="C585" s="2" t="s">
        <v>7</v>
      </c>
      <c r="D585" s="2" t="s">
        <v>1739</v>
      </c>
      <c r="E585" s="2" t="s">
        <v>1740</v>
      </c>
      <c r="F585" s="6">
        <v>45766.625</v>
      </c>
      <c r="G585" s="2">
        <v>44425.0</v>
      </c>
      <c r="H585" s="2">
        <v>44425.0</v>
      </c>
      <c r="I585" s="2">
        <v>36718.0</v>
      </c>
      <c r="J585" s="2">
        <v>288.0</v>
      </c>
      <c r="K585" s="2">
        <v>227.0</v>
      </c>
      <c r="L585" s="2">
        <v>6.0</v>
      </c>
      <c r="M585" s="4">
        <v>17386.0</v>
      </c>
      <c r="N585" s="2" t="s">
        <v>36</v>
      </c>
      <c r="O585" s="2">
        <v>71.0</v>
      </c>
      <c r="P585" s="2" t="s">
        <v>31</v>
      </c>
      <c r="Q585" s="2" t="s">
        <v>32</v>
      </c>
      <c r="R585" s="2">
        <v>18.0</v>
      </c>
      <c r="U585" s="2" t="b">
        <v>0</v>
      </c>
      <c r="V585" s="5">
        <v>0.0062</v>
      </c>
      <c r="W585" s="5">
        <v>0.0264</v>
      </c>
      <c r="X585" s="5">
        <v>1.63E-4</v>
      </c>
      <c r="Y585" s="2">
        <v>76.59030837</v>
      </c>
      <c r="AA585" s="2" t="s">
        <v>33</v>
      </c>
    </row>
    <row r="586">
      <c r="A586" s="2">
        <v>1972.0</v>
      </c>
      <c r="B586" s="2" t="s">
        <v>1741</v>
      </c>
      <c r="C586" s="2" t="s">
        <v>7</v>
      </c>
      <c r="D586" s="2" t="s">
        <v>1742</v>
      </c>
      <c r="E586" s="2" t="s">
        <v>1743</v>
      </c>
      <c r="F586" s="6">
        <v>45766.625</v>
      </c>
      <c r="G586" s="2">
        <v>58769.0</v>
      </c>
      <c r="H586" s="2">
        <v>58769.0</v>
      </c>
      <c r="I586" s="2">
        <v>50757.0</v>
      </c>
      <c r="J586" s="2">
        <v>414.0</v>
      </c>
      <c r="K586" s="2">
        <v>341.0</v>
      </c>
      <c r="L586" s="2">
        <v>3.0</v>
      </c>
      <c r="M586" s="4">
        <v>4895.0</v>
      </c>
      <c r="N586" s="2" t="s">
        <v>30</v>
      </c>
      <c r="O586" s="2">
        <v>70.0</v>
      </c>
      <c r="P586" s="2" t="s">
        <v>31</v>
      </c>
      <c r="Q586" s="2" t="s">
        <v>32</v>
      </c>
      <c r="R586" s="2">
        <v>18.0</v>
      </c>
      <c r="T586" s="2" t="s">
        <v>47</v>
      </c>
      <c r="U586" s="2" t="b">
        <v>0</v>
      </c>
      <c r="V586" s="5">
        <v>0.0067</v>
      </c>
      <c r="W586" s="5">
        <v>0.0088</v>
      </c>
      <c r="X586" s="5">
        <v>5.9E-5</v>
      </c>
      <c r="Y586" s="2">
        <v>14.35483871</v>
      </c>
      <c r="AA586" s="2" t="s">
        <v>33</v>
      </c>
    </row>
    <row r="587">
      <c r="A587" s="2">
        <v>1975.0</v>
      </c>
      <c r="B587" s="2" t="s">
        <v>1744</v>
      </c>
      <c r="C587" s="2" t="s">
        <v>7</v>
      </c>
      <c r="D587" s="2" t="s">
        <v>1745</v>
      </c>
      <c r="E587" s="2" t="s">
        <v>1746</v>
      </c>
      <c r="F587" s="6">
        <v>45768.46527777778</v>
      </c>
      <c r="G587" s="2">
        <v>43772.0</v>
      </c>
      <c r="H587" s="2">
        <v>43772.0</v>
      </c>
      <c r="I587" s="2">
        <v>35960.0</v>
      </c>
      <c r="J587" s="2">
        <v>243.0</v>
      </c>
      <c r="K587" s="2">
        <v>198.0</v>
      </c>
      <c r="L587" s="2">
        <v>1.0</v>
      </c>
      <c r="M587" s="4">
        <v>1398.0</v>
      </c>
      <c r="N587" s="2" t="s">
        <v>36</v>
      </c>
      <c r="O587" s="2">
        <v>71.0</v>
      </c>
      <c r="P587" s="2" t="s">
        <v>31</v>
      </c>
      <c r="Q587" s="2" t="s">
        <v>1367</v>
      </c>
      <c r="R587" s="2">
        <v>35.0</v>
      </c>
      <c r="T587" s="2" t="s">
        <v>47</v>
      </c>
      <c r="U587" s="2" t="b">
        <v>0</v>
      </c>
      <c r="V587" s="5">
        <v>0.0055</v>
      </c>
      <c r="W587" s="5">
        <v>0.0051</v>
      </c>
      <c r="X587" s="5">
        <v>2.8E-5</v>
      </c>
      <c r="Y587" s="2">
        <v>7.060606061</v>
      </c>
      <c r="AA587" s="2" t="s">
        <v>33</v>
      </c>
    </row>
    <row r="588">
      <c r="A588" s="2">
        <v>1974.0</v>
      </c>
      <c r="B588" s="2" t="s">
        <v>1747</v>
      </c>
      <c r="C588" s="2" t="s">
        <v>7</v>
      </c>
      <c r="D588" s="2" t="s">
        <v>1748</v>
      </c>
      <c r="E588" s="2" t="s">
        <v>1749</v>
      </c>
      <c r="F588" s="6">
        <v>45768.46527777778</v>
      </c>
      <c r="G588" s="2">
        <v>57307.0</v>
      </c>
      <c r="H588" s="2">
        <v>57307.0</v>
      </c>
      <c r="I588" s="2">
        <v>49303.0</v>
      </c>
      <c r="J588" s="2">
        <v>251.0</v>
      </c>
      <c r="K588" s="2">
        <v>204.0</v>
      </c>
      <c r="L588" s="2">
        <v>5.0</v>
      </c>
      <c r="M588" s="4">
        <v>17174.0</v>
      </c>
      <c r="N588" s="2" t="s">
        <v>30</v>
      </c>
      <c r="O588" s="2">
        <v>70.0</v>
      </c>
      <c r="P588" s="2" t="s">
        <v>31</v>
      </c>
      <c r="Q588" s="2" t="s">
        <v>1367</v>
      </c>
      <c r="R588" s="2">
        <v>35.0</v>
      </c>
      <c r="U588" s="2" t="b">
        <v>0</v>
      </c>
      <c r="V588" s="5">
        <v>0.0041</v>
      </c>
      <c r="W588" s="5">
        <v>0.0245</v>
      </c>
      <c r="X588" s="5">
        <v>1.01E-4</v>
      </c>
      <c r="Y588" s="2">
        <v>84.18627451</v>
      </c>
      <c r="AA588" s="2" t="s">
        <v>33</v>
      </c>
    </row>
    <row r="589">
      <c r="A589" s="2">
        <v>1977.0</v>
      </c>
      <c r="B589" s="2" t="s">
        <v>1750</v>
      </c>
      <c r="C589" s="2" t="s">
        <v>7</v>
      </c>
      <c r="D589" s="2" t="s">
        <v>1751</v>
      </c>
      <c r="E589" s="2" t="s">
        <v>1752</v>
      </c>
      <c r="F589" s="6">
        <v>45768.625</v>
      </c>
      <c r="G589" s="2">
        <v>43686.0</v>
      </c>
      <c r="H589" s="2">
        <v>43686.0</v>
      </c>
      <c r="I589" s="2">
        <v>36151.0</v>
      </c>
      <c r="J589" s="2">
        <v>329.0</v>
      </c>
      <c r="K589" s="2">
        <v>272.0</v>
      </c>
      <c r="L589" s="2">
        <v>6.0</v>
      </c>
      <c r="M589" s="4">
        <v>20090.0</v>
      </c>
      <c r="N589" s="2" t="s">
        <v>36</v>
      </c>
      <c r="O589" s="2">
        <v>71.0</v>
      </c>
      <c r="P589" s="2" t="s">
        <v>31</v>
      </c>
      <c r="Q589" s="2" t="s">
        <v>32</v>
      </c>
      <c r="R589" s="2">
        <v>27.0</v>
      </c>
      <c r="U589" s="2" t="b">
        <v>0</v>
      </c>
      <c r="V589" s="5">
        <v>0.0075</v>
      </c>
      <c r="W589" s="5">
        <v>0.0221</v>
      </c>
      <c r="X589" s="5">
        <v>1.66E-4</v>
      </c>
      <c r="Y589" s="2">
        <v>73.86029412</v>
      </c>
      <c r="AA589" s="2" t="s">
        <v>33</v>
      </c>
    </row>
    <row r="590">
      <c r="A590" s="2">
        <v>1976.0</v>
      </c>
      <c r="B590" s="2" t="s">
        <v>1753</v>
      </c>
      <c r="C590" s="2" t="s">
        <v>7</v>
      </c>
      <c r="D590" s="2" t="s">
        <v>1754</v>
      </c>
      <c r="E590" s="2" t="s">
        <v>1755</v>
      </c>
      <c r="F590" s="6">
        <v>45768.625</v>
      </c>
      <c r="G590" s="2">
        <v>57285.0</v>
      </c>
      <c r="H590" s="2">
        <v>57285.0</v>
      </c>
      <c r="I590" s="2">
        <v>49483.0</v>
      </c>
      <c r="J590" s="2">
        <v>407.0</v>
      </c>
      <c r="K590" s="2">
        <v>334.0</v>
      </c>
      <c r="L590" s="2">
        <v>4.0</v>
      </c>
      <c r="M590" s="4">
        <v>19144.0</v>
      </c>
      <c r="N590" s="2" t="s">
        <v>30</v>
      </c>
      <c r="O590" s="2">
        <v>70.0</v>
      </c>
      <c r="P590" s="2" t="s">
        <v>31</v>
      </c>
      <c r="Q590" s="2" t="s">
        <v>32</v>
      </c>
      <c r="R590" s="2">
        <v>36.0</v>
      </c>
      <c r="T590" s="2" t="s">
        <v>47</v>
      </c>
      <c r="U590" s="2" t="b">
        <v>0</v>
      </c>
      <c r="V590" s="5">
        <v>0.0067</v>
      </c>
      <c r="W590" s="5">
        <v>0.012</v>
      </c>
      <c r="X590" s="5">
        <v>8.1E-5</v>
      </c>
      <c r="Y590" s="2">
        <v>57.31736527</v>
      </c>
      <c r="AA590" s="2" t="s">
        <v>33</v>
      </c>
    </row>
    <row r="591">
      <c r="A591" s="2">
        <v>1979.0</v>
      </c>
      <c r="B591" s="2" t="s">
        <v>1756</v>
      </c>
      <c r="C591" s="2" t="s">
        <v>7</v>
      </c>
      <c r="D591" s="2" t="s">
        <v>1757</v>
      </c>
      <c r="E591" s="2" t="s">
        <v>1758</v>
      </c>
      <c r="F591" s="6">
        <v>45768.708333333336</v>
      </c>
      <c r="G591" s="2">
        <v>43687.0</v>
      </c>
      <c r="H591" s="2">
        <v>43687.0</v>
      </c>
      <c r="I591" s="2">
        <v>36219.0</v>
      </c>
      <c r="J591" s="2">
        <v>332.0</v>
      </c>
      <c r="K591" s="2">
        <v>260.0</v>
      </c>
      <c r="L591" s="2">
        <v>3.0</v>
      </c>
      <c r="M591" s="4">
        <v>7293.0</v>
      </c>
      <c r="N591" s="2" t="s">
        <v>36</v>
      </c>
      <c r="O591" s="2">
        <v>71.0</v>
      </c>
      <c r="P591" s="2" t="s">
        <v>31</v>
      </c>
      <c r="Q591" s="2" t="s">
        <v>32</v>
      </c>
      <c r="R591" s="2">
        <v>29.0</v>
      </c>
      <c r="T591" s="2" t="s">
        <v>162</v>
      </c>
      <c r="U591" s="2" t="b">
        <v>0</v>
      </c>
      <c r="V591" s="5">
        <v>0.0072</v>
      </c>
      <c r="W591" s="5">
        <v>0.0115</v>
      </c>
      <c r="X591" s="5">
        <v>8.3E-5</v>
      </c>
      <c r="Y591" s="2">
        <v>28.05</v>
      </c>
      <c r="AA591" s="2" t="s">
        <v>33</v>
      </c>
    </row>
    <row r="592">
      <c r="A592" s="2">
        <v>1978.0</v>
      </c>
      <c r="B592" s="2" t="s">
        <v>1759</v>
      </c>
      <c r="C592" s="2" t="s">
        <v>7</v>
      </c>
      <c r="D592" s="2" t="s">
        <v>1760</v>
      </c>
      <c r="E592" s="2" t="s">
        <v>1761</v>
      </c>
      <c r="F592" s="6">
        <v>45768.708333333336</v>
      </c>
      <c r="G592" s="2">
        <v>57304.0</v>
      </c>
      <c r="H592" s="2">
        <v>57304.0</v>
      </c>
      <c r="I592" s="2">
        <v>49502.0</v>
      </c>
      <c r="J592" s="2">
        <v>345.0</v>
      </c>
      <c r="K592" s="2">
        <v>274.0</v>
      </c>
      <c r="L592" s="2">
        <v>6.0</v>
      </c>
      <c r="M592" s="4">
        <v>25855.0</v>
      </c>
      <c r="N592" s="2" t="s">
        <v>30</v>
      </c>
      <c r="O592" s="2">
        <v>70.0</v>
      </c>
      <c r="P592" s="2" t="s">
        <v>31</v>
      </c>
      <c r="Q592" s="2" t="s">
        <v>32</v>
      </c>
      <c r="R592" s="2">
        <v>44.0</v>
      </c>
      <c r="U592" s="2" t="b">
        <v>0</v>
      </c>
      <c r="V592" s="5">
        <v>0.0055</v>
      </c>
      <c r="W592" s="5">
        <v>0.0219</v>
      </c>
      <c r="X592" s="5">
        <v>1.21E-4</v>
      </c>
      <c r="Y592" s="2">
        <v>94.36131387</v>
      </c>
      <c r="AA592" s="2" t="s">
        <v>33</v>
      </c>
    </row>
    <row r="593">
      <c r="A593" s="2">
        <v>1980.0</v>
      </c>
      <c r="B593" s="2" t="s">
        <v>1762</v>
      </c>
      <c r="C593" s="2" t="s">
        <v>7</v>
      </c>
      <c r="D593" s="2" t="s">
        <v>1763</v>
      </c>
      <c r="E593" s="2" t="s">
        <v>1764</v>
      </c>
      <c r="F593" s="6">
        <v>45769.48819444444</v>
      </c>
      <c r="G593" s="2">
        <v>57425.0</v>
      </c>
      <c r="H593" s="2">
        <v>57425.0</v>
      </c>
      <c r="I593" s="2">
        <v>49500.0</v>
      </c>
      <c r="J593" s="2">
        <v>485.0</v>
      </c>
      <c r="K593" s="2">
        <v>416.0</v>
      </c>
      <c r="L593" s="2">
        <v>8.0</v>
      </c>
      <c r="M593" s="4">
        <v>25612.0</v>
      </c>
      <c r="N593" s="2" t="s">
        <v>30</v>
      </c>
      <c r="O593" s="2">
        <v>70.0</v>
      </c>
      <c r="P593" s="2" t="s">
        <v>31</v>
      </c>
      <c r="Q593" s="2" t="s">
        <v>32</v>
      </c>
      <c r="R593" s="2">
        <v>30.0</v>
      </c>
      <c r="U593" s="2" t="b">
        <v>0</v>
      </c>
      <c r="V593" s="5">
        <v>0.0084</v>
      </c>
      <c r="W593" s="5">
        <v>0.0192</v>
      </c>
      <c r="X593" s="5">
        <v>1.62E-4</v>
      </c>
      <c r="Y593" s="2">
        <v>61.56730769</v>
      </c>
      <c r="AA593" s="2" t="s">
        <v>33</v>
      </c>
    </row>
    <row r="594">
      <c r="A594" s="2">
        <v>1981.0</v>
      </c>
      <c r="B594" s="2" t="s">
        <v>1765</v>
      </c>
      <c r="C594" s="2" t="s">
        <v>7</v>
      </c>
      <c r="D594" s="2" t="s">
        <v>1766</v>
      </c>
      <c r="E594" s="2" t="s">
        <v>1767</v>
      </c>
      <c r="F594" s="6">
        <v>45769.49375</v>
      </c>
      <c r="G594" s="2">
        <v>43728.0</v>
      </c>
      <c r="H594" s="2">
        <v>43728.0</v>
      </c>
      <c r="I594" s="2">
        <v>36108.0</v>
      </c>
      <c r="J594" s="2">
        <v>334.0</v>
      </c>
      <c r="K594" s="2">
        <v>294.0</v>
      </c>
      <c r="L594" s="2">
        <v>3.0</v>
      </c>
      <c r="M594" s="4">
        <v>5454.0</v>
      </c>
      <c r="N594" s="2" t="s">
        <v>36</v>
      </c>
      <c r="O594" s="2">
        <v>71.0</v>
      </c>
      <c r="P594" s="2" t="s">
        <v>31</v>
      </c>
      <c r="Q594" s="2" t="s">
        <v>32</v>
      </c>
      <c r="R594" s="2">
        <v>35.0</v>
      </c>
      <c r="T594" s="2" t="s">
        <v>47</v>
      </c>
      <c r="U594" s="2" t="b">
        <v>0</v>
      </c>
      <c r="V594" s="5">
        <v>0.0081</v>
      </c>
      <c r="W594" s="5">
        <v>0.0102</v>
      </c>
      <c r="X594" s="5">
        <v>8.3E-5</v>
      </c>
      <c r="Y594" s="2">
        <v>18.55102041</v>
      </c>
      <c r="AA594" s="2" t="s">
        <v>33</v>
      </c>
    </row>
    <row r="595">
      <c r="A595" s="2">
        <v>1983.0</v>
      </c>
      <c r="B595" s="2" t="s">
        <v>1768</v>
      </c>
      <c r="C595" s="2" t="s">
        <v>7</v>
      </c>
      <c r="D595" s="2" t="s">
        <v>1769</v>
      </c>
      <c r="E595" s="2" t="s">
        <v>1770</v>
      </c>
      <c r="F595" s="6">
        <v>45769.625</v>
      </c>
      <c r="G595" s="2">
        <v>43728.0</v>
      </c>
      <c r="H595" s="2">
        <v>43728.0</v>
      </c>
      <c r="I595" s="2">
        <v>36297.0</v>
      </c>
      <c r="J595" s="2">
        <v>239.0</v>
      </c>
      <c r="K595" s="2">
        <v>188.0</v>
      </c>
      <c r="L595" s="2">
        <v>5.0</v>
      </c>
      <c r="M595" s="4">
        <v>13204.0</v>
      </c>
      <c r="N595" s="2" t="s">
        <v>36</v>
      </c>
      <c r="O595" s="2">
        <v>71.0</v>
      </c>
      <c r="P595" s="2" t="s">
        <v>31</v>
      </c>
      <c r="Q595" s="2" t="s">
        <v>32</v>
      </c>
      <c r="R595" s="2">
        <v>39.0</v>
      </c>
      <c r="T595" s="2" t="s">
        <v>162</v>
      </c>
      <c r="U595" s="2" t="b">
        <v>0</v>
      </c>
      <c r="V595" s="5">
        <v>0.0052</v>
      </c>
      <c r="W595" s="5">
        <v>0.0266</v>
      </c>
      <c r="X595" s="5">
        <v>1.38E-4</v>
      </c>
      <c r="Y595" s="2">
        <v>70.23404255</v>
      </c>
      <c r="AA595" s="2" t="s">
        <v>33</v>
      </c>
    </row>
    <row r="596">
      <c r="A596" s="2">
        <v>1982.0</v>
      </c>
      <c r="B596" s="2" t="s">
        <v>1771</v>
      </c>
      <c r="C596" s="2" t="s">
        <v>7</v>
      </c>
      <c r="D596" s="2" t="s">
        <v>1772</v>
      </c>
      <c r="E596" s="2" t="s">
        <v>1773</v>
      </c>
      <c r="F596" s="6">
        <v>45769.625</v>
      </c>
      <c r="G596" s="2">
        <v>57455.0</v>
      </c>
      <c r="H596" s="2">
        <v>57455.0</v>
      </c>
      <c r="I596" s="2">
        <v>49704.0</v>
      </c>
      <c r="J596" s="2">
        <v>361.0</v>
      </c>
      <c r="K596" s="2">
        <v>289.0</v>
      </c>
      <c r="L596" s="2">
        <v>9.0</v>
      </c>
      <c r="M596" s="4">
        <v>21424.0</v>
      </c>
      <c r="N596" s="2" t="s">
        <v>30</v>
      </c>
      <c r="O596" s="2">
        <v>70.0</v>
      </c>
      <c r="P596" s="2" t="s">
        <v>31</v>
      </c>
      <c r="Q596" s="2" t="s">
        <v>32</v>
      </c>
      <c r="R596" s="2">
        <v>36.0</v>
      </c>
      <c r="T596" s="2" t="s">
        <v>47</v>
      </c>
      <c r="U596" s="2" t="b">
        <v>0</v>
      </c>
      <c r="V596" s="5">
        <v>0.0058</v>
      </c>
      <c r="W596" s="5">
        <v>0.0311</v>
      </c>
      <c r="X596" s="5">
        <v>1.81E-4</v>
      </c>
      <c r="Y596" s="2">
        <v>74.13148789</v>
      </c>
      <c r="AA596" s="2" t="s">
        <v>33</v>
      </c>
    </row>
    <row r="597">
      <c r="A597" s="2">
        <v>1985.0</v>
      </c>
      <c r="B597" s="2" t="s">
        <v>1774</v>
      </c>
      <c r="C597" s="2" t="s">
        <v>7</v>
      </c>
      <c r="D597" s="2" t="s">
        <v>1775</v>
      </c>
      <c r="E597" s="2" t="s">
        <v>1776</v>
      </c>
      <c r="F597" s="6">
        <v>45769.708333333336</v>
      </c>
      <c r="G597" s="2">
        <v>43745.0</v>
      </c>
      <c r="H597" s="2">
        <v>43745.0</v>
      </c>
      <c r="I597" s="2">
        <v>36350.0</v>
      </c>
      <c r="J597" s="2">
        <v>236.0</v>
      </c>
      <c r="K597" s="2">
        <v>192.0</v>
      </c>
      <c r="L597" s="2">
        <v>5.0</v>
      </c>
      <c r="M597" s="4">
        <v>30925.0</v>
      </c>
      <c r="N597" s="2" t="s">
        <v>36</v>
      </c>
      <c r="O597" s="2">
        <v>71.0</v>
      </c>
      <c r="P597" s="2" t="s">
        <v>31</v>
      </c>
      <c r="Q597" s="2" t="s">
        <v>32</v>
      </c>
      <c r="R597" s="2">
        <v>33.0</v>
      </c>
      <c r="T597" s="2" t="s">
        <v>47</v>
      </c>
      <c r="U597" s="2" t="b">
        <v>0</v>
      </c>
      <c r="V597" s="5">
        <v>0.0053</v>
      </c>
      <c r="W597" s="5">
        <v>0.026</v>
      </c>
      <c r="X597" s="5">
        <v>1.38E-4</v>
      </c>
      <c r="Y597" s="2">
        <v>161.0677083</v>
      </c>
      <c r="AA597" s="2" t="s">
        <v>33</v>
      </c>
    </row>
    <row r="598">
      <c r="A598" s="2">
        <v>1984.0</v>
      </c>
      <c r="B598" s="2" t="s">
        <v>1777</v>
      </c>
      <c r="C598" s="2" t="s">
        <v>7</v>
      </c>
      <c r="D598" s="2" t="s">
        <v>1778</v>
      </c>
      <c r="E598" s="2" t="s">
        <v>1779</v>
      </c>
      <c r="F598" s="6">
        <v>45769.708333333336</v>
      </c>
      <c r="G598" s="2">
        <v>57495.0</v>
      </c>
      <c r="H598" s="2">
        <v>57495.0</v>
      </c>
      <c r="I598" s="2">
        <v>49663.0</v>
      </c>
      <c r="J598" s="2">
        <v>264.0</v>
      </c>
      <c r="K598" s="2">
        <v>214.0</v>
      </c>
      <c r="L598" s="2">
        <v>2.0</v>
      </c>
      <c r="M598" s="4">
        <v>2230.0</v>
      </c>
      <c r="N598" s="2" t="s">
        <v>30</v>
      </c>
      <c r="O598" s="2">
        <v>70.0</v>
      </c>
      <c r="P598" s="2" t="s">
        <v>31</v>
      </c>
      <c r="Q598" s="2" t="s">
        <v>32</v>
      </c>
      <c r="R598" s="2">
        <v>41.0</v>
      </c>
      <c r="T598" s="2" t="s">
        <v>47</v>
      </c>
      <c r="U598" s="2" t="b">
        <v>0</v>
      </c>
      <c r="V598" s="5">
        <v>0.0043</v>
      </c>
      <c r="W598" s="5">
        <v>0.0093</v>
      </c>
      <c r="X598" s="5">
        <v>4.0E-5</v>
      </c>
      <c r="Y598" s="2">
        <v>10.42056075</v>
      </c>
      <c r="Z598" s="2">
        <v>4836.0</v>
      </c>
      <c r="AA598" s="2" t="s">
        <v>33</v>
      </c>
    </row>
    <row r="599">
      <c r="A599" s="2">
        <v>1986.0</v>
      </c>
      <c r="B599" s="2" t="s">
        <v>1780</v>
      </c>
      <c r="C599" s="2" t="s">
        <v>7</v>
      </c>
      <c r="D599" s="2" t="s">
        <v>170</v>
      </c>
      <c r="E599" s="2" t="s">
        <v>288</v>
      </c>
      <c r="F599" s="6">
        <v>45770.49791666667</v>
      </c>
      <c r="G599" s="2">
        <v>57577.0</v>
      </c>
      <c r="H599" s="2">
        <v>57577.0</v>
      </c>
      <c r="I599" s="2">
        <v>49640.0</v>
      </c>
      <c r="J599" s="2">
        <v>295.0</v>
      </c>
      <c r="K599" s="2">
        <v>233.0</v>
      </c>
      <c r="L599" s="2">
        <v>9.0</v>
      </c>
      <c r="M599" s="4">
        <v>20529.0</v>
      </c>
      <c r="N599" s="2" t="s">
        <v>30</v>
      </c>
      <c r="O599" s="2">
        <v>70.0</v>
      </c>
      <c r="P599" s="2" t="s">
        <v>31</v>
      </c>
      <c r="Q599" s="2" t="s">
        <v>32</v>
      </c>
      <c r="R599" s="2">
        <v>27.0</v>
      </c>
      <c r="T599" s="2" t="s">
        <v>47</v>
      </c>
      <c r="U599" s="2" t="b">
        <v>0</v>
      </c>
      <c r="V599" s="5">
        <v>0.0047</v>
      </c>
      <c r="W599" s="5">
        <v>0.0386</v>
      </c>
      <c r="X599" s="5">
        <v>1.81E-4</v>
      </c>
      <c r="Y599" s="2">
        <v>88.10729614</v>
      </c>
      <c r="AA599" s="2" t="s">
        <v>33</v>
      </c>
    </row>
    <row r="600">
      <c r="A600" s="2">
        <v>1987.0</v>
      </c>
      <c r="B600" s="2" t="s">
        <v>1781</v>
      </c>
      <c r="C600" s="2" t="s">
        <v>7</v>
      </c>
      <c r="D600" s="2" t="s">
        <v>172</v>
      </c>
      <c r="E600" s="2" t="s">
        <v>290</v>
      </c>
      <c r="F600" s="6">
        <v>45770.49930555555</v>
      </c>
      <c r="G600" s="2">
        <v>43771.0</v>
      </c>
      <c r="H600" s="2">
        <v>43771.0</v>
      </c>
      <c r="I600" s="2">
        <v>36222.0</v>
      </c>
      <c r="J600" s="2">
        <v>256.0</v>
      </c>
      <c r="K600" s="2">
        <v>191.0</v>
      </c>
      <c r="L600" s="2">
        <v>1.0</v>
      </c>
      <c r="M600" s="4">
        <v>1398.0</v>
      </c>
      <c r="N600" s="2" t="s">
        <v>36</v>
      </c>
      <c r="O600" s="2">
        <v>71.0</v>
      </c>
      <c r="P600" s="2" t="s">
        <v>31</v>
      </c>
      <c r="Q600" s="2" t="s">
        <v>32</v>
      </c>
      <c r="R600" s="2">
        <v>24.0</v>
      </c>
      <c r="T600" s="2" t="s">
        <v>47</v>
      </c>
      <c r="U600" s="2" t="b">
        <v>0</v>
      </c>
      <c r="V600" s="5">
        <v>0.0053</v>
      </c>
      <c r="W600" s="5">
        <v>0.0052</v>
      </c>
      <c r="X600" s="5">
        <v>2.8E-5</v>
      </c>
      <c r="Y600" s="2">
        <v>7.319371728</v>
      </c>
      <c r="AA600" s="2" t="s">
        <v>33</v>
      </c>
    </row>
    <row r="601">
      <c r="A601" s="2">
        <v>1988.0</v>
      </c>
      <c r="B601" s="2" t="s">
        <v>1782</v>
      </c>
      <c r="C601" s="2" t="s">
        <v>7</v>
      </c>
      <c r="D601" s="2" t="s">
        <v>1783</v>
      </c>
      <c r="E601" s="2" t="s">
        <v>1784</v>
      </c>
      <c r="F601" s="6">
        <v>45770.62847222222</v>
      </c>
      <c r="G601" s="2">
        <v>57595.0</v>
      </c>
      <c r="H601" s="2">
        <v>57595.0</v>
      </c>
      <c r="I601" s="2">
        <v>49809.0</v>
      </c>
      <c r="J601" s="2">
        <v>337.0</v>
      </c>
      <c r="K601" s="2">
        <v>259.0</v>
      </c>
      <c r="L601" s="2">
        <v>6.0</v>
      </c>
      <c r="M601" s="4">
        <v>19671.0</v>
      </c>
      <c r="N601" s="2" t="s">
        <v>30</v>
      </c>
      <c r="O601" s="2">
        <v>70.0</v>
      </c>
      <c r="P601" s="2" t="s">
        <v>31</v>
      </c>
      <c r="Q601" s="2" t="s">
        <v>32</v>
      </c>
      <c r="R601" s="2">
        <v>34.0</v>
      </c>
      <c r="T601" s="2" t="s">
        <v>1785</v>
      </c>
      <c r="U601" s="2" t="b">
        <v>0</v>
      </c>
      <c r="V601" s="5">
        <v>0.0052</v>
      </c>
      <c r="W601" s="5">
        <v>0.0232</v>
      </c>
      <c r="X601" s="5">
        <v>1.2E-4</v>
      </c>
      <c r="Y601" s="2">
        <v>75.94980695</v>
      </c>
      <c r="Z601" s="2">
        <v>5196.0</v>
      </c>
      <c r="AA601" s="2" t="s">
        <v>33</v>
      </c>
    </row>
    <row r="602">
      <c r="A602" s="2">
        <v>1989.0</v>
      </c>
      <c r="B602" s="2" t="s">
        <v>1786</v>
      </c>
      <c r="C602" s="2" t="s">
        <v>7</v>
      </c>
      <c r="D602" s="2" t="s">
        <v>1787</v>
      </c>
      <c r="E602" s="2" t="s">
        <v>1788</v>
      </c>
      <c r="F602" s="6">
        <v>45770.629166666666</v>
      </c>
      <c r="G602" s="2">
        <v>43773.0</v>
      </c>
      <c r="H602" s="2">
        <v>43773.0</v>
      </c>
      <c r="I602" s="2">
        <v>36326.0</v>
      </c>
      <c r="J602" s="2">
        <v>280.0</v>
      </c>
      <c r="K602" s="2">
        <v>226.0</v>
      </c>
      <c r="L602" s="2">
        <v>5.0</v>
      </c>
      <c r="M602" s="4">
        <v>10566.0</v>
      </c>
      <c r="N602" s="2" t="s">
        <v>36</v>
      </c>
      <c r="O602" s="2">
        <v>71.0</v>
      </c>
      <c r="P602" s="2" t="s">
        <v>31</v>
      </c>
      <c r="Q602" s="2" t="s">
        <v>32</v>
      </c>
      <c r="R602" s="2">
        <v>27.0</v>
      </c>
      <c r="T602" s="2" t="s">
        <v>1146</v>
      </c>
      <c r="U602" s="2" t="b">
        <v>1</v>
      </c>
      <c r="V602" s="5">
        <v>0.0062</v>
      </c>
      <c r="W602" s="5">
        <v>0.0221</v>
      </c>
      <c r="X602" s="5">
        <v>1.38E-4</v>
      </c>
      <c r="Y602" s="2">
        <v>46.75221239</v>
      </c>
      <c r="AA602" s="2" t="s">
        <v>33</v>
      </c>
    </row>
    <row r="603">
      <c r="A603" s="2">
        <v>1990.0</v>
      </c>
      <c r="B603" s="2" t="s">
        <v>1789</v>
      </c>
      <c r="C603" s="2" t="s">
        <v>7</v>
      </c>
      <c r="D603" s="2" t="s">
        <v>1790</v>
      </c>
      <c r="E603" s="2" t="s">
        <v>1791</v>
      </c>
      <c r="F603" s="6">
        <v>45770.72222222222</v>
      </c>
      <c r="G603" s="2">
        <v>57635.0</v>
      </c>
      <c r="H603" s="2">
        <v>57635.0</v>
      </c>
      <c r="I603" s="2">
        <v>49790.0</v>
      </c>
      <c r="J603" s="2">
        <v>292.0</v>
      </c>
      <c r="K603" s="2">
        <v>242.0</v>
      </c>
      <c r="L603" s="2">
        <v>4.0</v>
      </c>
      <c r="M603" s="4">
        <v>6208.0</v>
      </c>
      <c r="N603" s="2" t="s">
        <v>30</v>
      </c>
      <c r="O603" s="2">
        <v>70.0</v>
      </c>
      <c r="P603" s="2" t="s">
        <v>31</v>
      </c>
      <c r="Q603" s="2" t="s">
        <v>32</v>
      </c>
      <c r="R603" s="2">
        <v>30.0</v>
      </c>
      <c r="U603" s="2" t="b">
        <v>0</v>
      </c>
      <c r="V603" s="5">
        <v>0.0049</v>
      </c>
      <c r="W603" s="5">
        <v>0.0165</v>
      </c>
      <c r="X603" s="5">
        <v>8.0E-5</v>
      </c>
      <c r="Y603" s="2">
        <v>25.65289256</v>
      </c>
      <c r="Z603" s="2" t="s">
        <v>182</v>
      </c>
      <c r="AA603" s="2" t="s">
        <v>33</v>
      </c>
    </row>
    <row r="604">
      <c r="A604" s="2">
        <v>1991.0</v>
      </c>
      <c r="B604" s="2" t="s">
        <v>1792</v>
      </c>
      <c r="C604" s="2" t="s">
        <v>7</v>
      </c>
      <c r="D604" s="2" t="s">
        <v>1790</v>
      </c>
      <c r="E604" s="2" t="s">
        <v>1793</v>
      </c>
      <c r="F604" s="6">
        <v>45770.722916666666</v>
      </c>
      <c r="G604" s="2">
        <v>43792.0</v>
      </c>
      <c r="H604" s="2">
        <v>43792.0</v>
      </c>
      <c r="I604" s="2">
        <v>36389.0</v>
      </c>
      <c r="J604" s="2">
        <v>255.0</v>
      </c>
      <c r="K604" s="2">
        <v>209.0</v>
      </c>
      <c r="L604" s="2">
        <v>5.0</v>
      </c>
      <c r="M604" s="4">
        <v>10717.0</v>
      </c>
      <c r="N604" s="2" t="s">
        <v>36</v>
      </c>
      <c r="O604" s="2">
        <v>71.0</v>
      </c>
      <c r="P604" s="2" t="s">
        <v>31</v>
      </c>
      <c r="Q604" s="2" t="s">
        <v>32</v>
      </c>
      <c r="R604" s="2">
        <v>30.0</v>
      </c>
      <c r="T604" s="2" t="s">
        <v>47</v>
      </c>
      <c r="U604" s="2" t="b">
        <v>0</v>
      </c>
      <c r="V604" s="5">
        <v>0.0057</v>
      </c>
      <c r="W604" s="5">
        <v>0.0239</v>
      </c>
      <c r="X604" s="5">
        <v>1.37E-4</v>
      </c>
      <c r="Y604" s="2">
        <v>51.27751196</v>
      </c>
      <c r="AA604" s="2" t="s">
        <v>33</v>
      </c>
    </row>
    <row r="605">
      <c r="A605" s="2">
        <v>1993.0</v>
      </c>
      <c r="B605" s="2" t="s">
        <v>1794</v>
      </c>
      <c r="C605" s="2" t="s">
        <v>7</v>
      </c>
      <c r="D605" s="2" t="s">
        <v>439</v>
      </c>
      <c r="E605" s="2" t="s">
        <v>1795</v>
      </c>
      <c r="F605" s="6">
        <v>45771.375</v>
      </c>
      <c r="G605" s="2">
        <v>43802.0</v>
      </c>
      <c r="H605" s="2">
        <v>43802.0</v>
      </c>
      <c r="I605" s="2">
        <v>35846.0</v>
      </c>
      <c r="J605" s="2">
        <v>263.0</v>
      </c>
      <c r="K605" s="2">
        <v>209.0</v>
      </c>
      <c r="L605" s="2">
        <v>6.0</v>
      </c>
      <c r="M605" s="4">
        <v>19401.0</v>
      </c>
      <c r="N605" s="2" t="s">
        <v>36</v>
      </c>
      <c r="O605" s="2">
        <v>71.0</v>
      </c>
      <c r="P605" s="2" t="s">
        <v>31</v>
      </c>
      <c r="Q605" s="2" t="s">
        <v>32</v>
      </c>
      <c r="R605" s="2">
        <v>28.0</v>
      </c>
      <c r="T605" s="2" t="s">
        <v>47</v>
      </c>
      <c r="U605" s="2" t="b">
        <v>0</v>
      </c>
      <c r="V605" s="5">
        <v>0.0058</v>
      </c>
      <c r="W605" s="5">
        <v>0.0287</v>
      </c>
      <c r="X605" s="5">
        <v>1.67E-4</v>
      </c>
      <c r="Y605" s="2">
        <v>92.8277512</v>
      </c>
      <c r="AA605" s="2" t="s">
        <v>33</v>
      </c>
    </row>
    <row r="606">
      <c r="A606" s="2">
        <v>1992.0</v>
      </c>
      <c r="B606" s="2" t="s">
        <v>1796</v>
      </c>
      <c r="C606" s="2" t="s">
        <v>7</v>
      </c>
      <c r="D606" s="2" t="s">
        <v>187</v>
      </c>
      <c r="E606" s="2" t="s">
        <v>1797</v>
      </c>
      <c r="F606" s="6">
        <v>45771.375</v>
      </c>
      <c r="G606" s="2">
        <v>57656.0</v>
      </c>
      <c r="H606" s="2">
        <v>57656.0</v>
      </c>
      <c r="I606" s="2">
        <v>49317.0</v>
      </c>
      <c r="J606" s="2">
        <v>344.0</v>
      </c>
      <c r="K606" s="2">
        <v>272.0</v>
      </c>
      <c r="L606" s="2">
        <v>2.0</v>
      </c>
      <c r="M606" s="4">
        <v>2788.0</v>
      </c>
      <c r="N606" s="2" t="s">
        <v>30</v>
      </c>
      <c r="O606" s="2">
        <v>70.0</v>
      </c>
      <c r="P606" s="2" t="s">
        <v>31</v>
      </c>
      <c r="Q606" s="2" t="s">
        <v>32</v>
      </c>
      <c r="R606" s="2">
        <v>28.0</v>
      </c>
      <c r="T606" s="2" t="s">
        <v>47</v>
      </c>
      <c r="U606" s="2" t="b">
        <v>0</v>
      </c>
      <c r="V606" s="5">
        <v>0.0055</v>
      </c>
      <c r="W606" s="5">
        <v>0.0074</v>
      </c>
      <c r="X606" s="5">
        <v>4.1E-5</v>
      </c>
      <c r="Y606" s="2">
        <v>10.25</v>
      </c>
      <c r="Z606" s="2" t="s">
        <v>182</v>
      </c>
      <c r="AA606" s="2" t="s">
        <v>33</v>
      </c>
    </row>
    <row r="607">
      <c r="A607" s="2">
        <v>1995.0</v>
      </c>
      <c r="B607" s="2" t="s">
        <v>1798</v>
      </c>
      <c r="C607" s="2" t="s">
        <v>7</v>
      </c>
      <c r="D607" s="2" t="s">
        <v>1799</v>
      </c>
      <c r="E607" s="2" t="s">
        <v>1800</v>
      </c>
      <c r="F607" s="6">
        <v>45771.625</v>
      </c>
      <c r="G607" s="2">
        <v>43857.0</v>
      </c>
      <c r="H607" s="2">
        <v>43857.0</v>
      </c>
      <c r="I607" s="2">
        <v>36441.0</v>
      </c>
      <c r="J607" s="2">
        <v>258.0</v>
      </c>
      <c r="K607" s="2">
        <v>204.0</v>
      </c>
      <c r="L607" s="2">
        <v>1.0</v>
      </c>
      <c r="M607" s="4">
        <v>1646.0</v>
      </c>
      <c r="N607" s="2" t="s">
        <v>36</v>
      </c>
      <c r="O607" s="2">
        <v>71.0</v>
      </c>
      <c r="P607" s="2" t="s">
        <v>31</v>
      </c>
      <c r="Q607" s="2" t="s">
        <v>32</v>
      </c>
      <c r="R607" s="2">
        <v>33.0</v>
      </c>
      <c r="T607" s="2" t="s">
        <v>47</v>
      </c>
      <c r="U607" s="2" t="b">
        <v>0</v>
      </c>
      <c r="V607" s="5">
        <v>0.0056</v>
      </c>
      <c r="W607" s="5">
        <v>0.0049</v>
      </c>
      <c r="X607" s="5">
        <v>2.7E-5</v>
      </c>
      <c r="Y607" s="2">
        <v>8.068627451</v>
      </c>
      <c r="AA607" s="2" t="s">
        <v>33</v>
      </c>
    </row>
    <row r="608">
      <c r="A608" s="2">
        <v>1994.0</v>
      </c>
      <c r="B608" s="2" t="s">
        <v>1801</v>
      </c>
      <c r="C608" s="2" t="s">
        <v>7</v>
      </c>
      <c r="D608" s="2" t="s">
        <v>1802</v>
      </c>
      <c r="E608" s="2" t="s">
        <v>1803</v>
      </c>
      <c r="F608" s="6">
        <v>45771.625</v>
      </c>
      <c r="G608" s="2">
        <v>57757.0</v>
      </c>
      <c r="H608" s="2">
        <v>57757.0</v>
      </c>
      <c r="I608" s="2">
        <v>49944.0</v>
      </c>
      <c r="J608" s="2">
        <v>349.0</v>
      </c>
      <c r="K608" s="2">
        <v>288.0</v>
      </c>
      <c r="L608" s="2">
        <v>8.0</v>
      </c>
      <c r="M608" s="4">
        <v>14884.0</v>
      </c>
      <c r="N608" s="2" t="s">
        <v>30</v>
      </c>
      <c r="O608" s="2">
        <v>70.0</v>
      </c>
      <c r="P608" s="2" t="s">
        <v>31</v>
      </c>
      <c r="Q608" s="2" t="s">
        <v>32</v>
      </c>
      <c r="R608" s="2">
        <v>29.0</v>
      </c>
      <c r="T608" s="7" t="str">
        <f>IFERROR(__xludf.DUMMYFUNCTION("AI(""has offer Come X Pay X"",D608)"),"Tenyuu Grand (Buffet) 697.has offer Come X Pay X")</f>
        <v>Tenyuu Grand (Buffet) 697.has offer Come X Pay X</v>
      </c>
      <c r="U608" s="2" t="b">
        <v>0</v>
      </c>
      <c r="V608" s="5">
        <v>0.0058</v>
      </c>
      <c r="W608" s="5">
        <v>0.0278</v>
      </c>
      <c r="X608" s="5">
        <v>1.6E-4</v>
      </c>
      <c r="Y608" s="2">
        <v>51.68055556</v>
      </c>
      <c r="Z608" s="2">
        <v>3619.0</v>
      </c>
      <c r="AA608" s="2" t="s">
        <v>33</v>
      </c>
    </row>
    <row r="609">
      <c r="A609" s="2">
        <v>1997.0</v>
      </c>
      <c r="B609" s="2" t="s">
        <v>1804</v>
      </c>
      <c r="C609" s="2" t="s">
        <v>7</v>
      </c>
      <c r="D609" s="2" t="s">
        <v>1805</v>
      </c>
      <c r="E609" s="2" t="s">
        <v>1806</v>
      </c>
      <c r="F609" s="6">
        <v>45771.708333333336</v>
      </c>
      <c r="G609" s="2">
        <v>43877.0</v>
      </c>
      <c r="H609" s="2">
        <v>43877.0</v>
      </c>
      <c r="I609" s="2">
        <v>36518.0</v>
      </c>
      <c r="J609" s="2">
        <v>251.0</v>
      </c>
      <c r="K609" s="2">
        <v>194.0</v>
      </c>
      <c r="L609" s="2">
        <v>3.0</v>
      </c>
      <c r="M609" s="4">
        <v>6067.0</v>
      </c>
      <c r="N609" s="2" t="s">
        <v>36</v>
      </c>
      <c r="O609" s="2">
        <v>71.0</v>
      </c>
      <c r="P609" s="2" t="s">
        <v>31</v>
      </c>
      <c r="Q609" s="2" t="s">
        <v>32</v>
      </c>
      <c r="R609" s="2">
        <v>38.0</v>
      </c>
      <c r="U609" s="2" t="b">
        <v>0</v>
      </c>
      <c r="V609" s="5">
        <v>0.0053</v>
      </c>
      <c r="W609" s="5">
        <v>0.0155</v>
      </c>
      <c r="X609" s="5">
        <v>8.2E-5</v>
      </c>
      <c r="Y609" s="2">
        <v>31.27319588</v>
      </c>
      <c r="AA609" s="2" t="s">
        <v>33</v>
      </c>
    </row>
    <row r="610">
      <c r="A610" s="2">
        <v>1996.0</v>
      </c>
      <c r="B610" s="2" t="s">
        <v>1807</v>
      </c>
      <c r="C610" s="2" t="s">
        <v>7</v>
      </c>
      <c r="D610" s="2" t="s">
        <v>1808</v>
      </c>
      <c r="E610" s="2" t="s">
        <v>1809</v>
      </c>
      <c r="F610" s="6">
        <v>45771.708333333336</v>
      </c>
      <c r="G610" s="2">
        <v>57793.0</v>
      </c>
      <c r="H610" s="2">
        <v>57793.0</v>
      </c>
      <c r="I610" s="2">
        <v>49994.0</v>
      </c>
      <c r="J610" s="2">
        <v>262.0</v>
      </c>
      <c r="K610" s="2">
        <v>215.0</v>
      </c>
      <c r="L610" s="2">
        <v>4.0</v>
      </c>
      <c r="M610" s="4">
        <v>9776.0</v>
      </c>
      <c r="N610" s="2" t="s">
        <v>30</v>
      </c>
      <c r="O610" s="2">
        <v>70.0</v>
      </c>
      <c r="P610" s="2" t="s">
        <v>31</v>
      </c>
      <c r="Q610" s="2" t="s">
        <v>32</v>
      </c>
      <c r="R610" s="2">
        <v>39.0</v>
      </c>
      <c r="T610" s="2" t="s">
        <v>47</v>
      </c>
      <c r="U610" s="2" t="b">
        <v>0</v>
      </c>
      <c r="V610" s="5">
        <v>0.0043</v>
      </c>
      <c r="W610" s="5">
        <v>0.0186</v>
      </c>
      <c r="X610" s="5">
        <v>8.0E-5</v>
      </c>
      <c r="Y610" s="2">
        <v>45.46976744</v>
      </c>
      <c r="Z610" s="2">
        <v>5543.0</v>
      </c>
      <c r="AA610" s="2" t="s">
        <v>33</v>
      </c>
    </row>
    <row r="611">
      <c r="A611" s="2">
        <v>1998.0</v>
      </c>
      <c r="B611" s="2" t="s">
        <v>1810</v>
      </c>
      <c r="C611" s="2" t="s">
        <v>7</v>
      </c>
      <c r="D611" s="2" t="s">
        <v>1811</v>
      </c>
      <c r="E611" s="2" t="s">
        <v>1812</v>
      </c>
      <c r="F611" s="6">
        <v>45772.48402777778</v>
      </c>
      <c r="G611" s="2">
        <v>57870.0</v>
      </c>
      <c r="H611" s="2">
        <v>57870.0</v>
      </c>
      <c r="I611" s="2">
        <v>49870.0</v>
      </c>
      <c r="J611" s="2">
        <v>530.0</v>
      </c>
      <c r="K611" s="2">
        <v>433.0</v>
      </c>
      <c r="L611" s="2">
        <v>4.0</v>
      </c>
      <c r="M611" s="4">
        <v>11467.0</v>
      </c>
      <c r="N611" s="2" t="s">
        <v>30</v>
      </c>
      <c r="O611" s="2">
        <v>70.0</v>
      </c>
      <c r="P611" s="2" t="s">
        <v>31</v>
      </c>
      <c r="Q611" s="2" t="s">
        <v>32</v>
      </c>
      <c r="R611" s="2">
        <v>35.0</v>
      </c>
      <c r="U611" s="2" t="b">
        <v>0</v>
      </c>
      <c r="V611" s="5">
        <v>0.0087</v>
      </c>
      <c r="W611" s="5">
        <v>0.0092</v>
      </c>
      <c r="X611" s="5">
        <v>8.0E-5</v>
      </c>
      <c r="Y611" s="2">
        <v>26.48267898</v>
      </c>
      <c r="AA611" s="2" t="s">
        <v>33</v>
      </c>
    </row>
    <row r="612">
      <c r="A612" s="2">
        <v>1999.0</v>
      </c>
      <c r="B612" s="2" t="s">
        <v>1813</v>
      </c>
      <c r="C612" s="2" t="s">
        <v>7</v>
      </c>
      <c r="D612" s="2" t="s">
        <v>1814</v>
      </c>
      <c r="E612" s="2" t="s">
        <v>1815</v>
      </c>
      <c r="F612" s="6">
        <v>45772.49375</v>
      </c>
      <c r="G612" s="2">
        <v>43999.0</v>
      </c>
      <c r="H612" s="2">
        <v>43999.0</v>
      </c>
      <c r="I612" s="2">
        <v>36224.0</v>
      </c>
      <c r="J612" s="2">
        <v>329.0</v>
      </c>
      <c r="K612" s="2">
        <v>272.0</v>
      </c>
      <c r="L612" s="2">
        <v>4.0</v>
      </c>
      <c r="M612" s="4">
        <v>10448.0</v>
      </c>
      <c r="N612" s="2" t="s">
        <v>36</v>
      </c>
      <c r="O612" s="2">
        <v>71.0</v>
      </c>
      <c r="P612" s="2" t="s">
        <v>31</v>
      </c>
      <c r="Q612" s="2" t="s">
        <v>32</v>
      </c>
      <c r="R612" s="2">
        <v>35.0</v>
      </c>
      <c r="T612" s="2" t="s">
        <v>1816</v>
      </c>
      <c r="U612" s="2" t="b">
        <v>0</v>
      </c>
      <c r="V612" s="5">
        <v>0.0075</v>
      </c>
      <c r="W612" s="5">
        <v>0.0147</v>
      </c>
      <c r="X612" s="5">
        <v>1.1E-4</v>
      </c>
      <c r="Y612" s="2">
        <v>38.41176471</v>
      </c>
      <c r="AA612" s="2" t="s">
        <v>33</v>
      </c>
    </row>
    <row r="613">
      <c r="A613" s="2">
        <v>2000.0</v>
      </c>
      <c r="B613" s="2" t="s">
        <v>1817</v>
      </c>
      <c r="C613" s="2" t="s">
        <v>7</v>
      </c>
      <c r="D613" s="2" t="s">
        <v>1818</v>
      </c>
      <c r="E613" s="2" t="e">
        <v>#N/A</v>
      </c>
      <c r="F613" s="6">
        <v>45772.60833333333</v>
      </c>
      <c r="G613" s="2">
        <v>57904.0</v>
      </c>
      <c r="H613" s="2">
        <v>57904.0</v>
      </c>
      <c r="I613" s="2">
        <v>50106.0</v>
      </c>
      <c r="J613" s="2">
        <v>305.0</v>
      </c>
      <c r="K613" s="2">
        <v>254.0</v>
      </c>
      <c r="L613" s="2">
        <v>6.0</v>
      </c>
      <c r="M613" s="4">
        <v>15273.0</v>
      </c>
      <c r="N613" s="2" t="s">
        <v>30</v>
      </c>
      <c r="O613" s="2">
        <v>70.0</v>
      </c>
      <c r="P613" s="2" t="s">
        <v>31</v>
      </c>
      <c r="Q613" s="2" t="s">
        <v>32</v>
      </c>
      <c r="R613" s="2">
        <v>32.0</v>
      </c>
      <c r="T613" s="2" t="s">
        <v>47</v>
      </c>
      <c r="U613" s="2" t="b">
        <v>0</v>
      </c>
      <c r="V613" s="5">
        <v>0.0051</v>
      </c>
      <c r="W613" s="5">
        <v>0.0236</v>
      </c>
      <c r="X613" s="5">
        <v>1.2E-4</v>
      </c>
      <c r="Y613" s="2">
        <v>60.12992126</v>
      </c>
      <c r="AA613" s="2" t="s">
        <v>33</v>
      </c>
    </row>
    <row r="614">
      <c r="A614" s="2">
        <v>2001.0</v>
      </c>
      <c r="B614" s="2" t="s">
        <v>1819</v>
      </c>
      <c r="C614" s="2" t="s">
        <v>7</v>
      </c>
      <c r="D614" s="2" t="s">
        <v>1820</v>
      </c>
      <c r="E614" s="2" t="e">
        <v>#N/A</v>
      </c>
      <c r="F614" s="6">
        <v>45772.61041666667</v>
      </c>
      <c r="G614" s="2">
        <v>44009.0</v>
      </c>
      <c r="H614" s="2">
        <v>44009.0</v>
      </c>
      <c r="I614" s="2">
        <v>36540.0</v>
      </c>
      <c r="J614" s="2">
        <v>233.0</v>
      </c>
      <c r="K614" s="2">
        <v>190.0</v>
      </c>
      <c r="L614" s="2">
        <v>3.0</v>
      </c>
      <c r="M614" s="4">
        <v>4178.0</v>
      </c>
      <c r="N614" s="2" t="s">
        <v>36</v>
      </c>
      <c r="O614" s="2">
        <v>71.0</v>
      </c>
      <c r="P614" s="2" t="s">
        <v>31</v>
      </c>
      <c r="Q614" s="2" t="s">
        <v>32</v>
      </c>
      <c r="R614" s="2">
        <v>31.0</v>
      </c>
      <c r="U614" s="2" t="b">
        <v>0</v>
      </c>
      <c r="V614" s="5">
        <v>0.0052</v>
      </c>
      <c r="W614" s="5">
        <v>0.0158</v>
      </c>
      <c r="X614" s="5">
        <v>8.2E-5</v>
      </c>
      <c r="Y614" s="2">
        <v>21.98947368</v>
      </c>
      <c r="AA614" s="2" t="s">
        <v>33</v>
      </c>
    </row>
    <row r="615">
      <c r="A615" s="2">
        <v>2003.0</v>
      </c>
      <c r="B615" s="2" t="s">
        <v>1821</v>
      </c>
      <c r="C615" s="2" t="s">
        <v>7</v>
      </c>
      <c r="D615" s="2" t="s">
        <v>1822</v>
      </c>
      <c r="E615" s="2" t="s">
        <v>1823</v>
      </c>
      <c r="F615" s="6">
        <v>45772.708333333336</v>
      </c>
      <c r="G615" s="2">
        <v>44053.0</v>
      </c>
      <c r="H615" s="2">
        <v>44053.0</v>
      </c>
      <c r="I615" s="2">
        <v>36601.0</v>
      </c>
      <c r="J615" s="2">
        <v>316.0</v>
      </c>
      <c r="K615" s="2">
        <v>245.0</v>
      </c>
      <c r="L615" s="2">
        <v>4.0</v>
      </c>
      <c r="M615" s="4">
        <v>19064.0</v>
      </c>
      <c r="N615" s="2" t="s">
        <v>36</v>
      </c>
      <c r="O615" s="2">
        <v>71.0</v>
      </c>
      <c r="P615" s="2" t="s">
        <v>31</v>
      </c>
      <c r="Q615" s="2" t="s">
        <v>32</v>
      </c>
      <c r="R615" s="2">
        <v>42.0</v>
      </c>
      <c r="T615" s="2" t="s">
        <v>1824</v>
      </c>
      <c r="U615" s="2" t="b">
        <v>0</v>
      </c>
      <c r="V615" s="5">
        <v>0.0067</v>
      </c>
      <c r="W615" s="5">
        <v>0.0163</v>
      </c>
      <c r="X615" s="5">
        <v>1.09E-4</v>
      </c>
      <c r="Y615" s="2">
        <v>77.8122449</v>
      </c>
      <c r="AA615" s="2" t="s">
        <v>33</v>
      </c>
    </row>
    <row r="616">
      <c r="A616" s="2">
        <v>2002.0</v>
      </c>
      <c r="B616" s="2" t="s">
        <v>1825</v>
      </c>
      <c r="C616" s="2" t="s">
        <v>7</v>
      </c>
      <c r="D616" s="2" t="s">
        <v>1826</v>
      </c>
      <c r="E616" s="2" t="s">
        <v>1827</v>
      </c>
      <c r="F616" s="6">
        <v>45772.708333333336</v>
      </c>
      <c r="G616" s="2">
        <v>57957.0</v>
      </c>
      <c r="H616" s="2">
        <v>57957.0</v>
      </c>
      <c r="I616" s="2">
        <v>50120.0</v>
      </c>
      <c r="J616" s="2">
        <v>285.0</v>
      </c>
      <c r="K616" s="2">
        <v>223.0</v>
      </c>
      <c r="L616" s="2">
        <v>3.0</v>
      </c>
      <c r="M616" s="4">
        <v>5548.0</v>
      </c>
      <c r="N616" s="2" t="s">
        <v>30</v>
      </c>
      <c r="O616" s="2">
        <v>70.0</v>
      </c>
      <c r="P616" s="2" t="s">
        <v>31</v>
      </c>
      <c r="Q616" s="2" t="s">
        <v>32</v>
      </c>
      <c r="R616" s="2">
        <v>34.0</v>
      </c>
      <c r="T616" s="2" t="s">
        <v>47</v>
      </c>
      <c r="U616" s="2" t="b">
        <v>0</v>
      </c>
      <c r="V616" s="5">
        <v>0.0044</v>
      </c>
      <c r="W616" s="5">
        <v>0.0135</v>
      </c>
      <c r="X616" s="5">
        <v>6.0E-5</v>
      </c>
      <c r="Y616" s="2">
        <v>24.87892377</v>
      </c>
      <c r="AA616" s="2" t="s">
        <v>33</v>
      </c>
    </row>
    <row r="617">
      <c r="A617" s="2">
        <v>2004.0</v>
      </c>
      <c r="B617" s="2" t="s">
        <v>1828</v>
      </c>
      <c r="C617" s="2" t="s">
        <v>7</v>
      </c>
      <c r="D617" s="2" t="s">
        <v>1829</v>
      </c>
      <c r="E617" s="2" t="s">
        <v>1830</v>
      </c>
      <c r="F617" s="6">
        <v>45775.52361111111</v>
      </c>
      <c r="G617" s="2">
        <v>57565.0</v>
      </c>
      <c r="H617" s="2">
        <v>57565.0</v>
      </c>
      <c r="I617" s="2">
        <v>49614.0</v>
      </c>
      <c r="J617" s="2">
        <v>297.0</v>
      </c>
      <c r="K617" s="2">
        <v>241.0</v>
      </c>
      <c r="L617" s="2">
        <v>6.0</v>
      </c>
      <c r="M617" s="4">
        <v>21551.0</v>
      </c>
      <c r="N617" s="2" t="s">
        <v>30</v>
      </c>
      <c r="O617" s="2">
        <v>70.0</v>
      </c>
      <c r="P617" s="2" t="s">
        <v>31</v>
      </c>
      <c r="Q617" s="2" t="s">
        <v>32</v>
      </c>
      <c r="R617" s="2">
        <v>33.0</v>
      </c>
      <c r="U617" s="2" t="b">
        <v>0</v>
      </c>
      <c r="V617" s="5">
        <v>0.0049</v>
      </c>
      <c r="W617" s="5">
        <v>0.0249</v>
      </c>
      <c r="X617" s="5">
        <v>1.21E-4</v>
      </c>
      <c r="Y617" s="2">
        <v>89.42323651</v>
      </c>
      <c r="AA617" s="2" t="s">
        <v>33</v>
      </c>
    </row>
    <row r="618">
      <c r="A618" s="2">
        <v>2005.0</v>
      </c>
      <c r="B618" s="2" t="s">
        <v>1831</v>
      </c>
      <c r="C618" s="2" t="s">
        <v>7</v>
      </c>
      <c r="D618" s="2" t="s">
        <v>1832</v>
      </c>
      <c r="E618" s="2" t="s">
        <v>1833</v>
      </c>
      <c r="F618" s="6">
        <v>45775.525</v>
      </c>
      <c r="G618" s="2">
        <v>44394.0</v>
      </c>
      <c r="H618" s="2">
        <v>44394.0</v>
      </c>
      <c r="I618" s="2">
        <v>36735.0</v>
      </c>
      <c r="J618" s="2">
        <v>305.0</v>
      </c>
      <c r="K618" s="2">
        <v>243.0</v>
      </c>
      <c r="L618" s="2">
        <v>5.0</v>
      </c>
      <c r="M618" s="4">
        <v>6513.0</v>
      </c>
      <c r="N618" s="2" t="s">
        <v>36</v>
      </c>
      <c r="O618" s="2">
        <v>71.0</v>
      </c>
      <c r="P618" s="2" t="s">
        <v>31</v>
      </c>
      <c r="Q618" s="2" t="s">
        <v>32</v>
      </c>
      <c r="R618" s="2">
        <v>37.0</v>
      </c>
      <c r="T618" s="7" t="str">
        <f>IFERROR(__xludf.DUMMYFUNCTION("AI(""has offer Come X Pay X"",D618)"),"Get Unlimited Cash Back + a $200 Bonus with Chase Freedom Unlimited")</f>
        <v>Get Unlimited Cash Back + a $200 Bonus with Chase Freedom Unlimited</v>
      </c>
      <c r="U618" s="2" t="b">
        <v>0</v>
      </c>
      <c r="V618" s="5">
        <v>0.0066</v>
      </c>
      <c r="W618" s="5">
        <v>0.0206</v>
      </c>
      <c r="X618" s="5">
        <v>1.36E-4</v>
      </c>
      <c r="Y618" s="2">
        <v>26.80246914</v>
      </c>
      <c r="AA618" s="2" t="s">
        <v>33</v>
      </c>
    </row>
    <row r="619">
      <c r="A619" s="2">
        <v>2007.0</v>
      </c>
      <c r="B619" s="2" t="s">
        <v>1834</v>
      </c>
      <c r="C619" s="2" t="s">
        <v>7</v>
      </c>
      <c r="D619" s="2" t="s">
        <v>1835</v>
      </c>
      <c r="E619" s="2" t="s">
        <v>1836</v>
      </c>
      <c r="F619" s="6">
        <v>45775.625</v>
      </c>
      <c r="G619" s="2">
        <v>44271.0</v>
      </c>
      <c r="H619" s="2">
        <v>44271.0</v>
      </c>
      <c r="I619" s="2">
        <v>36855.0</v>
      </c>
      <c r="J619" s="2">
        <v>261.0</v>
      </c>
      <c r="K619" s="2">
        <v>198.0</v>
      </c>
      <c r="L619" s="2">
        <v>3.0</v>
      </c>
      <c r="M619" s="4">
        <v>5865.0</v>
      </c>
      <c r="N619" s="2" t="s">
        <v>36</v>
      </c>
      <c r="O619" s="2">
        <v>71.0</v>
      </c>
      <c r="P619" s="2" t="s">
        <v>31</v>
      </c>
      <c r="Q619" s="2" t="s">
        <v>32</v>
      </c>
      <c r="R619" s="2">
        <v>24.0</v>
      </c>
      <c r="U619" s="2" t="b">
        <v>0</v>
      </c>
      <c r="V619" s="5">
        <v>0.0054</v>
      </c>
      <c r="W619" s="5">
        <v>0.0152</v>
      </c>
      <c r="X619" s="5">
        <v>8.1E-5</v>
      </c>
      <c r="Y619" s="2">
        <v>29.62121212</v>
      </c>
      <c r="AA619" s="2" t="s">
        <v>33</v>
      </c>
    </row>
    <row r="620">
      <c r="A620" s="2">
        <v>2006.0</v>
      </c>
      <c r="B620" s="2" t="s">
        <v>1837</v>
      </c>
      <c r="C620" s="2" t="s">
        <v>7</v>
      </c>
      <c r="D620" s="2" t="s">
        <v>1838</v>
      </c>
      <c r="E620" s="2" t="s">
        <v>1839</v>
      </c>
      <c r="F620" s="6">
        <v>45775.625</v>
      </c>
      <c r="G620" s="2">
        <v>57435.0</v>
      </c>
      <c r="H620" s="2">
        <v>57435.0</v>
      </c>
      <c r="I620" s="2">
        <v>49659.0</v>
      </c>
      <c r="J620" s="2">
        <v>251.0</v>
      </c>
      <c r="K620" s="2">
        <v>204.0</v>
      </c>
      <c r="L620" s="2">
        <v>3.0</v>
      </c>
      <c r="M620" s="4">
        <v>6142.0</v>
      </c>
      <c r="N620" s="2" t="s">
        <v>30</v>
      </c>
      <c r="O620" s="2">
        <v>70.0</v>
      </c>
      <c r="P620" s="2" t="s">
        <v>31</v>
      </c>
      <c r="Q620" s="2" t="s">
        <v>32</v>
      </c>
      <c r="R620" s="2">
        <v>22.0</v>
      </c>
      <c r="T620" s="2" t="s">
        <v>47</v>
      </c>
      <c r="U620" s="2" t="b">
        <v>0</v>
      </c>
      <c r="V620" s="5">
        <v>0.0041</v>
      </c>
      <c r="W620" s="5">
        <v>0.0147</v>
      </c>
      <c r="X620" s="5">
        <v>6.0E-5</v>
      </c>
      <c r="Y620" s="2">
        <v>30.10784314</v>
      </c>
      <c r="Z620" s="2">
        <v>5165.0</v>
      </c>
      <c r="AA620" s="2" t="s">
        <v>33</v>
      </c>
    </row>
    <row r="621">
      <c r="A621" s="2">
        <v>2009.0</v>
      </c>
      <c r="B621" s="2" t="s">
        <v>1840</v>
      </c>
      <c r="C621" s="2" t="s">
        <v>7</v>
      </c>
      <c r="D621" s="2" t="s">
        <v>1841</v>
      </c>
      <c r="E621" s="2" t="s">
        <v>1842</v>
      </c>
      <c r="F621" s="6">
        <v>45775.708333333336</v>
      </c>
      <c r="G621" s="2">
        <v>44301.0</v>
      </c>
      <c r="H621" s="2">
        <v>44301.0</v>
      </c>
      <c r="I621" s="2">
        <v>36899.0</v>
      </c>
      <c r="J621" s="2">
        <v>344.0</v>
      </c>
      <c r="K621" s="2">
        <v>278.0</v>
      </c>
      <c r="L621" s="2">
        <v>11.0</v>
      </c>
      <c r="M621" s="4">
        <v>23800.0</v>
      </c>
      <c r="N621" s="2" t="s">
        <v>36</v>
      </c>
      <c r="O621" s="2">
        <v>71.0</v>
      </c>
      <c r="P621" s="2" t="s">
        <v>31</v>
      </c>
      <c r="Q621" s="2" t="s">
        <v>32</v>
      </c>
      <c r="R621" s="2">
        <v>28.0</v>
      </c>
      <c r="U621" s="2" t="b">
        <v>0</v>
      </c>
      <c r="V621" s="5">
        <v>0.0075</v>
      </c>
      <c r="W621" s="5">
        <v>0.0396</v>
      </c>
      <c r="X621" s="5">
        <v>2.98E-4</v>
      </c>
      <c r="Y621" s="2">
        <v>85.61151079</v>
      </c>
      <c r="AA621" s="2" t="s">
        <v>33</v>
      </c>
    </row>
    <row r="622">
      <c r="A622" s="2">
        <v>2008.0</v>
      </c>
      <c r="B622" s="2" t="s">
        <v>1843</v>
      </c>
      <c r="C622" s="2" t="s">
        <v>7</v>
      </c>
      <c r="D622" s="2" t="s">
        <v>1844</v>
      </c>
      <c r="E622" s="2" t="s">
        <v>1845</v>
      </c>
      <c r="F622" s="6">
        <v>45775.708333333336</v>
      </c>
      <c r="G622" s="2">
        <v>57470.0</v>
      </c>
      <c r="H622" s="2">
        <v>57470.0</v>
      </c>
      <c r="I622" s="2">
        <v>49671.0</v>
      </c>
      <c r="J622" s="2">
        <v>498.0</v>
      </c>
      <c r="K622" s="2">
        <v>411.0</v>
      </c>
      <c r="L622" s="2">
        <v>4.0</v>
      </c>
      <c r="M622" s="4">
        <v>7646.0</v>
      </c>
      <c r="N622" s="2" t="s">
        <v>30</v>
      </c>
      <c r="O622" s="2">
        <v>70.0</v>
      </c>
      <c r="P622" s="2" t="s">
        <v>31</v>
      </c>
      <c r="Q622" s="2" t="s">
        <v>32</v>
      </c>
      <c r="R622" s="2">
        <v>36.0</v>
      </c>
      <c r="T622" s="2" t="s">
        <v>47</v>
      </c>
      <c r="U622" s="2" t="b">
        <v>0</v>
      </c>
      <c r="V622" s="5">
        <v>0.0083</v>
      </c>
      <c r="W622" s="5">
        <v>0.0097</v>
      </c>
      <c r="X622" s="5">
        <v>8.1E-5</v>
      </c>
      <c r="Y622" s="2">
        <v>18.60340633</v>
      </c>
      <c r="AA622" s="2" t="s">
        <v>33</v>
      </c>
    </row>
    <row r="623">
      <c r="A623" s="2">
        <v>2010.0</v>
      </c>
      <c r="B623" s="2" t="s">
        <v>1846</v>
      </c>
      <c r="C623" s="2" t="s">
        <v>7</v>
      </c>
      <c r="D623" s="2" t="s">
        <v>1847</v>
      </c>
      <c r="E623" s="2" t="s">
        <v>1848</v>
      </c>
      <c r="F623" s="6">
        <v>45776.48611111111</v>
      </c>
      <c r="G623" s="2">
        <v>57598.0</v>
      </c>
      <c r="H623" s="2">
        <v>57598.0</v>
      </c>
      <c r="I623" s="2">
        <v>49670.0</v>
      </c>
      <c r="J623" s="2">
        <v>380.0</v>
      </c>
      <c r="K623" s="2">
        <v>308.0</v>
      </c>
      <c r="L623" s="2">
        <v>6.0</v>
      </c>
      <c r="M623" s="4">
        <v>16616.0</v>
      </c>
      <c r="N623" s="2" t="s">
        <v>30</v>
      </c>
      <c r="O623" s="2">
        <v>70.0</v>
      </c>
      <c r="P623" s="2" t="s">
        <v>31</v>
      </c>
      <c r="Q623" s="2" t="s">
        <v>32</v>
      </c>
      <c r="R623" s="2">
        <v>30.0</v>
      </c>
      <c r="T623" s="2" t="s">
        <v>47</v>
      </c>
      <c r="U623" s="2" t="b">
        <v>0</v>
      </c>
      <c r="V623" s="5">
        <v>0.0062</v>
      </c>
      <c r="W623" s="5">
        <v>0.0195</v>
      </c>
      <c r="X623" s="5">
        <v>1.21E-4</v>
      </c>
      <c r="Y623" s="2">
        <v>53.94805195</v>
      </c>
      <c r="AA623" s="2" t="s">
        <v>33</v>
      </c>
    </row>
    <row r="624">
      <c r="A624" s="2">
        <v>2011.0</v>
      </c>
      <c r="B624" s="2" t="s">
        <v>1849</v>
      </c>
      <c r="C624" s="2" t="s">
        <v>7</v>
      </c>
      <c r="D624" s="2" t="s">
        <v>1850</v>
      </c>
      <c r="E624" s="2" t="s">
        <v>1851</v>
      </c>
      <c r="F624" s="6">
        <v>45776.486805555556</v>
      </c>
      <c r="G624" s="2">
        <v>44432.0</v>
      </c>
      <c r="H624" s="2">
        <v>44432.0</v>
      </c>
      <c r="I624" s="2">
        <v>36850.0</v>
      </c>
      <c r="J624" s="2">
        <v>298.0</v>
      </c>
      <c r="K624" s="2">
        <v>246.0</v>
      </c>
      <c r="L624" s="2">
        <v>5.0</v>
      </c>
      <c r="M624" s="4">
        <v>16304.0</v>
      </c>
      <c r="N624" s="2" t="s">
        <v>36</v>
      </c>
      <c r="O624" s="2">
        <v>71.0</v>
      </c>
      <c r="P624" s="2" t="s">
        <v>31</v>
      </c>
      <c r="Q624" s="2" t="s">
        <v>32</v>
      </c>
      <c r="R624" s="2">
        <v>24.0</v>
      </c>
      <c r="T624" s="2" t="s">
        <v>47</v>
      </c>
      <c r="U624" s="2" t="b">
        <v>0</v>
      </c>
      <c r="V624" s="5">
        <v>0.0067</v>
      </c>
      <c r="W624" s="5">
        <v>0.0203</v>
      </c>
      <c r="X624" s="5">
        <v>1.36E-4</v>
      </c>
      <c r="Y624" s="2">
        <v>66.27642276</v>
      </c>
      <c r="AA624" s="2" t="s">
        <v>33</v>
      </c>
    </row>
    <row r="625">
      <c r="A625" s="2">
        <v>2013.0</v>
      </c>
      <c r="B625" s="2" t="s">
        <v>1852</v>
      </c>
      <c r="C625" s="2" t="s">
        <v>7</v>
      </c>
      <c r="D625" s="2" t="s">
        <v>1853</v>
      </c>
      <c r="E625" s="2" t="s">
        <v>1854</v>
      </c>
      <c r="F625" s="6">
        <v>45776.625</v>
      </c>
      <c r="G625" s="2">
        <v>44471.0</v>
      </c>
      <c r="H625" s="2">
        <v>44471.0</v>
      </c>
      <c r="I625" s="2">
        <v>37042.0</v>
      </c>
      <c r="J625" s="2">
        <v>270.0</v>
      </c>
      <c r="K625" s="2">
        <v>211.0</v>
      </c>
      <c r="L625" s="2">
        <v>5.0</v>
      </c>
      <c r="M625" s="4">
        <v>18629.0</v>
      </c>
      <c r="N625" s="2" t="s">
        <v>36</v>
      </c>
      <c r="O625" s="2">
        <v>71.0</v>
      </c>
      <c r="P625" s="2" t="s">
        <v>31</v>
      </c>
      <c r="Q625" s="2" t="s">
        <v>32</v>
      </c>
      <c r="R625" s="2">
        <v>29.0</v>
      </c>
      <c r="T625" s="2" t="s">
        <v>58</v>
      </c>
      <c r="U625" s="2" t="b">
        <v>1</v>
      </c>
      <c r="V625" s="5">
        <v>0.0057</v>
      </c>
      <c r="W625" s="5">
        <v>0.0237</v>
      </c>
      <c r="X625" s="5">
        <v>1.35E-4</v>
      </c>
      <c r="Y625" s="2">
        <v>88.28909953</v>
      </c>
      <c r="AA625" s="2" t="s">
        <v>33</v>
      </c>
    </row>
    <row r="626">
      <c r="A626" s="2">
        <v>2012.0</v>
      </c>
      <c r="B626" s="2" t="s">
        <v>1855</v>
      </c>
      <c r="C626" s="2" t="s">
        <v>7</v>
      </c>
      <c r="D626" s="2" t="s">
        <v>1856</v>
      </c>
      <c r="E626" s="2" t="s">
        <v>1857</v>
      </c>
      <c r="F626" s="6">
        <v>45776.625</v>
      </c>
      <c r="G626" s="2">
        <v>57646.0</v>
      </c>
      <c r="H626" s="2">
        <v>57646.0</v>
      </c>
      <c r="I626" s="2">
        <v>49806.0</v>
      </c>
      <c r="J626" s="2">
        <v>326.0</v>
      </c>
      <c r="K626" s="2">
        <v>261.0</v>
      </c>
      <c r="L626" s="2">
        <v>6.0</v>
      </c>
      <c r="M626" s="4">
        <v>14526.0</v>
      </c>
      <c r="N626" s="2" t="s">
        <v>30</v>
      </c>
      <c r="O626" s="2">
        <v>70.0</v>
      </c>
      <c r="P626" s="2" t="s">
        <v>31</v>
      </c>
      <c r="Q626" s="2" t="s">
        <v>32</v>
      </c>
      <c r="R626" s="2">
        <v>32.0</v>
      </c>
      <c r="T626" s="2" t="s">
        <v>58</v>
      </c>
      <c r="U626" s="2" t="b">
        <v>0</v>
      </c>
      <c r="V626" s="5">
        <v>0.0052</v>
      </c>
      <c r="W626" s="5">
        <v>0.023</v>
      </c>
      <c r="X626" s="5">
        <v>1.2E-4</v>
      </c>
      <c r="Y626" s="2">
        <v>55.65517241</v>
      </c>
      <c r="Z626" s="2">
        <v>1728.0</v>
      </c>
      <c r="AA626" s="2" t="s">
        <v>33</v>
      </c>
    </row>
    <row r="627">
      <c r="A627" s="2">
        <v>2015.0</v>
      </c>
      <c r="B627" s="2" t="s">
        <v>1858</v>
      </c>
      <c r="C627" s="2" t="s">
        <v>7</v>
      </c>
      <c r="D627" s="2" t="s">
        <v>1859</v>
      </c>
      <c r="E627" s="2" t="s">
        <v>1860</v>
      </c>
      <c r="F627" s="6">
        <v>45776.708333333336</v>
      </c>
      <c r="G627" s="2">
        <v>44480.0</v>
      </c>
      <c r="H627" s="2">
        <v>44480.0</v>
      </c>
      <c r="I627" s="2">
        <v>37053.0</v>
      </c>
      <c r="J627" s="2">
        <v>277.0</v>
      </c>
      <c r="K627" s="2">
        <v>216.0</v>
      </c>
      <c r="L627" s="2">
        <v>6.0</v>
      </c>
      <c r="M627" s="4">
        <v>14626.0</v>
      </c>
      <c r="N627" s="2" t="s">
        <v>36</v>
      </c>
      <c r="O627" s="2">
        <v>71.0</v>
      </c>
      <c r="P627" s="2" t="s">
        <v>31</v>
      </c>
      <c r="Q627" s="2" t="s">
        <v>32</v>
      </c>
      <c r="R627" s="2">
        <v>44.0</v>
      </c>
      <c r="U627" s="2" t="b">
        <v>0</v>
      </c>
      <c r="V627" s="5">
        <v>0.0058</v>
      </c>
      <c r="W627" s="5">
        <v>0.0278</v>
      </c>
      <c r="X627" s="5">
        <v>1.62E-4</v>
      </c>
      <c r="Y627" s="2">
        <v>67.71296296</v>
      </c>
      <c r="AA627" s="2" t="s">
        <v>33</v>
      </c>
    </row>
    <row r="628">
      <c r="A628" s="2">
        <v>2014.0</v>
      </c>
      <c r="B628" s="2" t="s">
        <v>1861</v>
      </c>
      <c r="C628" s="2" t="s">
        <v>7</v>
      </c>
      <c r="D628" s="2" t="s">
        <v>1862</v>
      </c>
      <c r="E628" s="2" t="s">
        <v>1863</v>
      </c>
      <c r="F628" s="6">
        <v>45776.708333333336</v>
      </c>
      <c r="G628" s="2">
        <v>57678.0</v>
      </c>
      <c r="H628" s="2">
        <v>57678.0</v>
      </c>
      <c r="I628" s="2">
        <v>49840.0</v>
      </c>
      <c r="J628" s="2">
        <v>328.0</v>
      </c>
      <c r="K628" s="2">
        <v>261.0</v>
      </c>
      <c r="L628" s="2">
        <v>3.0</v>
      </c>
      <c r="M628" s="4">
        <v>4600.0</v>
      </c>
      <c r="N628" s="2" t="s">
        <v>30</v>
      </c>
      <c r="O628" s="2">
        <v>70.0</v>
      </c>
      <c r="P628" s="2" t="s">
        <v>31</v>
      </c>
      <c r="Q628" s="2" t="s">
        <v>32</v>
      </c>
      <c r="R628" s="2">
        <v>44.0</v>
      </c>
      <c r="T628" s="2" t="s">
        <v>47</v>
      </c>
      <c r="U628" s="2" t="b">
        <v>0</v>
      </c>
      <c r="V628" s="5">
        <v>0.0052</v>
      </c>
      <c r="W628" s="5">
        <v>0.0115</v>
      </c>
      <c r="X628" s="5">
        <v>6.0E-5</v>
      </c>
      <c r="Y628" s="2">
        <v>17.62452107</v>
      </c>
      <c r="Z628" s="2">
        <v>3005.0</v>
      </c>
      <c r="AA628" s="2" t="s">
        <v>33</v>
      </c>
    </row>
    <row r="629">
      <c r="A629" s="2">
        <v>2016.0</v>
      </c>
      <c r="B629" s="2" t="s">
        <v>1864</v>
      </c>
      <c r="C629" s="2" t="s">
        <v>7</v>
      </c>
      <c r="D629" s="2" t="s">
        <v>170</v>
      </c>
      <c r="E629" s="2" t="s">
        <v>288</v>
      </c>
      <c r="F629" s="6">
        <v>45777.46944444445</v>
      </c>
      <c r="G629" s="2">
        <v>57763.0</v>
      </c>
      <c r="H629" s="2">
        <v>57763.0</v>
      </c>
      <c r="I629" s="2">
        <v>49794.0</v>
      </c>
      <c r="J629" s="2">
        <v>238.0</v>
      </c>
      <c r="K629" s="2">
        <v>209.0</v>
      </c>
      <c r="L629" s="2">
        <v>5.0</v>
      </c>
      <c r="M629" s="4">
        <v>13784.0</v>
      </c>
      <c r="N629" s="2" t="s">
        <v>30</v>
      </c>
      <c r="O629" s="2">
        <v>70.0</v>
      </c>
      <c r="P629" s="2" t="s">
        <v>31</v>
      </c>
      <c r="Q629" s="2" t="s">
        <v>32</v>
      </c>
      <c r="R629" s="2">
        <v>27.0</v>
      </c>
      <c r="T629" s="2" t="s">
        <v>162</v>
      </c>
      <c r="U629" s="2" t="b">
        <v>0</v>
      </c>
      <c r="V629" s="5">
        <v>0.0042</v>
      </c>
      <c r="W629" s="5">
        <v>0.0239</v>
      </c>
      <c r="X629" s="5">
        <v>1.0E-4</v>
      </c>
      <c r="Y629" s="2">
        <v>65.95215311</v>
      </c>
      <c r="AA629" s="2" t="s">
        <v>33</v>
      </c>
    </row>
    <row r="630">
      <c r="A630" s="2">
        <v>2017.0</v>
      </c>
      <c r="B630" s="2" t="s">
        <v>1865</v>
      </c>
      <c r="C630" s="2" t="s">
        <v>7</v>
      </c>
      <c r="D630" s="2" t="s">
        <v>172</v>
      </c>
      <c r="E630" s="2" t="s">
        <v>290</v>
      </c>
      <c r="F630" s="6">
        <v>45777.47083333333</v>
      </c>
      <c r="G630" s="2">
        <v>44662.0</v>
      </c>
      <c r="H630" s="2">
        <v>44662.0</v>
      </c>
      <c r="I630" s="2">
        <v>37003.0</v>
      </c>
      <c r="J630" s="2">
        <v>207.0</v>
      </c>
      <c r="K630" s="2">
        <v>182.0</v>
      </c>
      <c r="L630" s="2">
        <v>2.0</v>
      </c>
      <c r="M630" s="4">
        <v>2195.0</v>
      </c>
      <c r="N630" s="2" t="s">
        <v>36</v>
      </c>
      <c r="O630" s="2">
        <v>71.0</v>
      </c>
      <c r="P630" s="2" t="s">
        <v>31</v>
      </c>
      <c r="Q630" s="2" t="s">
        <v>32</v>
      </c>
      <c r="R630" s="2">
        <v>24.0</v>
      </c>
      <c r="U630" s="2" t="b">
        <v>0</v>
      </c>
      <c r="V630" s="5">
        <v>0.0049</v>
      </c>
      <c r="W630" s="5">
        <v>0.011</v>
      </c>
      <c r="X630" s="5">
        <v>5.4E-5</v>
      </c>
      <c r="Y630" s="2">
        <v>12.06043956</v>
      </c>
      <c r="AA630" s="2" t="s">
        <v>33</v>
      </c>
    </row>
    <row r="631">
      <c r="A631" s="2">
        <v>2019.0</v>
      </c>
      <c r="B631" s="2" t="s">
        <v>1866</v>
      </c>
      <c r="C631" s="2" t="s">
        <v>7</v>
      </c>
      <c r="D631" s="2" t="s">
        <v>1867</v>
      </c>
      <c r="E631" s="2" t="s">
        <v>1868</v>
      </c>
      <c r="F631" s="6">
        <v>45777.625</v>
      </c>
      <c r="G631" s="2">
        <v>44668.0</v>
      </c>
      <c r="H631" s="2">
        <v>44668.0</v>
      </c>
      <c r="I631" s="2">
        <v>37249.0</v>
      </c>
      <c r="J631" s="2">
        <v>339.0</v>
      </c>
      <c r="K631" s="2">
        <v>266.0</v>
      </c>
      <c r="L631" s="2">
        <v>10.0</v>
      </c>
      <c r="M631" s="4">
        <v>33602.0</v>
      </c>
      <c r="N631" s="2" t="s">
        <v>36</v>
      </c>
      <c r="O631" s="2">
        <v>71.0</v>
      </c>
      <c r="P631" s="2" t="s">
        <v>31</v>
      </c>
      <c r="Q631" s="2" t="s">
        <v>32</v>
      </c>
      <c r="R631" s="2">
        <v>39.0</v>
      </c>
      <c r="T631" s="2" t="s">
        <v>47</v>
      </c>
      <c r="U631" s="2" t="b">
        <v>0</v>
      </c>
      <c r="V631" s="5">
        <v>0.0071</v>
      </c>
      <c r="W631" s="5">
        <v>0.0376</v>
      </c>
      <c r="X631" s="5">
        <v>2.68E-4</v>
      </c>
      <c r="Y631" s="2">
        <v>126.3233083</v>
      </c>
      <c r="AA631" s="2" t="s">
        <v>33</v>
      </c>
    </row>
    <row r="632">
      <c r="A632" s="2">
        <v>2018.0</v>
      </c>
      <c r="B632" s="2" t="s">
        <v>1869</v>
      </c>
      <c r="C632" s="2" t="s">
        <v>7</v>
      </c>
      <c r="D632" s="2" t="s">
        <v>1870</v>
      </c>
      <c r="E632" s="2" t="s">
        <v>1871</v>
      </c>
      <c r="F632" s="6">
        <v>45777.625</v>
      </c>
      <c r="G632" s="2">
        <v>57792.0</v>
      </c>
      <c r="H632" s="2">
        <v>57792.0</v>
      </c>
      <c r="I632" s="2">
        <v>49917.0</v>
      </c>
      <c r="J632" s="2">
        <v>404.0</v>
      </c>
      <c r="K632" s="2">
        <v>326.0</v>
      </c>
      <c r="L632" s="2">
        <v>6.0</v>
      </c>
      <c r="M632" s="4">
        <v>23370.0</v>
      </c>
      <c r="N632" s="2" t="s">
        <v>30</v>
      </c>
      <c r="O632" s="2">
        <v>70.0</v>
      </c>
      <c r="P632" s="2" t="s">
        <v>31</v>
      </c>
      <c r="Q632" s="2" t="s">
        <v>32</v>
      </c>
      <c r="R632" s="2">
        <v>36.0</v>
      </c>
      <c r="T632" s="2" t="s">
        <v>1872</v>
      </c>
      <c r="U632" s="2" t="b">
        <v>0</v>
      </c>
      <c r="V632" s="5">
        <v>0.0065</v>
      </c>
      <c r="W632" s="5">
        <v>0.0184</v>
      </c>
      <c r="X632" s="5">
        <v>1.2E-4</v>
      </c>
      <c r="Y632" s="2">
        <v>71.68711656</v>
      </c>
      <c r="Z632" s="2">
        <v>5456.0</v>
      </c>
      <c r="AA632" s="2" t="s">
        <v>33</v>
      </c>
    </row>
    <row r="633">
      <c r="A633" s="2">
        <v>2021.0</v>
      </c>
      <c r="B633" s="2" t="s">
        <v>1873</v>
      </c>
      <c r="C633" s="2" t="s">
        <v>7</v>
      </c>
      <c r="D633" s="2" t="s">
        <v>1874</v>
      </c>
      <c r="E633" s="2" t="s">
        <v>1875</v>
      </c>
      <c r="F633" s="6">
        <v>45777.708333333336</v>
      </c>
      <c r="G633" s="2">
        <v>44697.0</v>
      </c>
      <c r="H633" s="2">
        <v>44697.0</v>
      </c>
      <c r="I633" s="2">
        <v>37334.0</v>
      </c>
      <c r="J633" s="2">
        <v>233.0</v>
      </c>
      <c r="K633" s="2">
        <v>178.0</v>
      </c>
      <c r="L633" s="2">
        <v>3.0</v>
      </c>
      <c r="M633" s="4">
        <v>10300.0</v>
      </c>
      <c r="N633" s="2" t="s">
        <v>36</v>
      </c>
      <c r="O633" s="2">
        <v>71.0</v>
      </c>
      <c r="P633" s="2" t="s">
        <v>31</v>
      </c>
      <c r="Q633" s="2" t="s">
        <v>32</v>
      </c>
      <c r="R633" s="2">
        <v>27.0</v>
      </c>
      <c r="T633" s="2" t="s">
        <v>47</v>
      </c>
      <c r="U633" s="2" t="b">
        <v>0</v>
      </c>
      <c r="V633" s="5">
        <v>0.0048</v>
      </c>
      <c r="W633" s="5">
        <v>0.0169</v>
      </c>
      <c r="X633" s="5">
        <v>8.0E-5</v>
      </c>
      <c r="Y633" s="2">
        <v>57.86516854</v>
      </c>
      <c r="AA633" s="2" t="s">
        <v>33</v>
      </c>
    </row>
    <row r="634">
      <c r="A634" s="2">
        <v>2020.0</v>
      </c>
      <c r="B634" s="2" t="s">
        <v>1876</v>
      </c>
      <c r="C634" s="2" t="s">
        <v>7</v>
      </c>
      <c r="D634" s="2" t="s">
        <v>1877</v>
      </c>
      <c r="E634" s="2" t="s">
        <v>1878</v>
      </c>
      <c r="F634" s="6">
        <v>45777.708333333336</v>
      </c>
      <c r="G634" s="2">
        <v>57840.0</v>
      </c>
      <c r="H634" s="2">
        <v>57840.0</v>
      </c>
      <c r="I634" s="2">
        <v>49995.0</v>
      </c>
      <c r="J634" s="2">
        <v>241.0</v>
      </c>
      <c r="K634" s="2">
        <v>199.0</v>
      </c>
      <c r="L634" s="2">
        <v>3.0</v>
      </c>
      <c r="M634" s="4">
        <v>8291.0</v>
      </c>
      <c r="N634" s="2" t="s">
        <v>30</v>
      </c>
      <c r="O634" s="2">
        <v>70.0</v>
      </c>
      <c r="P634" s="2" t="s">
        <v>31</v>
      </c>
      <c r="Q634" s="2" t="s">
        <v>32</v>
      </c>
      <c r="R634" s="2">
        <v>25.0</v>
      </c>
      <c r="T634" s="2" t="s">
        <v>47</v>
      </c>
      <c r="U634" s="2" t="b">
        <v>0</v>
      </c>
      <c r="V634" s="5">
        <v>0.004</v>
      </c>
      <c r="W634" s="5">
        <v>0.0151</v>
      </c>
      <c r="X634" s="5">
        <v>6.0E-5</v>
      </c>
      <c r="Y634" s="2">
        <v>41.66331658</v>
      </c>
      <c r="AA634" s="2" t="s">
        <v>33</v>
      </c>
    </row>
    <row r="635">
      <c r="A635" s="2">
        <v>2023.0</v>
      </c>
      <c r="B635" s="2" t="s">
        <v>1879</v>
      </c>
      <c r="C635" s="2" t="s">
        <v>7</v>
      </c>
      <c r="D635" s="2" t="s">
        <v>1880</v>
      </c>
      <c r="E635" s="2" t="s">
        <v>1881</v>
      </c>
      <c r="F635" s="6">
        <v>45777.833333333336</v>
      </c>
      <c r="G635" s="2">
        <v>44739.0</v>
      </c>
      <c r="H635" s="2">
        <v>44739.0</v>
      </c>
      <c r="I635" s="2">
        <v>37227.0</v>
      </c>
      <c r="J635" s="2">
        <v>343.0</v>
      </c>
      <c r="K635" s="2">
        <v>269.0</v>
      </c>
      <c r="L635" s="2">
        <v>4.0</v>
      </c>
      <c r="M635" s="4">
        <v>21490.0</v>
      </c>
      <c r="N635" s="2" t="s">
        <v>36</v>
      </c>
      <c r="O635" s="2">
        <v>71.0</v>
      </c>
      <c r="P635" s="2" t="s">
        <v>31</v>
      </c>
      <c r="Q635" s="2" t="s">
        <v>32</v>
      </c>
      <c r="R635" s="2">
        <v>32.0</v>
      </c>
      <c r="U635" s="2" t="b">
        <v>0</v>
      </c>
      <c r="V635" s="5">
        <v>0.0072</v>
      </c>
      <c r="W635" s="5">
        <v>0.0149</v>
      </c>
      <c r="X635" s="5">
        <v>1.07E-4</v>
      </c>
      <c r="Y635" s="2">
        <v>79.88847584</v>
      </c>
      <c r="AA635" s="2" t="s">
        <v>33</v>
      </c>
    </row>
    <row r="636">
      <c r="A636" s="2">
        <v>2022.0</v>
      </c>
      <c r="B636" s="2" t="s">
        <v>1882</v>
      </c>
      <c r="C636" s="2" t="s">
        <v>7</v>
      </c>
      <c r="D636" s="2" t="s">
        <v>1883</v>
      </c>
      <c r="E636" s="2" t="s">
        <v>1884</v>
      </c>
      <c r="F636" s="6">
        <v>45777.833333333336</v>
      </c>
      <c r="G636" s="2">
        <v>57910.0</v>
      </c>
      <c r="H636" s="2">
        <v>57910.0</v>
      </c>
      <c r="I636" s="2">
        <v>49965.0</v>
      </c>
      <c r="J636" s="2">
        <v>362.0</v>
      </c>
      <c r="K636" s="2">
        <v>288.0</v>
      </c>
      <c r="L636" s="2">
        <v>3.0</v>
      </c>
      <c r="M636" s="4">
        <v>3381.0</v>
      </c>
      <c r="N636" s="2" t="s">
        <v>30</v>
      </c>
      <c r="O636" s="2">
        <v>70.0</v>
      </c>
      <c r="P636" s="2" t="s">
        <v>31</v>
      </c>
      <c r="Q636" s="2" t="s">
        <v>32</v>
      </c>
      <c r="R636" s="2">
        <v>40.0</v>
      </c>
      <c r="T636" s="2" t="s">
        <v>47</v>
      </c>
      <c r="U636" s="2" t="b">
        <v>0</v>
      </c>
      <c r="V636" s="5">
        <v>0.0058</v>
      </c>
      <c r="W636" s="5">
        <v>0.0104</v>
      </c>
      <c r="X636" s="5">
        <v>6.0E-5</v>
      </c>
      <c r="Y636" s="2">
        <v>11.73958333</v>
      </c>
      <c r="AA636" s="2" t="s">
        <v>33</v>
      </c>
    </row>
    <row r="637">
      <c r="A637" s="2">
        <v>2025.0</v>
      </c>
      <c r="B637" s="2" t="s">
        <v>1885</v>
      </c>
      <c r="C637" s="2" t="s">
        <v>7</v>
      </c>
      <c r="D637" s="2" t="s">
        <v>1886</v>
      </c>
      <c r="E637" s="2" t="s">
        <v>1887</v>
      </c>
      <c r="F637" s="6">
        <v>45778.458333333336</v>
      </c>
      <c r="G637" s="2">
        <v>44808.0</v>
      </c>
      <c r="H637" s="2">
        <v>44808.0</v>
      </c>
      <c r="I637" s="2">
        <v>36960.0</v>
      </c>
      <c r="J637" s="2">
        <v>319.0</v>
      </c>
      <c r="K637" s="2">
        <v>260.0</v>
      </c>
      <c r="L637" s="2">
        <v>5.0</v>
      </c>
      <c r="M637" s="4">
        <v>12110.0</v>
      </c>
      <c r="N637" s="2" t="s">
        <v>36</v>
      </c>
      <c r="O637" s="2">
        <v>71.0</v>
      </c>
      <c r="P637" s="2" t="s">
        <v>31</v>
      </c>
      <c r="Q637" s="2" t="s">
        <v>32</v>
      </c>
      <c r="R637" s="2">
        <v>23.0</v>
      </c>
      <c r="T637" s="2" t="s">
        <v>1185</v>
      </c>
      <c r="U637" s="2" t="b">
        <v>1</v>
      </c>
      <c r="V637" s="5">
        <v>0.007</v>
      </c>
      <c r="W637" s="5">
        <v>0.0192</v>
      </c>
      <c r="X637" s="5">
        <v>1.35E-4</v>
      </c>
      <c r="Y637" s="2">
        <v>46.57692308</v>
      </c>
      <c r="AA637" s="2" t="s">
        <v>33</v>
      </c>
    </row>
    <row r="638">
      <c r="A638" s="2">
        <v>2024.0</v>
      </c>
      <c r="B638" s="2" t="s">
        <v>1888</v>
      </c>
      <c r="C638" s="2" t="s">
        <v>7</v>
      </c>
      <c r="D638" s="2" t="s">
        <v>1889</v>
      </c>
      <c r="E638" s="2" t="s">
        <v>1890</v>
      </c>
      <c r="F638" s="6">
        <v>45778.458333333336</v>
      </c>
      <c r="G638" s="2">
        <v>57958.0</v>
      </c>
      <c r="H638" s="2">
        <v>57958.0</v>
      </c>
      <c r="I638" s="2">
        <v>49842.0</v>
      </c>
      <c r="J638" s="2">
        <v>412.0</v>
      </c>
      <c r="K638" s="2">
        <v>345.0</v>
      </c>
      <c r="L638" s="2">
        <v>12.0</v>
      </c>
      <c r="M638" s="4">
        <v>30526.0</v>
      </c>
      <c r="N638" s="2" t="s">
        <v>30</v>
      </c>
      <c r="O638" s="2">
        <v>70.0</v>
      </c>
      <c r="P638" s="2" t="s">
        <v>31</v>
      </c>
      <c r="Q638" s="2" t="s">
        <v>32</v>
      </c>
      <c r="R638" s="2">
        <v>33.0</v>
      </c>
      <c r="T638" s="2" t="s">
        <v>58</v>
      </c>
      <c r="U638" s="2" t="b">
        <v>0</v>
      </c>
      <c r="V638" s="5">
        <v>0.0069</v>
      </c>
      <c r="W638" s="5">
        <v>0.0348</v>
      </c>
      <c r="X638" s="5">
        <v>2.41E-4</v>
      </c>
      <c r="Y638" s="2">
        <v>88.48115942</v>
      </c>
      <c r="AA638" s="2" t="s">
        <v>33</v>
      </c>
    </row>
    <row r="639">
      <c r="A639" s="2">
        <v>2027.0</v>
      </c>
      <c r="B639" s="2" t="s">
        <v>1891</v>
      </c>
      <c r="C639" s="2" t="s">
        <v>7</v>
      </c>
      <c r="D639" s="2" t="s">
        <v>1892</v>
      </c>
      <c r="E639" s="2" t="s">
        <v>1893</v>
      </c>
      <c r="F639" s="6">
        <v>45778.625</v>
      </c>
      <c r="G639" s="2">
        <v>44867.0</v>
      </c>
      <c r="H639" s="2">
        <v>44867.0</v>
      </c>
      <c r="I639" s="2">
        <v>37336.0</v>
      </c>
      <c r="J639" s="2">
        <v>228.0</v>
      </c>
      <c r="K639" s="2">
        <v>179.0</v>
      </c>
      <c r="L639" s="2">
        <v>1.0</v>
      </c>
      <c r="M639" s="4">
        <v>3780.0</v>
      </c>
      <c r="N639" s="2" t="s">
        <v>36</v>
      </c>
      <c r="O639" s="2">
        <v>71.0</v>
      </c>
      <c r="P639" s="2" t="s">
        <v>31</v>
      </c>
      <c r="Q639" s="2" t="s">
        <v>32</v>
      </c>
      <c r="R639" s="2">
        <v>23.0</v>
      </c>
      <c r="U639" s="2" t="b">
        <v>0</v>
      </c>
      <c r="V639" s="5">
        <v>0.0048</v>
      </c>
      <c r="W639" s="5">
        <v>0.0056</v>
      </c>
      <c r="X639" s="5">
        <v>2.7E-5</v>
      </c>
      <c r="Y639" s="2">
        <v>21.11731844</v>
      </c>
      <c r="AA639" s="2" t="s">
        <v>33</v>
      </c>
    </row>
    <row r="640">
      <c r="A640" s="2">
        <v>2026.0</v>
      </c>
      <c r="B640" s="2" t="s">
        <v>1894</v>
      </c>
      <c r="C640" s="2" t="s">
        <v>7</v>
      </c>
      <c r="D640" s="2" t="s">
        <v>1895</v>
      </c>
      <c r="E640" s="2" t="s">
        <v>1896</v>
      </c>
      <c r="F640" s="6">
        <v>45778.625</v>
      </c>
      <c r="G640" s="2">
        <v>58046.0</v>
      </c>
      <c r="H640" s="2">
        <v>58046.0</v>
      </c>
      <c r="I640" s="2">
        <v>50730.0</v>
      </c>
      <c r="J640" s="2">
        <v>255.0</v>
      </c>
      <c r="K640" s="2">
        <v>200.0</v>
      </c>
      <c r="L640" s="2">
        <v>5.0</v>
      </c>
      <c r="M640" s="4">
        <v>9285.0</v>
      </c>
      <c r="N640" s="2" t="s">
        <v>30</v>
      </c>
      <c r="O640" s="2">
        <v>70.0</v>
      </c>
      <c r="P640" s="2" t="s">
        <v>31</v>
      </c>
      <c r="Q640" s="2" t="s">
        <v>32</v>
      </c>
      <c r="R640" s="2">
        <v>25.0</v>
      </c>
      <c r="U640" s="2" t="b">
        <v>0</v>
      </c>
      <c r="V640" s="5">
        <v>0.0039</v>
      </c>
      <c r="W640" s="5">
        <v>0.025</v>
      </c>
      <c r="X640" s="5">
        <v>9.9E-5</v>
      </c>
      <c r="Y640" s="2">
        <v>46.425</v>
      </c>
      <c r="Z640" s="2">
        <v>5388.0</v>
      </c>
      <c r="AA640" s="2" t="s">
        <v>33</v>
      </c>
    </row>
    <row r="641">
      <c r="A641" s="2">
        <v>2029.0</v>
      </c>
      <c r="B641" s="2" t="s">
        <v>1897</v>
      </c>
      <c r="C641" s="2" t="s">
        <v>7</v>
      </c>
      <c r="D641" s="2" t="s">
        <v>1898</v>
      </c>
      <c r="E641" s="2" t="s">
        <v>1899</v>
      </c>
      <c r="F641" s="6">
        <v>45778.708333333336</v>
      </c>
      <c r="G641" s="2">
        <v>44900.0</v>
      </c>
      <c r="H641" s="2">
        <v>44900.0</v>
      </c>
      <c r="I641" s="2">
        <v>37387.0</v>
      </c>
      <c r="J641" s="2">
        <v>275.0</v>
      </c>
      <c r="K641" s="2">
        <v>214.0</v>
      </c>
      <c r="L641" s="2">
        <v>0.0</v>
      </c>
      <c r="M641" s="2">
        <v>0.0</v>
      </c>
      <c r="N641" s="2" t="s">
        <v>36</v>
      </c>
      <c r="O641" s="2">
        <v>71.0</v>
      </c>
      <c r="P641" s="2" t="s">
        <v>31</v>
      </c>
      <c r="Q641" s="2" t="s">
        <v>32</v>
      </c>
      <c r="R641" s="2">
        <v>25.0</v>
      </c>
      <c r="T641" s="2" t="s">
        <v>47</v>
      </c>
      <c r="U641" s="2" t="b">
        <v>0</v>
      </c>
      <c r="V641" s="5">
        <v>0.0057</v>
      </c>
      <c r="W641" s="5">
        <v>0.0</v>
      </c>
      <c r="X641" s="5">
        <v>0.0</v>
      </c>
      <c r="Y641" s="2">
        <v>0.0</v>
      </c>
      <c r="AA641" s="2" t="s">
        <v>33</v>
      </c>
    </row>
    <row r="642">
      <c r="A642" s="2">
        <v>2028.0</v>
      </c>
      <c r="B642" s="2" t="s">
        <v>1900</v>
      </c>
      <c r="C642" s="2" t="s">
        <v>7</v>
      </c>
      <c r="D642" s="2" t="s">
        <v>1901</v>
      </c>
      <c r="E642" s="2" t="s">
        <v>1902</v>
      </c>
      <c r="F642" s="6">
        <v>45778.708333333336</v>
      </c>
      <c r="G642" s="2">
        <v>58097.0</v>
      </c>
      <c r="H642" s="2">
        <v>58097.0</v>
      </c>
      <c r="I642" s="2">
        <v>50214.0</v>
      </c>
      <c r="J642" s="2">
        <v>358.0</v>
      </c>
      <c r="K642" s="2">
        <v>290.0</v>
      </c>
      <c r="L642" s="2">
        <v>5.0</v>
      </c>
      <c r="M642" s="4">
        <v>12590.0</v>
      </c>
      <c r="N642" s="2" t="s">
        <v>30</v>
      </c>
      <c r="O642" s="2">
        <v>70.0</v>
      </c>
      <c r="P642" s="2" t="s">
        <v>31</v>
      </c>
      <c r="Q642" s="2" t="s">
        <v>32</v>
      </c>
      <c r="R642" s="2">
        <v>25.0</v>
      </c>
      <c r="U642" s="2" t="b">
        <v>0</v>
      </c>
      <c r="V642" s="5">
        <v>0.0058</v>
      </c>
      <c r="W642" s="5">
        <v>0.0172</v>
      </c>
      <c r="X642" s="5">
        <v>1.0E-4</v>
      </c>
      <c r="Y642" s="2">
        <v>43.4137931</v>
      </c>
      <c r="AA642" s="2" t="s">
        <v>33</v>
      </c>
    </row>
    <row r="643">
      <c r="A643" s="2">
        <v>2030.0</v>
      </c>
      <c r="B643" s="2" t="s">
        <v>1903</v>
      </c>
      <c r="C643" s="2" t="s">
        <v>7</v>
      </c>
      <c r="D643" s="2" t="s">
        <v>1904</v>
      </c>
      <c r="E643" s="2" t="s">
        <v>1905</v>
      </c>
      <c r="F643" s="6">
        <v>45779.48472222222</v>
      </c>
      <c r="G643" s="2">
        <v>58238.0</v>
      </c>
      <c r="H643" s="2">
        <v>58238.0</v>
      </c>
      <c r="I643" s="2">
        <v>50202.0</v>
      </c>
      <c r="J643" s="2">
        <v>343.0</v>
      </c>
      <c r="K643" s="2">
        <v>289.0</v>
      </c>
      <c r="L643" s="2">
        <v>7.0</v>
      </c>
      <c r="M643" s="4">
        <v>12288.0</v>
      </c>
      <c r="N643" s="2" t="s">
        <v>30</v>
      </c>
      <c r="O643" s="2">
        <v>70.0</v>
      </c>
      <c r="P643" s="2" t="s">
        <v>31</v>
      </c>
      <c r="Q643" s="2" t="s">
        <v>32</v>
      </c>
      <c r="R643" s="2">
        <v>33.0</v>
      </c>
      <c r="U643" s="2" t="b">
        <v>0</v>
      </c>
      <c r="V643" s="5">
        <v>0.0058</v>
      </c>
      <c r="W643" s="5">
        <v>0.0242</v>
      </c>
      <c r="X643" s="5">
        <v>1.39E-4</v>
      </c>
      <c r="Y643" s="2">
        <v>42.51903114</v>
      </c>
      <c r="AA643" s="2" t="s">
        <v>33</v>
      </c>
    </row>
    <row r="644">
      <c r="A644" s="2">
        <v>2031.0</v>
      </c>
      <c r="B644" s="2" t="s">
        <v>1906</v>
      </c>
      <c r="C644" s="2" t="s">
        <v>7</v>
      </c>
      <c r="D644" s="2" t="s">
        <v>1907</v>
      </c>
      <c r="E644" s="2" t="s">
        <v>1908</v>
      </c>
      <c r="F644" s="6">
        <v>45779.50625</v>
      </c>
      <c r="G644" s="2">
        <v>44993.0</v>
      </c>
      <c r="H644" s="2">
        <v>44993.0</v>
      </c>
      <c r="I644" s="2">
        <v>0.0</v>
      </c>
      <c r="J644" s="2">
        <v>0.0</v>
      </c>
      <c r="K644" s="2">
        <v>0.0</v>
      </c>
      <c r="L644" s="2">
        <v>0.0</v>
      </c>
      <c r="M644" s="2">
        <v>0.0</v>
      </c>
      <c r="N644" s="2" t="s">
        <v>36</v>
      </c>
      <c r="O644" s="2">
        <v>71.0</v>
      </c>
      <c r="P644" s="2" t="s">
        <v>31</v>
      </c>
      <c r="Q644" s="2" t="s">
        <v>32</v>
      </c>
      <c r="R644" s="2">
        <v>26.0</v>
      </c>
      <c r="T644" s="7" t="str">
        <f>IFERROR(__xludf.DUMMYFUNCTION("AI(""has offer Come X Pay X"",D644)"),"The Japanese phrase ""omakase"" translates to “I'll leave it up to you” or “to entrust”")</f>
        <v>The Japanese phrase "omakase" translates to “I'll leave it up to you” or “to entrust”</v>
      </c>
      <c r="U644" s="2" t="b">
        <v>0</v>
      </c>
      <c r="AA644" s="2" t="s">
        <v>33</v>
      </c>
    </row>
    <row r="645">
      <c r="A645" s="2">
        <v>2033.0</v>
      </c>
      <c r="B645" s="2" t="s">
        <v>1909</v>
      </c>
      <c r="C645" s="2" t="s">
        <v>7</v>
      </c>
      <c r="D645" s="2" t="s">
        <v>1910</v>
      </c>
      <c r="E645" s="2" t="s">
        <v>1911</v>
      </c>
      <c r="F645" s="6">
        <v>45779.625</v>
      </c>
      <c r="G645" s="2">
        <v>45050.0</v>
      </c>
      <c r="H645" s="2">
        <v>45050.0</v>
      </c>
      <c r="I645" s="2">
        <v>37447.0</v>
      </c>
      <c r="J645" s="2">
        <v>295.0</v>
      </c>
      <c r="K645" s="2">
        <v>234.0</v>
      </c>
      <c r="L645" s="2">
        <v>4.0</v>
      </c>
      <c r="M645" s="4">
        <v>13114.0</v>
      </c>
      <c r="N645" s="2" t="s">
        <v>36</v>
      </c>
      <c r="O645" s="2">
        <v>71.0</v>
      </c>
      <c r="P645" s="2" t="s">
        <v>31</v>
      </c>
      <c r="Q645" s="2" t="s">
        <v>32</v>
      </c>
      <c r="R645" s="2">
        <v>21.0</v>
      </c>
      <c r="T645" s="2" t="s">
        <v>162</v>
      </c>
      <c r="U645" s="2" t="b">
        <v>0</v>
      </c>
      <c r="V645" s="5">
        <v>0.0062</v>
      </c>
      <c r="W645" s="5">
        <v>0.0171</v>
      </c>
      <c r="X645" s="5">
        <v>1.07E-4</v>
      </c>
      <c r="Y645" s="2">
        <v>56.04273504</v>
      </c>
      <c r="AA645" s="2" t="s">
        <v>33</v>
      </c>
    </row>
    <row r="646">
      <c r="A646" s="2">
        <v>2032.0</v>
      </c>
      <c r="B646" s="2" t="s">
        <v>1912</v>
      </c>
      <c r="C646" s="2" t="s">
        <v>7</v>
      </c>
      <c r="D646" s="2" t="s">
        <v>1913</v>
      </c>
      <c r="E646" s="2" t="s">
        <v>1914</v>
      </c>
      <c r="F646" s="6">
        <v>45779.625</v>
      </c>
      <c r="G646" s="2">
        <v>58247.0</v>
      </c>
      <c r="H646" s="2">
        <v>58247.0</v>
      </c>
      <c r="I646" s="2">
        <v>50332.0</v>
      </c>
      <c r="J646" s="2">
        <v>284.0</v>
      </c>
      <c r="K646" s="2">
        <v>223.0</v>
      </c>
      <c r="L646" s="2">
        <v>6.0</v>
      </c>
      <c r="M646" s="4">
        <v>12550.0</v>
      </c>
      <c r="N646" s="2" t="s">
        <v>30</v>
      </c>
      <c r="O646" s="2">
        <v>70.0</v>
      </c>
      <c r="P646" s="2" t="s">
        <v>31</v>
      </c>
      <c r="Q646" s="2" t="s">
        <v>32</v>
      </c>
      <c r="R646" s="2">
        <v>34.0</v>
      </c>
      <c r="T646" s="2" t="s">
        <v>47</v>
      </c>
      <c r="U646" s="2" t="b">
        <v>0</v>
      </c>
      <c r="V646" s="5">
        <v>0.0044</v>
      </c>
      <c r="W646" s="5">
        <v>0.0269</v>
      </c>
      <c r="X646" s="5">
        <v>1.19E-4</v>
      </c>
      <c r="Y646" s="2">
        <v>56.27802691</v>
      </c>
      <c r="AA646" s="2" t="s">
        <v>33</v>
      </c>
    </row>
    <row r="647">
      <c r="A647" s="2">
        <v>2035.0</v>
      </c>
      <c r="B647" s="2" t="s">
        <v>1915</v>
      </c>
      <c r="C647" s="2" t="s">
        <v>7</v>
      </c>
      <c r="D647" s="2" t="s">
        <v>1916</v>
      </c>
      <c r="E647" s="2" t="s">
        <v>1917</v>
      </c>
      <c r="F647" s="6">
        <v>45779.708333333336</v>
      </c>
      <c r="G647" s="2">
        <v>45015.0</v>
      </c>
      <c r="H647" s="2">
        <v>45015.0</v>
      </c>
      <c r="I647" s="2">
        <v>37464.0</v>
      </c>
      <c r="J647" s="2">
        <v>257.0</v>
      </c>
      <c r="K647" s="2">
        <v>212.0</v>
      </c>
      <c r="L647" s="2">
        <v>3.0</v>
      </c>
      <c r="M647" s="4">
        <v>10072.0</v>
      </c>
      <c r="N647" s="2" t="s">
        <v>36</v>
      </c>
      <c r="O647" s="2">
        <v>71.0</v>
      </c>
      <c r="P647" s="2" t="s">
        <v>31</v>
      </c>
      <c r="Q647" s="2" t="s">
        <v>32</v>
      </c>
      <c r="R647" s="2">
        <v>39.0</v>
      </c>
      <c r="U647" s="2" t="b">
        <v>0</v>
      </c>
      <c r="V647" s="5">
        <v>0.0057</v>
      </c>
      <c r="W647" s="5">
        <v>0.0142</v>
      </c>
      <c r="X647" s="5">
        <v>8.0E-5</v>
      </c>
      <c r="Y647" s="2">
        <v>47.50943396</v>
      </c>
      <c r="AA647" s="2" t="s">
        <v>33</v>
      </c>
    </row>
    <row r="648">
      <c r="A648" s="2">
        <v>2034.0</v>
      </c>
      <c r="B648" s="2" t="s">
        <v>1918</v>
      </c>
      <c r="C648" s="2" t="s">
        <v>7</v>
      </c>
      <c r="D648" s="2" t="s">
        <v>1919</v>
      </c>
      <c r="E648" s="2" t="s">
        <v>1920</v>
      </c>
      <c r="F648" s="6">
        <v>45779.708333333336</v>
      </c>
      <c r="G648" s="2">
        <v>55282.0</v>
      </c>
      <c r="H648" s="2">
        <v>55282.0</v>
      </c>
      <c r="I648" s="2">
        <v>47769.0</v>
      </c>
      <c r="J648" s="2">
        <v>322.0</v>
      </c>
      <c r="K648" s="2">
        <v>252.0</v>
      </c>
      <c r="L648" s="2">
        <v>2.0</v>
      </c>
      <c r="M648" s="4">
        <v>4048.0</v>
      </c>
      <c r="N648" s="2" t="s">
        <v>30</v>
      </c>
      <c r="O648" s="2">
        <v>70.0</v>
      </c>
      <c r="P648" s="2" t="s">
        <v>31</v>
      </c>
      <c r="Q648" s="2" t="s">
        <v>32</v>
      </c>
      <c r="R648" s="2">
        <v>38.0</v>
      </c>
      <c r="T648" s="2" t="s">
        <v>47</v>
      </c>
      <c r="U648" s="2" t="b">
        <v>0</v>
      </c>
      <c r="V648" s="5">
        <v>0.0053</v>
      </c>
      <c r="W648" s="5">
        <v>0.0079</v>
      </c>
      <c r="X648" s="5">
        <v>4.2E-5</v>
      </c>
      <c r="Y648" s="2">
        <v>16.06349206</v>
      </c>
      <c r="Z648" s="2">
        <v>2928.0</v>
      </c>
      <c r="AA648" s="2" t="s">
        <v>33</v>
      </c>
    </row>
    <row r="649">
      <c r="A649" s="2">
        <v>2036.0</v>
      </c>
      <c r="B649" s="2" t="s">
        <v>1921</v>
      </c>
      <c r="C649" s="2" t="s">
        <v>7</v>
      </c>
      <c r="D649" s="2" t="s">
        <v>1922</v>
      </c>
      <c r="E649" s="2" t="e">
        <v>#N/A</v>
      </c>
      <c r="F649" s="6">
        <v>45781.45208333333</v>
      </c>
      <c r="G649" s="2">
        <v>57719.0</v>
      </c>
      <c r="H649" s="2">
        <v>57719.0</v>
      </c>
      <c r="I649" s="2">
        <v>49333.0</v>
      </c>
      <c r="J649" s="2">
        <v>284.0</v>
      </c>
      <c r="K649" s="2">
        <v>240.0</v>
      </c>
      <c r="L649" s="2">
        <v>4.0</v>
      </c>
      <c r="M649" s="4">
        <v>9816.0</v>
      </c>
      <c r="N649" s="2" t="s">
        <v>30</v>
      </c>
      <c r="O649" s="2">
        <v>70.0</v>
      </c>
      <c r="P649" s="2" t="s">
        <v>31</v>
      </c>
      <c r="Q649" s="2" t="s">
        <v>32</v>
      </c>
      <c r="R649" s="2">
        <v>23.0</v>
      </c>
      <c r="T649" s="2" t="s">
        <v>47</v>
      </c>
      <c r="U649" s="2" t="b">
        <v>0</v>
      </c>
      <c r="V649" s="5">
        <v>0.0049</v>
      </c>
      <c r="W649" s="5">
        <v>0.0167</v>
      </c>
      <c r="X649" s="5">
        <v>8.1E-5</v>
      </c>
      <c r="Y649" s="2">
        <v>40.9</v>
      </c>
    </row>
    <row r="650">
      <c r="A650" s="2">
        <v>2037.0</v>
      </c>
      <c r="B650" s="2" t="s">
        <v>1923</v>
      </c>
      <c r="C650" s="2" t="s">
        <v>7</v>
      </c>
      <c r="D650" s="2" t="s">
        <v>1922</v>
      </c>
      <c r="E650" s="2" t="e">
        <v>#N/A</v>
      </c>
      <c r="F650" s="6">
        <v>45781.45486111111</v>
      </c>
      <c r="G650" s="2">
        <v>44829.0</v>
      </c>
      <c r="H650" s="2">
        <v>44829.0</v>
      </c>
      <c r="I650" s="2">
        <v>36741.0</v>
      </c>
      <c r="J650" s="2">
        <v>276.0</v>
      </c>
      <c r="K650" s="2">
        <v>217.0</v>
      </c>
      <c r="L650" s="2">
        <v>3.0</v>
      </c>
      <c r="M650" s="4">
        <v>8138.0</v>
      </c>
      <c r="N650" s="2" t="s">
        <v>36</v>
      </c>
      <c r="O650" s="2">
        <v>71.0</v>
      </c>
      <c r="P650" s="2" t="s">
        <v>31</v>
      </c>
      <c r="Q650" s="2" t="s">
        <v>32</v>
      </c>
      <c r="R650" s="2">
        <v>23.0</v>
      </c>
      <c r="T650" s="2" t="s">
        <v>47</v>
      </c>
      <c r="U650" s="2" t="b">
        <v>0</v>
      </c>
      <c r="V650" s="5">
        <v>0.0059</v>
      </c>
      <c r="W650" s="5">
        <v>0.0138</v>
      </c>
      <c r="X650" s="5">
        <v>8.2E-5</v>
      </c>
      <c r="Y650" s="2">
        <v>37.50230415</v>
      </c>
    </row>
    <row r="651">
      <c r="A651" s="2">
        <v>2040.0</v>
      </c>
      <c r="B651" s="2" t="s">
        <v>1924</v>
      </c>
      <c r="C651" s="2" t="s">
        <v>7</v>
      </c>
      <c r="D651" s="2" t="s">
        <v>1925</v>
      </c>
      <c r="E651" s="2" t="s">
        <v>1926</v>
      </c>
      <c r="F651" s="6">
        <v>45782.49652777778</v>
      </c>
      <c r="G651" s="2">
        <v>57852.0</v>
      </c>
      <c r="H651" s="2">
        <v>57852.0</v>
      </c>
      <c r="I651" s="2">
        <v>49734.0</v>
      </c>
      <c r="J651" s="2">
        <v>236.0</v>
      </c>
      <c r="K651" s="2">
        <v>194.0</v>
      </c>
      <c r="L651" s="2">
        <v>2.0</v>
      </c>
      <c r="M651" s="4">
        <v>4574.0</v>
      </c>
      <c r="N651" s="2" t="s">
        <v>30</v>
      </c>
      <c r="O651" s="2">
        <v>70.0</v>
      </c>
      <c r="P651" s="2" t="s">
        <v>31</v>
      </c>
      <c r="Q651" s="2" t="s">
        <v>32</v>
      </c>
      <c r="R651" s="2">
        <v>43.0</v>
      </c>
      <c r="T651" s="2" t="s">
        <v>47</v>
      </c>
      <c r="U651" s="2" t="b">
        <v>0</v>
      </c>
      <c r="V651" s="5">
        <v>0.0039</v>
      </c>
      <c r="W651" s="5">
        <v>0.0103</v>
      </c>
      <c r="X651" s="5">
        <v>4.0E-5</v>
      </c>
      <c r="Y651" s="2">
        <v>23.57731959</v>
      </c>
      <c r="Z651" s="2">
        <v>4836.0</v>
      </c>
      <c r="AA651" s="2" t="s">
        <v>33</v>
      </c>
    </row>
    <row r="652">
      <c r="A652" s="2">
        <v>2041.0</v>
      </c>
      <c r="B652" s="2" t="s">
        <v>1927</v>
      </c>
      <c r="C652" s="2" t="s">
        <v>7</v>
      </c>
      <c r="D652" s="2" t="s">
        <v>1928</v>
      </c>
      <c r="E652" s="2" t="s">
        <v>1929</v>
      </c>
      <c r="F652" s="6">
        <v>45782.49722222222</v>
      </c>
      <c r="G652" s="2">
        <v>44896.0</v>
      </c>
      <c r="H652" s="2">
        <v>44896.0</v>
      </c>
      <c r="I652" s="2">
        <v>37129.0</v>
      </c>
      <c r="J652" s="2">
        <v>247.0</v>
      </c>
      <c r="K652" s="2">
        <v>199.0</v>
      </c>
      <c r="L652" s="2">
        <v>1.0</v>
      </c>
      <c r="M652" s="4">
        <v>1980.0</v>
      </c>
      <c r="N652" s="2" t="s">
        <v>36</v>
      </c>
      <c r="O652" s="2">
        <v>71.0</v>
      </c>
      <c r="P652" s="2" t="s">
        <v>189</v>
      </c>
      <c r="Q652" s="2" t="s">
        <v>32</v>
      </c>
      <c r="R652" s="2">
        <v>35.0</v>
      </c>
      <c r="T652" s="2" t="s">
        <v>47</v>
      </c>
      <c r="U652" s="2" t="b">
        <v>0</v>
      </c>
      <c r="V652" s="5">
        <v>0.0054</v>
      </c>
      <c r="W652" s="5">
        <v>0.005</v>
      </c>
      <c r="X652" s="5">
        <v>2.7E-5</v>
      </c>
      <c r="Y652" s="2">
        <v>9.949748744</v>
      </c>
      <c r="AA652" s="2" t="s">
        <v>33</v>
      </c>
    </row>
    <row r="653">
      <c r="A653" s="2">
        <v>2045.0</v>
      </c>
      <c r="B653" s="2" t="s">
        <v>1930</v>
      </c>
      <c r="C653" s="2" t="s">
        <v>7</v>
      </c>
      <c r="D653" s="2" t="s">
        <v>1931</v>
      </c>
      <c r="E653" s="2" t="s">
        <v>1932</v>
      </c>
      <c r="F653" s="6">
        <v>45782.625</v>
      </c>
      <c r="G653" s="2">
        <v>44869.0</v>
      </c>
      <c r="H653" s="2">
        <v>44869.0</v>
      </c>
      <c r="I653" s="2">
        <v>37371.0</v>
      </c>
      <c r="J653" s="2">
        <v>253.0</v>
      </c>
      <c r="K653" s="2">
        <v>197.0</v>
      </c>
      <c r="L653" s="2">
        <v>4.0</v>
      </c>
      <c r="M653" s="4">
        <v>13548.0</v>
      </c>
      <c r="N653" s="2" t="s">
        <v>36</v>
      </c>
      <c r="O653" s="2">
        <v>71.0</v>
      </c>
      <c r="P653" s="2" t="s">
        <v>31</v>
      </c>
      <c r="Q653" s="2" t="s">
        <v>32</v>
      </c>
      <c r="R653" s="2">
        <v>42.0</v>
      </c>
      <c r="T653" s="2" t="s">
        <v>47</v>
      </c>
      <c r="U653" s="2" t="b">
        <v>0</v>
      </c>
      <c r="V653" s="5">
        <v>0.0053</v>
      </c>
      <c r="W653" s="5">
        <v>0.0203</v>
      </c>
      <c r="X653" s="5">
        <v>1.07E-4</v>
      </c>
      <c r="Y653" s="2">
        <v>68.7715736</v>
      </c>
      <c r="AA653" s="2" t="s">
        <v>33</v>
      </c>
    </row>
    <row r="654">
      <c r="A654" s="2">
        <v>2044.0</v>
      </c>
      <c r="B654" s="2" t="s">
        <v>1933</v>
      </c>
      <c r="C654" s="2" t="s">
        <v>7</v>
      </c>
      <c r="D654" s="2" t="s">
        <v>1934</v>
      </c>
      <c r="E654" s="2" t="s">
        <v>1935</v>
      </c>
      <c r="F654" s="6">
        <v>45782.625</v>
      </c>
      <c r="G654" s="2">
        <v>57856.0</v>
      </c>
      <c r="H654" s="2">
        <v>57856.0</v>
      </c>
      <c r="I654" s="2">
        <v>49903.0</v>
      </c>
      <c r="J654" s="2">
        <v>308.0</v>
      </c>
      <c r="K654" s="2">
        <v>251.0</v>
      </c>
      <c r="L654" s="2">
        <v>2.0</v>
      </c>
      <c r="M654" s="4">
        <v>3430.0</v>
      </c>
      <c r="N654" s="2" t="s">
        <v>30</v>
      </c>
      <c r="O654" s="2">
        <v>70.0</v>
      </c>
      <c r="P654" s="2" t="s">
        <v>31</v>
      </c>
      <c r="Q654" s="2" t="s">
        <v>32</v>
      </c>
      <c r="R654" s="2">
        <v>40.0</v>
      </c>
      <c r="T654" s="2" t="s">
        <v>47</v>
      </c>
      <c r="U654" s="2" t="b">
        <v>0</v>
      </c>
      <c r="V654" s="5">
        <v>0.005</v>
      </c>
      <c r="W654" s="5">
        <v>0.008</v>
      </c>
      <c r="X654" s="5">
        <v>4.0E-5</v>
      </c>
      <c r="Y654" s="2">
        <v>13.66533865</v>
      </c>
      <c r="AA654" s="2" t="s">
        <v>33</v>
      </c>
    </row>
    <row r="655">
      <c r="A655" s="2">
        <v>2048.0</v>
      </c>
      <c r="B655" s="2" t="s">
        <v>1936</v>
      </c>
      <c r="C655" s="2" t="s">
        <v>7</v>
      </c>
      <c r="D655" s="2" t="s">
        <v>1937</v>
      </c>
      <c r="E655" s="2" t="s">
        <v>1938</v>
      </c>
      <c r="F655" s="6">
        <v>45782.71319444444</v>
      </c>
      <c r="G655" s="2">
        <v>57902.0</v>
      </c>
      <c r="H655" s="2">
        <v>57902.0</v>
      </c>
      <c r="I655" s="2">
        <v>49916.0</v>
      </c>
      <c r="J655" s="2">
        <v>439.0</v>
      </c>
      <c r="K655" s="2">
        <v>365.0</v>
      </c>
      <c r="L655" s="2">
        <v>7.0</v>
      </c>
      <c r="M655" s="4">
        <v>18467.0</v>
      </c>
      <c r="N655" s="2" t="s">
        <v>30</v>
      </c>
      <c r="O655" s="2">
        <v>70.0</v>
      </c>
      <c r="P655" s="2" t="s">
        <v>31</v>
      </c>
      <c r="Q655" s="2" t="s">
        <v>32</v>
      </c>
      <c r="R655" s="2">
        <v>31.0</v>
      </c>
      <c r="T655" s="2" t="s">
        <v>47</v>
      </c>
      <c r="U655" s="2" t="b">
        <v>0</v>
      </c>
      <c r="V655" s="5">
        <v>0.0073</v>
      </c>
      <c r="W655" s="5">
        <v>0.0192</v>
      </c>
      <c r="X655" s="5">
        <v>1.4E-4</v>
      </c>
      <c r="Y655" s="2">
        <v>50.59452055</v>
      </c>
      <c r="Z655" s="2" t="s">
        <v>1939</v>
      </c>
      <c r="AA655" s="2" t="s">
        <v>33</v>
      </c>
    </row>
    <row r="656">
      <c r="A656" s="2">
        <v>2049.0</v>
      </c>
      <c r="B656" s="2" t="s">
        <v>1940</v>
      </c>
      <c r="C656" s="2" t="s">
        <v>7</v>
      </c>
      <c r="D656" s="2" t="s">
        <v>1941</v>
      </c>
      <c r="E656" s="2" t="s">
        <v>1942</v>
      </c>
      <c r="F656" s="6">
        <v>45782.714583333334</v>
      </c>
      <c r="G656" s="2">
        <v>44900.0</v>
      </c>
      <c r="H656" s="2">
        <v>44900.0</v>
      </c>
      <c r="I656" s="2">
        <v>37379.0</v>
      </c>
      <c r="J656" s="2">
        <v>279.0</v>
      </c>
      <c r="K656" s="2">
        <v>220.0</v>
      </c>
      <c r="L656" s="2">
        <v>3.0</v>
      </c>
      <c r="M656" s="4">
        <v>16028.0</v>
      </c>
      <c r="N656" s="2" t="s">
        <v>36</v>
      </c>
      <c r="O656" s="2">
        <v>71.0</v>
      </c>
      <c r="P656" s="2" t="s">
        <v>31</v>
      </c>
      <c r="Q656" s="2" t="s">
        <v>32</v>
      </c>
      <c r="R656" s="2">
        <v>28.0</v>
      </c>
      <c r="T656" s="2" t="s">
        <v>47</v>
      </c>
      <c r="U656" s="2" t="b">
        <v>0</v>
      </c>
      <c r="V656" s="5">
        <v>0.0059</v>
      </c>
      <c r="W656" s="5">
        <v>0.0136</v>
      </c>
      <c r="X656" s="5">
        <v>8.0E-5</v>
      </c>
      <c r="Y656" s="2">
        <v>72.85454545</v>
      </c>
      <c r="AA656" s="2" t="s">
        <v>33</v>
      </c>
    </row>
    <row r="657">
      <c r="A657" s="2">
        <v>2043.0</v>
      </c>
      <c r="B657" s="2" t="s">
        <v>1943</v>
      </c>
      <c r="C657" s="2" t="s">
        <v>7</v>
      </c>
      <c r="D657" s="2" t="s">
        <v>1944</v>
      </c>
      <c r="E657" s="2" t="s">
        <v>1945</v>
      </c>
      <c r="F657" s="6">
        <v>45783.5</v>
      </c>
      <c r="G657" s="2">
        <v>44952.0</v>
      </c>
      <c r="H657" s="2">
        <v>44952.0</v>
      </c>
      <c r="I657" s="2">
        <v>37277.0</v>
      </c>
      <c r="J657" s="2">
        <v>321.0</v>
      </c>
      <c r="K657" s="2">
        <v>269.0</v>
      </c>
      <c r="L657" s="2">
        <v>3.0</v>
      </c>
      <c r="M657" s="4">
        <v>11545.0</v>
      </c>
      <c r="N657" s="2" t="s">
        <v>36</v>
      </c>
      <c r="O657" s="2">
        <v>71.0</v>
      </c>
      <c r="P657" s="2" t="s">
        <v>31</v>
      </c>
      <c r="Q657" s="2" t="s">
        <v>32</v>
      </c>
      <c r="R657" s="2">
        <v>32.0</v>
      </c>
      <c r="T657" s="2" t="s">
        <v>47</v>
      </c>
      <c r="U657" s="2" t="b">
        <v>0</v>
      </c>
      <c r="V657" s="5">
        <v>0.0072</v>
      </c>
      <c r="W657" s="5">
        <v>0.0112</v>
      </c>
      <c r="X657" s="5">
        <v>8.0E-5</v>
      </c>
      <c r="Y657" s="2">
        <v>42.91821561</v>
      </c>
      <c r="AA657" s="2" t="s">
        <v>33</v>
      </c>
    </row>
    <row r="658">
      <c r="A658" s="2">
        <v>2051.0</v>
      </c>
      <c r="B658" s="2" t="s">
        <v>1946</v>
      </c>
      <c r="C658" s="2" t="s">
        <v>1277</v>
      </c>
      <c r="D658" s="2" t="s">
        <v>1947</v>
      </c>
      <c r="E658" s="2" t="e">
        <v>#N/A</v>
      </c>
      <c r="F658" s="6">
        <v>45783.5</v>
      </c>
      <c r="G658" s="2">
        <v>0.0</v>
      </c>
      <c r="H658" s="2">
        <v>0.0</v>
      </c>
      <c r="I658" s="2">
        <v>0.0</v>
      </c>
      <c r="J658" s="2">
        <v>0.0</v>
      </c>
      <c r="K658" s="2">
        <v>0.0</v>
      </c>
      <c r="L658" s="2">
        <v>0.0</v>
      </c>
      <c r="M658" s="2">
        <v>0.0</v>
      </c>
      <c r="N658" s="2" t="s">
        <v>36</v>
      </c>
      <c r="O658" s="2">
        <v>71.0</v>
      </c>
      <c r="P658" s="2" t="s">
        <v>31</v>
      </c>
      <c r="Q658" s="2" t="s">
        <v>32</v>
      </c>
      <c r="R658" s="2">
        <v>31.0</v>
      </c>
      <c r="U658" s="2" t="b">
        <v>1</v>
      </c>
      <c r="AA658" s="2" t="s">
        <v>33</v>
      </c>
    </row>
    <row r="659">
      <c r="A659" s="2">
        <v>2042.0</v>
      </c>
      <c r="B659" s="2" t="s">
        <v>1948</v>
      </c>
      <c r="C659" s="2" t="s">
        <v>7</v>
      </c>
      <c r="D659" s="2" t="s">
        <v>1949</v>
      </c>
      <c r="E659" s="2" t="s">
        <v>1950</v>
      </c>
      <c r="F659" s="6">
        <v>45783.5</v>
      </c>
      <c r="G659" s="2">
        <v>58042.0</v>
      </c>
      <c r="H659" s="2">
        <v>58042.0</v>
      </c>
      <c r="I659" s="2">
        <v>49993.0</v>
      </c>
      <c r="J659" s="2">
        <v>332.0</v>
      </c>
      <c r="K659" s="2">
        <v>293.0</v>
      </c>
      <c r="L659" s="2">
        <v>3.0</v>
      </c>
      <c r="M659" s="4">
        <v>8928.0</v>
      </c>
      <c r="N659" s="2" t="s">
        <v>30</v>
      </c>
      <c r="O659" s="2">
        <v>70.0</v>
      </c>
      <c r="P659" s="2" t="s">
        <v>31</v>
      </c>
      <c r="Q659" s="2" t="s">
        <v>32</v>
      </c>
      <c r="R659" s="2">
        <v>45.0</v>
      </c>
      <c r="U659" s="2" t="b">
        <v>0</v>
      </c>
      <c r="V659" s="5">
        <v>0.0059</v>
      </c>
      <c r="W659" s="5">
        <v>0.0102</v>
      </c>
      <c r="X659" s="5">
        <v>6.0E-5</v>
      </c>
      <c r="Y659" s="2">
        <v>30.47098976</v>
      </c>
      <c r="Z659" s="2">
        <v>4751.0</v>
      </c>
      <c r="AA659" s="2" t="s">
        <v>33</v>
      </c>
    </row>
    <row r="660">
      <c r="A660" s="2">
        <v>2050.0</v>
      </c>
      <c r="B660" s="2" t="s">
        <v>1951</v>
      </c>
      <c r="C660" s="2" t="s">
        <v>1277</v>
      </c>
      <c r="D660" s="2" t="s">
        <v>1952</v>
      </c>
      <c r="E660" s="2" t="e">
        <v>#N/A</v>
      </c>
      <c r="F660" s="6">
        <v>45783.5</v>
      </c>
      <c r="G660" s="2">
        <v>0.0</v>
      </c>
      <c r="H660" s="2">
        <v>0.0</v>
      </c>
      <c r="I660" s="2">
        <v>0.0</v>
      </c>
      <c r="J660" s="2">
        <v>0.0</v>
      </c>
      <c r="K660" s="2">
        <v>0.0</v>
      </c>
      <c r="L660" s="2">
        <v>0.0</v>
      </c>
      <c r="M660" s="2">
        <v>0.0</v>
      </c>
      <c r="N660" s="2" t="s">
        <v>30</v>
      </c>
      <c r="O660" s="2">
        <v>70.0</v>
      </c>
      <c r="P660" s="2" t="s">
        <v>31</v>
      </c>
      <c r="Q660" s="2" t="s">
        <v>32</v>
      </c>
      <c r="R660" s="2">
        <v>29.0</v>
      </c>
      <c r="T660" s="2" t="s">
        <v>58</v>
      </c>
      <c r="U660" s="2" t="b">
        <v>0</v>
      </c>
      <c r="AA660" s="2" t="s">
        <v>33</v>
      </c>
    </row>
    <row r="661">
      <c r="A661" s="2">
        <v>2053.0</v>
      </c>
      <c r="B661" s="2" t="s">
        <v>1953</v>
      </c>
      <c r="C661" s="2" t="s">
        <v>7</v>
      </c>
      <c r="D661" s="2" t="s">
        <v>1954</v>
      </c>
      <c r="E661" s="2" t="s">
        <v>1955</v>
      </c>
      <c r="F661" s="6">
        <v>45783.625</v>
      </c>
      <c r="G661" s="2">
        <v>44905.0</v>
      </c>
      <c r="H661" s="2">
        <v>44905.0</v>
      </c>
      <c r="I661" s="2">
        <v>37369.0</v>
      </c>
      <c r="J661" s="2">
        <v>338.0</v>
      </c>
      <c r="K661" s="2">
        <v>282.0</v>
      </c>
      <c r="L661" s="2">
        <v>4.0</v>
      </c>
      <c r="M661" s="4">
        <v>8266.0</v>
      </c>
      <c r="N661" s="2" t="s">
        <v>36</v>
      </c>
      <c r="O661" s="2">
        <v>71.0</v>
      </c>
      <c r="P661" s="2" t="s">
        <v>31</v>
      </c>
      <c r="Q661" s="2" t="s">
        <v>32</v>
      </c>
      <c r="R661" s="2">
        <v>31.0</v>
      </c>
      <c r="T661" s="2" t="s">
        <v>58</v>
      </c>
      <c r="U661" s="2" t="b">
        <v>1</v>
      </c>
      <c r="V661" s="5">
        <v>0.0075</v>
      </c>
      <c r="W661" s="5">
        <v>0.0142</v>
      </c>
      <c r="X661" s="5">
        <v>1.07E-4</v>
      </c>
      <c r="Y661" s="2">
        <v>29.31205674</v>
      </c>
      <c r="AA661" s="2" t="s">
        <v>33</v>
      </c>
    </row>
    <row r="662">
      <c r="A662" s="2">
        <v>2052.0</v>
      </c>
      <c r="B662" s="2" t="s">
        <v>1956</v>
      </c>
      <c r="C662" s="2" t="s">
        <v>7</v>
      </c>
      <c r="D662" s="2" t="s">
        <v>1957</v>
      </c>
      <c r="E662" s="2" t="s">
        <v>1958</v>
      </c>
      <c r="F662" s="6">
        <v>45783.625</v>
      </c>
      <c r="G662" s="2">
        <v>58038.0</v>
      </c>
      <c r="H662" s="2">
        <v>58038.0</v>
      </c>
      <c r="I662" s="2">
        <v>50072.0</v>
      </c>
      <c r="J662" s="2">
        <v>431.0</v>
      </c>
      <c r="K662" s="2">
        <v>390.0</v>
      </c>
      <c r="L662" s="2">
        <v>12.0</v>
      </c>
      <c r="M662" s="4">
        <v>30162.0</v>
      </c>
      <c r="N662" s="2" t="s">
        <v>30</v>
      </c>
      <c r="O662" s="2">
        <v>70.0</v>
      </c>
      <c r="P662" s="2" t="s">
        <v>31</v>
      </c>
      <c r="Q662" s="2" t="s">
        <v>32</v>
      </c>
      <c r="R662" s="2">
        <v>34.0</v>
      </c>
      <c r="T662" s="2" t="s">
        <v>405</v>
      </c>
      <c r="U662" s="2" t="b">
        <v>0</v>
      </c>
      <c r="V662" s="5">
        <v>0.0078</v>
      </c>
      <c r="W662" s="5">
        <v>0.0308</v>
      </c>
      <c r="X662" s="5">
        <v>2.4E-4</v>
      </c>
      <c r="Y662" s="2">
        <v>77.33846154</v>
      </c>
      <c r="AA662" s="2" t="s">
        <v>33</v>
      </c>
    </row>
    <row r="663">
      <c r="A663" s="2">
        <v>2055.0</v>
      </c>
      <c r="B663" s="2" t="s">
        <v>1959</v>
      </c>
      <c r="C663" s="2" t="s">
        <v>7</v>
      </c>
      <c r="D663" s="2" t="s">
        <v>1960</v>
      </c>
      <c r="E663" s="2" t="s">
        <v>1961</v>
      </c>
      <c r="F663" s="6">
        <v>45783.708333333336</v>
      </c>
      <c r="G663" s="2">
        <v>44928.0</v>
      </c>
      <c r="H663" s="2">
        <v>44928.0</v>
      </c>
      <c r="I663" s="2">
        <v>37391.0</v>
      </c>
      <c r="J663" s="2">
        <v>291.0</v>
      </c>
      <c r="K663" s="2">
        <v>240.0</v>
      </c>
      <c r="L663" s="2">
        <v>6.0</v>
      </c>
      <c r="M663" s="4">
        <v>34747.0</v>
      </c>
      <c r="N663" s="2" t="s">
        <v>36</v>
      </c>
      <c r="O663" s="2">
        <v>71.0</v>
      </c>
      <c r="P663" s="2" t="s">
        <v>31</v>
      </c>
      <c r="Q663" s="2" t="s">
        <v>32</v>
      </c>
      <c r="R663" s="2">
        <v>41.0</v>
      </c>
      <c r="T663" s="2" t="s">
        <v>47</v>
      </c>
      <c r="U663" s="2" t="b">
        <v>0</v>
      </c>
      <c r="V663" s="5">
        <v>0.0064</v>
      </c>
      <c r="W663" s="5">
        <v>0.025</v>
      </c>
      <c r="X663" s="5">
        <v>1.6E-4</v>
      </c>
      <c r="Y663" s="2">
        <v>144.7791667</v>
      </c>
      <c r="AA663" s="2" t="s">
        <v>33</v>
      </c>
    </row>
    <row r="664">
      <c r="A664" s="2">
        <v>2054.0</v>
      </c>
      <c r="B664" s="2" t="s">
        <v>1962</v>
      </c>
      <c r="C664" s="2" t="s">
        <v>7</v>
      </c>
      <c r="D664" s="2" t="s">
        <v>1963</v>
      </c>
      <c r="E664" s="2" t="s">
        <v>1964</v>
      </c>
      <c r="F664" s="6">
        <v>45783.708333333336</v>
      </c>
      <c r="G664" s="2">
        <v>58081.0</v>
      </c>
      <c r="H664" s="2">
        <v>58081.0</v>
      </c>
      <c r="I664" s="2">
        <v>50046.0</v>
      </c>
      <c r="J664" s="2">
        <v>334.0</v>
      </c>
      <c r="K664" s="2">
        <v>273.0</v>
      </c>
      <c r="L664" s="2">
        <v>2.0</v>
      </c>
      <c r="M664" s="4">
        <v>5270.0</v>
      </c>
      <c r="N664" s="2" t="s">
        <v>30</v>
      </c>
      <c r="O664" s="2">
        <v>70.0</v>
      </c>
      <c r="P664" s="2" t="s">
        <v>31</v>
      </c>
      <c r="Q664" s="2" t="s">
        <v>32</v>
      </c>
      <c r="R664" s="2">
        <v>41.0</v>
      </c>
      <c r="T664" s="2" t="s">
        <v>47</v>
      </c>
      <c r="U664" s="2" t="b">
        <v>0</v>
      </c>
      <c r="V664" s="5">
        <v>0.0055</v>
      </c>
      <c r="W664" s="5">
        <v>0.0073</v>
      </c>
      <c r="X664" s="5">
        <v>4.0E-5</v>
      </c>
      <c r="Y664" s="2">
        <v>19.3040293</v>
      </c>
      <c r="Z664" s="2">
        <v>3166.0</v>
      </c>
      <c r="AA664" s="2" t="s">
        <v>33</v>
      </c>
    </row>
    <row r="665">
      <c r="A665" s="2">
        <v>2056.0</v>
      </c>
      <c r="B665" s="2" t="s">
        <v>1965</v>
      </c>
      <c r="C665" s="2" t="s">
        <v>7</v>
      </c>
      <c r="D665" s="2" t="s">
        <v>170</v>
      </c>
      <c r="E665" s="2" t="s">
        <v>288</v>
      </c>
      <c r="F665" s="6">
        <v>45784.47777777778</v>
      </c>
      <c r="G665" s="2">
        <v>58188.0</v>
      </c>
      <c r="H665" s="2">
        <v>58188.0</v>
      </c>
      <c r="I665" s="2">
        <v>50076.0</v>
      </c>
      <c r="J665" s="2">
        <v>260.0</v>
      </c>
      <c r="K665" s="2">
        <v>210.0</v>
      </c>
      <c r="L665" s="2">
        <v>4.0</v>
      </c>
      <c r="M665" s="4">
        <v>6521.0</v>
      </c>
      <c r="N665" s="2" t="s">
        <v>30</v>
      </c>
      <c r="O665" s="2">
        <v>70.0</v>
      </c>
      <c r="P665" s="2" t="s">
        <v>31</v>
      </c>
      <c r="Q665" s="2" t="s">
        <v>32</v>
      </c>
      <c r="R665" s="2">
        <v>27.0</v>
      </c>
      <c r="U665" s="2" t="b">
        <v>0</v>
      </c>
      <c r="V665" s="5">
        <v>0.0042</v>
      </c>
      <c r="W665" s="5">
        <v>0.019</v>
      </c>
      <c r="X665" s="5">
        <v>8.0E-5</v>
      </c>
      <c r="Y665" s="2">
        <v>31.05238095</v>
      </c>
      <c r="AA665" s="2" t="s">
        <v>33</v>
      </c>
    </row>
    <row r="666">
      <c r="A666" s="2">
        <v>2057.0</v>
      </c>
      <c r="B666" s="2" t="s">
        <v>1966</v>
      </c>
      <c r="C666" s="2" t="s">
        <v>7</v>
      </c>
      <c r="D666" s="2" t="s">
        <v>172</v>
      </c>
      <c r="E666" s="2" t="s">
        <v>290</v>
      </c>
      <c r="F666" s="6">
        <v>45784.478472222225</v>
      </c>
      <c r="G666" s="2">
        <v>44945.0</v>
      </c>
      <c r="H666" s="2">
        <v>44945.0</v>
      </c>
      <c r="I666" s="2">
        <v>37195.0</v>
      </c>
      <c r="J666" s="2">
        <v>268.0</v>
      </c>
      <c r="K666" s="2">
        <v>204.0</v>
      </c>
      <c r="L666" s="2">
        <v>1.0</v>
      </c>
      <c r="M666" s="4">
        <v>2500.0</v>
      </c>
      <c r="N666" s="2" t="s">
        <v>36</v>
      </c>
      <c r="O666" s="2">
        <v>71.0</v>
      </c>
      <c r="P666" s="2" t="s">
        <v>31</v>
      </c>
      <c r="Q666" s="2" t="s">
        <v>32</v>
      </c>
      <c r="R666" s="2">
        <v>24.0</v>
      </c>
      <c r="T666" s="2" t="s">
        <v>47</v>
      </c>
      <c r="U666" s="2" t="b">
        <v>0</v>
      </c>
      <c r="V666" s="5">
        <v>0.0055</v>
      </c>
      <c r="W666" s="5">
        <v>0.0049</v>
      </c>
      <c r="X666" s="5">
        <v>2.7E-5</v>
      </c>
      <c r="Y666" s="2">
        <v>12.25490196</v>
      </c>
      <c r="AA666" s="2" t="s">
        <v>33</v>
      </c>
    </row>
    <row r="667">
      <c r="A667" s="2">
        <v>2059.0</v>
      </c>
      <c r="B667" s="2" t="s">
        <v>1967</v>
      </c>
      <c r="C667" s="2" t="s">
        <v>7</v>
      </c>
      <c r="D667" s="2" t="s">
        <v>1968</v>
      </c>
      <c r="E667" s="2" t="s">
        <v>1969</v>
      </c>
      <c r="F667" s="6">
        <v>45784.625</v>
      </c>
      <c r="G667" s="2">
        <v>44914.0</v>
      </c>
      <c r="H667" s="2">
        <v>44914.0</v>
      </c>
      <c r="I667" s="2">
        <v>37406.0</v>
      </c>
      <c r="J667" s="2">
        <v>270.0</v>
      </c>
      <c r="K667" s="2">
        <v>211.0</v>
      </c>
      <c r="L667" s="2">
        <v>3.0</v>
      </c>
      <c r="M667" s="4">
        <v>3271.0</v>
      </c>
      <c r="N667" s="2" t="s">
        <v>36</v>
      </c>
      <c r="O667" s="2">
        <v>71.0</v>
      </c>
      <c r="P667" s="2" t="s">
        <v>31</v>
      </c>
      <c r="Q667" s="2" t="s">
        <v>32</v>
      </c>
      <c r="R667" s="2">
        <v>20.0</v>
      </c>
      <c r="T667" s="2" t="s">
        <v>47</v>
      </c>
      <c r="U667" s="2" t="b">
        <v>0</v>
      </c>
      <c r="V667" s="5">
        <v>0.0056</v>
      </c>
      <c r="W667" s="5">
        <v>0.0142</v>
      </c>
      <c r="X667" s="5">
        <v>8.0E-5</v>
      </c>
      <c r="Y667" s="2">
        <v>15.50236967</v>
      </c>
      <c r="AA667" s="2" t="s">
        <v>33</v>
      </c>
    </row>
    <row r="668">
      <c r="A668" s="2">
        <v>2058.0</v>
      </c>
      <c r="B668" s="2" t="s">
        <v>1970</v>
      </c>
      <c r="C668" s="2" t="s">
        <v>7</v>
      </c>
      <c r="D668" s="2" t="s">
        <v>1971</v>
      </c>
      <c r="E668" s="2" t="s">
        <v>1972</v>
      </c>
      <c r="F668" s="6">
        <v>45784.625</v>
      </c>
      <c r="G668" s="2">
        <v>58207.0</v>
      </c>
      <c r="H668" s="2">
        <v>58207.0</v>
      </c>
      <c r="I668" s="2">
        <v>50202.0</v>
      </c>
      <c r="J668" s="2">
        <v>288.0</v>
      </c>
      <c r="K668" s="2">
        <v>232.0</v>
      </c>
      <c r="L668" s="2">
        <v>5.0</v>
      </c>
      <c r="M668" s="4">
        <v>23126.0</v>
      </c>
      <c r="N668" s="2" t="s">
        <v>30</v>
      </c>
      <c r="O668" s="2">
        <v>70.0</v>
      </c>
      <c r="P668" s="2" t="s">
        <v>31</v>
      </c>
      <c r="Q668" s="2" t="s">
        <v>32</v>
      </c>
      <c r="R668" s="2">
        <v>23.0</v>
      </c>
      <c r="T668" s="2" t="s">
        <v>1973</v>
      </c>
      <c r="U668" s="2" t="b">
        <v>0</v>
      </c>
      <c r="V668" s="5">
        <v>0.0046</v>
      </c>
      <c r="W668" s="5">
        <v>0.0216</v>
      </c>
      <c r="X668" s="5">
        <v>1.0E-4</v>
      </c>
      <c r="Y668" s="2">
        <v>99.68103448</v>
      </c>
      <c r="Z668" s="2">
        <v>1178.0</v>
      </c>
      <c r="AA668" s="2" t="s">
        <v>33</v>
      </c>
    </row>
    <row r="669">
      <c r="A669" s="2">
        <v>2061.0</v>
      </c>
      <c r="B669" s="2" t="s">
        <v>1974</v>
      </c>
      <c r="C669" s="2" t="s">
        <v>7</v>
      </c>
      <c r="D669" s="2" t="s">
        <v>1975</v>
      </c>
      <c r="E669" s="2" t="s">
        <v>1976</v>
      </c>
      <c r="F669" s="6">
        <v>45784.708333333336</v>
      </c>
      <c r="G669" s="2">
        <v>44922.0</v>
      </c>
      <c r="H669" s="2">
        <v>44922.0</v>
      </c>
      <c r="I669" s="2">
        <v>37446.0</v>
      </c>
      <c r="J669" s="2">
        <v>260.0</v>
      </c>
      <c r="K669" s="2">
        <v>196.0</v>
      </c>
      <c r="L669" s="2">
        <v>4.0</v>
      </c>
      <c r="M669" s="4">
        <v>10260.0</v>
      </c>
      <c r="N669" s="2" t="s">
        <v>36</v>
      </c>
      <c r="O669" s="2">
        <v>71.0</v>
      </c>
      <c r="P669" s="2" t="s">
        <v>31</v>
      </c>
      <c r="Q669" s="2" t="s">
        <v>32</v>
      </c>
      <c r="R669" s="2">
        <v>31.0</v>
      </c>
      <c r="U669" s="2" t="b">
        <v>1</v>
      </c>
      <c r="V669" s="5">
        <v>0.0052</v>
      </c>
      <c r="W669" s="5">
        <v>0.0204</v>
      </c>
      <c r="X669" s="5">
        <v>1.07E-4</v>
      </c>
      <c r="Y669" s="2">
        <v>52.34693878</v>
      </c>
      <c r="AA669" s="2" t="s">
        <v>33</v>
      </c>
    </row>
    <row r="670">
      <c r="A670" s="2">
        <v>2060.0</v>
      </c>
      <c r="B670" s="2" t="s">
        <v>1977</v>
      </c>
      <c r="C670" s="2" t="s">
        <v>7</v>
      </c>
      <c r="D670" s="2" t="s">
        <v>1978</v>
      </c>
      <c r="E670" s="2" t="s">
        <v>1979</v>
      </c>
      <c r="F670" s="6">
        <v>45784.708333333336</v>
      </c>
      <c r="G670" s="2">
        <v>58240.0</v>
      </c>
      <c r="H670" s="2">
        <v>58240.0</v>
      </c>
      <c r="I670" s="2">
        <v>50249.0</v>
      </c>
      <c r="J670" s="2">
        <v>326.0</v>
      </c>
      <c r="K670" s="2">
        <v>263.0</v>
      </c>
      <c r="L670" s="2">
        <v>3.0</v>
      </c>
      <c r="M670" s="4">
        <v>5128.0</v>
      </c>
      <c r="N670" s="2" t="s">
        <v>30</v>
      </c>
      <c r="O670" s="2">
        <v>70.0</v>
      </c>
      <c r="P670" s="2" t="s">
        <v>31</v>
      </c>
      <c r="Q670" s="2" t="s">
        <v>32</v>
      </c>
      <c r="R670" s="2">
        <v>29.0</v>
      </c>
      <c r="T670" s="2" t="s">
        <v>143</v>
      </c>
      <c r="U670" s="2" t="b">
        <v>0</v>
      </c>
      <c r="V670" s="5">
        <v>0.0052</v>
      </c>
      <c r="W670" s="5">
        <v>0.0114</v>
      </c>
      <c r="X670" s="5">
        <v>6.0E-5</v>
      </c>
      <c r="Y670" s="2">
        <v>19.49809886</v>
      </c>
      <c r="Z670" s="2">
        <v>5558.0</v>
      </c>
      <c r="AA670" s="2" t="s">
        <v>33</v>
      </c>
    </row>
    <row r="671">
      <c r="A671" s="2">
        <v>2063.0</v>
      </c>
      <c r="B671" s="2" t="s">
        <v>1980</v>
      </c>
      <c r="C671" s="2" t="s">
        <v>7</v>
      </c>
      <c r="D671" s="2" t="s">
        <v>1981</v>
      </c>
      <c r="E671" s="2" t="s">
        <v>1982</v>
      </c>
      <c r="F671" s="6">
        <v>45784.791666666664</v>
      </c>
      <c r="G671" s="2">
        <v>44924.0</v>
      </c>
      <c r="H671" s="2">
        <v>44924.0</v>
      </c>
      <c r="I671" s="2">
        <v>37434.0</v>
      </c>
      <c r="J671" s="2">
        <v>265.0</v>
      </c>
      <c r="K671" s="2">
        <v>212.0</v>
      </c>
      <c r="L671" s="2">
        <v>5.0</v>
      </c>
      <c r="M671" s="4">
        <v>14760.0</v>
      </c>
      <c r="N671" s="2" t="s">
        <v>36</v>
      </c>
      <c r="O671" s="2">
        <v>71.0</v>
      </c>
      <c r="P671" s="2" t="s">
        <v>31</v>
      </c>
      <c r="Q671" s="2" t="s">
        <v>32</v>
      </c>
      <c r="R671" s="2">
        <v>44.0</v>
      </c>
      <c r="T671" s="2" t="s">
        <v>47</v>
      </c>
      <c r="U671" s="2" t="b">
        <v>0</v>
      </c>
      <c r="V671" s="5">
        <v>0.0057</v>
      </c>
      <c r="W671" s="5">
        <v>0.0236</v>
      </c>
      <c r="X671" s="5">
        <v>1.34E-4</v>
      </c>
      <c r="Y671" s="2">
        <v>69.62264151</v>
      </c>
      <c r="AA671" s="2" t="s">
        <v>33</v>
      </c>
    </row>
    <row r="672">
      <c r="A672" s="2">
        <v>2062.0</v>
      </c>
      <c r="B672" s="2" t="s">
        <v>1983</v>
      </c>
      <c r="C672" s="2" t="s">
        <v>7</v>
      </c>
      <c r="D672" s="2" t="s">
        <v>1984</v>
      </c>
      <c r="E672" s="2" t="s">
        <v>1985</v>
      </c>
      <c r="F672" s="6">
        <v>45784.791666666664</v>
      </c>
      <c r="G672" s="2">
        <v>58292.0</v>
      </c>
      <c r="H672" s="2">
        <v>58292.0</v>
      </c>
      <c r="I672" s="2">
        <v>50271.0</v>
      </c>
      <c r="J672" s="2">
        <v>286.0</v>
      </c>
      <c r="K672" s="2">
        <v>243.0</v>
      </c>
      <c r="L672" s="2">
        <v>7.0</v>
      </c>
      <c r="M672" s="4">
        <v>18656.0</v>
      </c>
      <c r="N672" s="2" t="s">
        <v>30</v>
      </c>
      <c r="O672" s="2">
        <v>70.0</v>
      </c>
      <c r="P672" s="2" t="s">
        <v>31</v>
      </c>
      <c r="Q672" s="2" t="s">
        <v>32</v>
      </c>
      <c r="R672" s="2">
        <v>40.0</v>
      </c>
      <c r="U672" s="2" t="b">
        <v>0</v>
      </c>
      <c r="V672" s="5">
        <v>0.0048</v>
      </c>
      <c r="W672" s="5">
        <v>0.0288</v>
      </c>
      <c r="X672" s="5">
        <v>1.39E-4</v>
      </c>
      <c r="Y672" s="2">
        <v>76.77366255</v>
      </c>
      <c r="Z672" s="2" t="s">
        <v>182</v>
      </c>
      <c r="AA672" s="2" t="s">
        <v>33</v>
      </c>
    </row>
    <row r="673">
      <c r="A673" s="2">
        <v>2065.0</v>
      </c>
      <c r="B673" s="2" t="s">
        <v>1986</v>
      </c>
      <c r="C673" s="2" t="s">
        <v>7</v>
      </c>
      <c r="D673" s="2" t="s">
        <v>439</v>
      </c>
      <c r="E673" s="2" t="s">
        <v>1987</v>
      </c>
      <c r="F673" s="6">
        <v>45785.375</v>
      </c>
      <c r="G673" s="2">
        <v>44883.0</v>
      </c>
      <c r="H673" s="2">
        <v>44883.0</v>
      </c>
      <c r="I673" s="2">
        <v>36663.0</v>
      </c>
      <c r="J673" s="2">
        <v>256.0</v>
      </c>
      <c r="K673" s="2">
        <v>200.0</v>
      </c>
      <c r="L673" s="2">
        <v>3.0</v>
      </c>
      <c r="M673" s="4">
        <v>6070.0</v>
      </c>
      <c r="N673" s="2" t="s">
        <v>36</v>
      </c>
      <c r="O673" s="2">
        <v>71.0</v>
      </c>
      <c r="P673" s="2" t="s">
        <v>31</v>
      </c>
      <c r="Q673" s="2" t="s">
        <v>32</v>
      </c>
      <c r="R673" s="2">
        <v>28.0</v>
      </c>
      <c r="T673" s="2" t="s">
        <v>47</v>
      </c>
      <c r="U673" s="2" t="b">
        <v>0</v>
      </c>
      <c r="V673" s="5">
        <v>0.0055</v>
      </c>
      <c r="W673" s="5">
        <v>0.015</v>
      </c>
      <c r="X673" s="5">
        <v>8.2E-5</v>
      </c>
      <c r="Y673" s="2">
        <v>30.35</v>
      </c>
      <c r="AA673" s="2" t="s">
        <v>33</v>
      </c>
    </row>
    <row r="674">
      <c r="A674" s="2">
        <v>2064.0</v>
      </c>
      <c r="B674" s="2" t="s">
        <v>1988</v>
      </c>
      <c r="C674" s="2" t="s">
        <v>7</v>
      </c>
      <c r="D674" s="2" t="s">
        <v>187</v>
      </c>
      <c r="E674" s="2" t="s">
        <v>1989</v>
      </c>
      <c r="F674" s="6">
        <v>45785.375</v>
      </c>
      <c r="G674" s="2">
        <v>58254.0</v>
      </c>
      <c r="H674" s="2">
        <v>58254.0</v>
      </c>
      <c r="I674" s="2">
        <v>49743.0</v>
      </c>
      <c r="J674" s="2">
        <v>350.0</v>
      </c>
      <c r="K674" s="2">
        <v>291.0</v>
      </c>
      <c r="L674" s="2">
        <v>7.0</v>
      </c>
      <c r="M674" s="4">
        <v>15959.0</v>
      </c>
      <c r="N674" s="2" t="s">
        <v>30</v>
      </c>
      <c r="O674" s="2">
        <v>70.0</v>
      </c>
      <c r="P674" s="2" t="s">
        <v>31</v>
      </c>
      <c r="Q674" s="2" t="s">
        <v>32</v>
      </c>
      <c r="R674" s="2">
        <v>28.0</v>
      </c>
      <c r="U674" s="2" t="b">
        <v>0</v>
      </c>
      <c r="V674" s="5">
        <v>0.0059</v>
      </c>
      <c r="W674" s="5">
        <v>0.0241</v>
      </c>
      <c r="X674" s="5">
        <v>1.41E-4</v>
      </c>
      <c r="Y674" s="2">
        <v>54.8419244</v>
      </c>
      <c r="Z674" s="2" t="s">
        <v>182</v>
      </c>
      <c r="AA674" s="2" t="s">
        <v>33</v>
      </c>
    </row>
    <row r="675">
      <c r="A675" s="2">
        <v>2067.0</v>
      </c>
      <c r="B675" s="2" t="s">
        <v>1990</v>
      </c>
      <c r="C675" s="2" t="s">
        <v>7</v>
      </c>
      <c r="D675" s="2" t="s">
        <v>1991</v>
      </c>
      <c r="E675" s="2" t="s">
        <v>1992</v>
      </c>
      <c r="F675" s="6">
        <v>45785.625</v>
      </c>
      <c r="G675" s="2">
        <v>44911.0</v>
      </c>
      <c r="H675" s="2">
        <v>44911.0</v>
      </c>
      <c r="I675" s="2">
        <v>37377.0</v>
      </c>
      <c r="J675" s="2">
        <v>222.0</v>
      </c>
      <c r="K675" s="2">
        <v>184.0</v>
      </c>
      <c r="L675" s="2">
        <v>5.0</v>
      </c>
      <c r="M675" s="4">
        <v>30215.0</v>
      </c>
      <c r="N675" s="2" t="s">
        <v>36</v>
      </c>
      <c r="O675" s="2">
        <v>71.0</v>
      </c>
      <c r="P675" s="2" t="s">
        <v>31</v>
      </c>
      <c r="Q675" s="2" t="s">
        <v>32</v>
      </c>
      <c r="R675" s="2">
        <v>35.0</v>
      </c>
      <c r="T675" s="2" t="s">
        <v>1993</v>
      </c>
      <c r="U675" s="2" t="b">
        <v>0</v>
      </c>
      <c r="V675" s="5">
        <v>0.0049</v>
      </c>
      <c r="W675" s="5">
        <v>0.0272</v>
      </c>
      <c r="X675" s="5">
        <v>1.34E-4</v>
      </c>
      <c r="Y675" s="2">
        <v>164.2119565</v>
      </c>
      <c r="AA675" s="2" t="s">
        <v>33</v>
      </c>
    </row>
    <row r="676">
      <c r="A676" s="2">
        <v>2066.0</v>
      </c>
      <c r="B676" s="2" t="s">
        <v>1994</v>
      </c>
      <c r="C676" s="2" t="s">
        <v>7</v>
      </c>
      <c r="D676" s="2" t="s">
        <v>1995</v>
      </c>
      <c r="E676" s="2" t="s">
        <v>1996</v>
      </c>
      <c r="F676" s="6">
        <v>45785.625</v>
      </c>
      <c r="G676" s="2">
        <v>58327.0</v>
      </c>
      <c r="H676" s="2">
        <v>58327.0</v>
      </c>
      <c r="I676" s="2">
        <v>50380.0</v>
      </c>
      <c r="J676" s="2">
        <v>293.0</v>
      </c>
      <c r="K676" s="2">
        <v>239.0</v>
      </c>
      <c r="L676" s="2">
        <v>4.0</v>
      </c>
      <c r="M676" s="4">
        <v>17362.0</v>
      </c>
      <c r="N676" s="2" t="s">
        <v>30</v>
      </c>
      <c r="O676" s="2">
        <v>70.0</v>
      </c>
      <c r="P676" s="2" t="s">
        <v>31</v>
      </c>
      <c r="Q676" s="2" t="s">
        <v>32</v>
      </c>
      <c r="R676" s="2">
        <v>38.0</v>
      </c>
      <c r="T676" s="7" t="str">
        <f>IFERROR(__xludf.DUMMYFUNCTION("AI(""has offer Come X Pay X"",D676)"),"Promotional")</f>
        <v>Promotional</v>
      </c>
      <c r="U676" s="2" t="b">
        <v>0</v>
      </c>
      <c r="V676" s="5">
        <v>0.0047</v>
      </c>
      <c r="W676" s="5">
        <v>0.0167</v>
      </c>
      <c r="X676" s="5">
        <v>7.9E-5</v>
      </c>
      <c r="Y676" s="2">
        <v>72.64435146</v>
      </c>
      <c r="Z676" s="2">
        <v>3818.0</v>
      </c>
      <c r="AA676" s="2" t="s">
        <v>33</v>
      </c>
    </row>
    <row r="677">
      <c r="A677" s="2">
        <v>2069.0</v>
      </c>
      <c r="B677" s="2" t="s">
        <v>1997</v>
      </c>
      <c r="C677" s="2" t="s">
        <v>7</v>
      </c>
      <c r="D677" s="2" t="s">
        <v>1998</v>
      </c>
      <c r="E677" s="2" t="s">
        <v>1999</v>
      </c>
      <c r="F677" s="6">
        <v>45785.708333333336</v>
      </c>
      <c r="G677" s="2">
        <v>44917.0</v>
      </c>
      <c r="H677" s="2">
        <v>44917.0</v>
      </c>
      <c r="I677" s="2">
        <v>37352.0</v>
      </c>
      <c r="J677" s="2">
        <v>262.0</v>
      </c>
      <c r="K677" s="2">
        <v>210.0</v>
      </c>
      <c r="L677" s="2">
        <v>2.0</v>
      </c>
      <c r="M677" s="4">
        <v>2727.0</v>
      </c>
      <c r="N677" s="2" t="s">
        <v>36</v>
      </c>
      <c r="O677" s="2">
        <v>71.0</v>
      </c>
      <c r="P677" s="2" t="s">
        <v>31</v>
      </c>
      <c r="Q677" s="2" t="s">
        <v>32</v>
      </c>
      <c r="R677" s="2">
        <v>34.0</v>
      </c>
      <c r="T677" s="2" t="s">
        <v>47</v>
      </c>
      <c r="U677" s="2" t="b">
        <v>0</v>
      </c>
      <c r="V677" s="5">
        <v>0.0056</v>
      </c>
      <c r="W677" s="5">
        <v>0.0095</v>
      </c>
      <c r="X677" s="5">
        <v>5.4E-5</v>
      </c>
      <c r="Y677" s="2">
        <v>12.98571429</v>
      </c>
      <c r="AA677" s="2" t="s">
        <v>33</v>
      </c>
    </row>
    <row r="678">
      <c r="A678" s="2">
        <v>2068.0</v>
      </c>
      <c r="B678" s="2" t="s">
        <v>2000</v>
      </c>
      <c r="C678" s="2" t="s">
        <v>7</v>
      </c>
      <c r="D678" s="2" t="s">
        <v>2001</v>
      </c>
      <c r="E678" s="2" t="s">
        <v>2002</v>
      </c>
      <c r="F678" s="6">
        <v>45785.708333333336</v>
      </c>
      <c r="G678" s="2">
        <v>58380.0</v>
      </c>
      <c r="H678" s="2">
        <v>58380.0</v>
      </c>
      <c r="I678" s="2">
        <v>50403.0</v>
      </c>
      <c r="J678" s="2">
        <v>262.0</v>
      </c>
      <c r="K678" s="2">
        <v>207.0</v>
      </c>
      <c r="L678" s="2">
        <v>4.0</v>
      </c>
      <c r="M678" s="4">
        <v>6982.0</v>
      </c>
      <c r="N678" s="2" t="s">
        <v>30</v>
      </c>
      <c r="O678" s="2">
        <v>70.0</v>
      </c>
      <c r="P678" s="2" t="s">
        <v>31</v>
      </c>
      <c r="Q678" s="2" t="s">
        <v>32</v>
      </c>
      <c r="R678" s="2">
        <v>35.0</v>
      </c>
      <c r="T678" s="2" t="s">
        <v>47</v>
      </c>
      <c r="U678" s="2" t="b">
        <v>0</v>
      </c>
      <c r="V678" s="5">
        <v>0.0041</v>
      </c>
      <c r="W678" s="5">
        <v>0.0193</v>
      </c>
      <c r="X678" s="5">
        <v>7.9E-5</v>
      </c>
      <c r="Y678" s="2">
        <v>33.7294686</v>
      </c>
      <c r="Z678" s="2">
        <v>4141.0</v>
      </c>
      <c r="AA678" s="2" t="s">
        <v>33</v>
      </c>
    </row>
    <row r="679">
      <c r="A679" s="2">
        <v>2070.0</v>
      </c>
      <c r="B679" s="2" t="s">
        <v>2003</v>
      </c>
      <c r="C679" s="2" t="s">
        <v>7</v>
      </c>
      <c r="D679" s="2" t="s">
        <v>2004</v>
      </c>
      <c r="E679" s="2" t="s">
        <v>2005</v>
      </c>
      <c r="F679" s="6">
        <v>45786.475694444445</v>
      </c>
      <c r="G679" s="2">
        <v>58502.0</v>
      </c>
      <c r="H679" s="2">
        <v>58502.0</v>
      </c>
      <c r="I679" s="2">
        <v>50301.0</v>
      </c>
      <c r="J679" s="2">
        <v>244.0</v>
      </c>
      <c r="K679" s="2">
        <v>205.0</v>
      </c>
      <c r="L679" s="2">
        <v>4.0</v>
      </c>
      <c r="M679" s="4">
        <v>35502.0</v>
      </c>
      <c r="N679" s="2" t="s">
        <v>30</v>
      </c>
      <c r="O679" s="2">
        <v>70.0</v>
      </c>
      <c r="P679" s="2" t="s">
        <v>31</v>
      </c>
      <c r="Q679" s="2" t="s">
        <v>32</v>
      </c>
      <c r="R679" s="2">
        <v>28.0</v>
      </c>
      <c r="T679" s="2" t="s">
        <v>47</v>
      </c>
      <c r="U679" s="2" t="b">
        <v>0</v>
      </c>
      <c r="V679" s="5">
        <v>0.0041</v>
      </c>
      <c r="W679" s="5">
        <v>0.0195</v>
      </c>
      <c r="X679" s="5">
        <v>8.0E-5</v>
      </c>
      <c r="Y679" s="2">
        <v>173.1804878</v>
      </c>
      <c r="AA679" s="2" t="s">
        <v>33</v>
      </c>
    </row>
    <row r="680">
      <c r="A680" s="2">
        <v>2071.0</v>
      </c>
      <c r="B680" s="2" t="s">
        <v>2006</v>
      </c>
      <c r="C680" s="2" t="s">
        <v>7</v>
      </c>
      <c r="D680" s="2" t="s">
        <v>2007</v>
      </c>
      <c r="E680" s="2" t="s">
        <v>2008</v>
      </c>
      <c r="F680" s="6">
        <v>45786.47777777778</v>
      </c>
      <c r="G680" s="2">
        <v>44974.0</v>
      </c>
      <c r="H680" s="2">
        <v>44974.0</v>
      </c>
      <c r="I680" s="2">
        <v>37102.0</v>
      </c>
      <c r="J680" s="2">
        <v>202.0</v>
      </c>
      <c r="K680" s="2">
        <v>157.0</v>
      </c>
      <c r="L680" s="2">
        <v>1.0</v>
      </c>
      <c r="M680" s="4">
        <v>4400.0</v>
      </c>
      <c r="N680" s="2" t="s">
        <v>36</v>
      </c>
      <c r="O680" s="2">
        <v>71.0</v>
      </c>
      <c r="P680" s="2" t="s">
        <v>31</v>
      </c>
      <c r="Q680" s="2" t="s">
        <v>32</v>
      </c>
      <c r="R680" s="2">
        <v>22.0</v>
      </c>
      <c r="T680" s="2" t="s">
        <v>47</v>
      </c>
      <c r="U680" s="2" t="b">
        <v>0</v>
      </c>
      <c r="V680" s="5">
        <v>0.0042</v>
      </c>
      <c r="W680" s="5">
        <v>0.0064</v>
      </c>
      <c r="X680" s="5">
        <v>2.7E-5</v>
      </c>
      <c r="Y680" s="2">
        <v>28.02547771</v>
      </c>
      <c r="AA680" s="2" t="s">
        <v>33</v>
      </c>
    </row>
    <row r="681">
      <c r="A681" s="2">
        <v>2073.0</v>
      </c>
      <c r="B681" s="2" t="s">
        <v>2009</v>
      </c>
      <c r="C681" s="2" t="s">
        <v>7</v>
      </c>
      <c r="D681" s="2" t="s">
        <v>2010</v>
      </c>
      <c r="E681" s="2" t="s">
        <v>2011</v>
      </c>
      <c r="F681" s="6">
        <v>45786.625</v>
      </c>
      <c r="G681" s="2">
        <v>44958.0</v>
      </c>
      <c r="H681" s="2">
        <v>44958.0</v>
      </c>
      <c r="I681" s="2">
        <v>37394.0</v>
      </c>
      <c r="J681" s="2">
        <v>284.0</v>
      </c>
      <c r="K681" s="2">
        <v>233.0</v>
      </c>
      <c r="L681" s="2">
        <v>7.0</v>
      </c>
      <c r="M681" s="4">
        <v>21336.0</v>
      </c>
      <c r="N681" s="2" t="s">
        <v>36</v>
      </c>
      <c r="O681" s="2">
        <v>71.0</v>
      </c>
      <c r="P681" s="2" t="s">
        <v>31</v>
      </c>
      <c r="Q681" s="2" t="s">
        <v>32</v>
      </c>
      <c r="R681" s="2">
        <v>37.0</v>
      </c>
      <c r="U681" s="2" t="b">
        <v>1</v>
      </c>
      <c r="V681" s="5">
        <v>0.0062</v>
      </c>
      <c r="W681" s="5">
        <v>0.03</v>
      </c>
      <c r="X681" s="5">
        <v>1.87E-4</v>
      </c>
      <c r="Y681" s="2">
        <v>91.57081545</v>
      </c>
      <c r="AA681" s="2" t="s">
        <v>33</v>
      </c>
    </row>
    <row r="682">
      <c r="A682" s="2">
        <v>2072.0</v>
      </c>
      <c r="B682" s="2" t="s">
        <v>2012</v>
      </c>
      <c r="C682" s="2" t="s">
        <v>7</v>
      </c>
      <c r="D682" s="2" t="s">
        <v>2013</v>
      </c>
      <c r="E682" s="2" t="s">
        <v>2014</v>
      </c>
      <c r="F682" s="6">
        <v>45786.625</v>
      </c>
      <c r="G682" s="2">
        <v>58525.0</v>
      </c>
      <c r="H682" s="2">
        <v>58525.0</v>
      </c>
      <c r="I682" s="2">
        <v>50557.0</v>
      </c>
      <c r="J682" s="2">
        <v>406.0</v>
      </c>
      <c r="K682" s="2">
        <v>334.0</v>
      </c>
      <c r="L682" s="2">
        <v>7.0</v>
      </c>
      <c r="M682" s="4">
        <v>18993.0</v>
      </c>
      <c r="N682" s="2" t="s">
        <v>30</v>
      </c>
      <c r="O682" s="2">
        <v>70.0</v>
      </c>
      <c r="P682" s="2" t="s">
        <v>31</v>
      </c>
      <c r="Q682" s="2" t="s">
        <v>32</v>
      </c>
      <c r="R682" s="2">
        <v>37.0</v>
      </c>
      <c r="T682" s="2" t="s">
        <v>405</v>
      </c>
      <c r="U682" s="2" t="b">
        <v>0</v>
      </c>
      <c r="V682" s="5">
        <v>0.0066</v>
      </c>
      <c r="W682" s="5">
        <v>0.021</v>
      </c>
      <c r="X682" s="5">
        <v>1.38E-4</v>
      </c>
      <c r="Y682" s="2">
        <v>56.86526946</v>
      </c>
      <c r="Z682" s="2">
        <v>894.0</v>
      </c>
      <c r="AA682" s="2" t="s">
        <v>33</v>
      </c>
    </row>
    <row r="683">
      <c r="A683" s="2">
        <v>2075.0</v>
      </c>
      <c r="B683" s="2" t="s">
        <v>2015</v>
      </c>
      <c r="C683" s="2" t="s">
        <v>7</v>
      </c>
      <c r="D683" s="2" t="s">
        <v>2016</v>
      </c>
      <c r="E683" s="2" t="s">
        <v>2017</v>
      </c>
      <c r="F683" s="6">
        <v>45786.708333333336</v>
      </c>
      <c r="G683" s="2">
        <v>44981.0</v>
      </c>
      <c r="H683" s="2">
        <v>44981.0</v>
      </c>
      <c r="I683" s="2">
        <v>37485.0</v>
      </c>
      <c r="J683" s="2">
        <v>248.0</v>
      </c>
      <c r="K683" s="2">
        <v>193.0</v>
      </c>
      <c r="L683" s="2">
        <v>4.0</v>
      </c>
      <c r="M683" s="4">
        <v>8476.0</v>
      </c>
      <c r="N683" s="2" t="s">
        <v>36</v>
      </c>
      <c r="O683" s="2">
        <v>71.0</v>
      </c>
      <c r="P683" s="2" t="s">
        <v>31</v>
      </c>
      <c r="Q683" s="2" t="s">
        <v>32</v>
      </c>
      <c r="R683" s="2">
        <v>25.0</v>
      </c>
      <c r="T683" s="2" t="s">
        <v>47</v>
      </c>
      <c r="U683" s="2" t="b">
        <v>0</v>
      </c>
      <c r="V683" s="5">
        <v>0.0051</v>
      </c>
      <c r="W683" s="5">
        <v>0.0207</v>
      </c>
      <c r="X683" s="5">
        <v>1.07E-4</v>
      </c>
      <c r="Y683" s="2">
        <v>43.91709845</v>
      </c>
      <c r="AA683" s="2" t="s">
        <v>33</v>
      </c>
    </row>
    <row r="684">
      <c r="A684" s="2">
        <v>2074.0</v>
      </c>
      <c r="B684" s="2" t="s">
        <v>2018</v>
      </c>
      <c r="C684" s="2" t="s">
        <v>7</v>
      </c>
      <c r="D684" s="2" t="s">
        <v>2019</v>
      </c>
      <c r="E684" s="2" t="s">
        <v>2020</v>
      </c>
      <c r="F684" s="6">
        <v>45786.708333333336</v>
      </c>
      <c r="G684" s="2">
        <v>58636.0</v>
      </c>
      <c r="H684" s="2">
        <v>58636.0</v>
      </c>
      <c r="I684" s="2">
        <v>50633.0</v>
      </c>
      <c r="J684" s="2">
        <v>317.0</v>
      </c>
      <c r="K684" s="2">
        <v>260.0</v>
      </c>
      <c r="L684" s="2">
        <v>4.0</v>
      </c>
      <c r="M684" s="4">
        <v>8482.0</v>
      </c>
      <c r="N684" s="2" t="s">
        <v>30</v>
      </c>
      <c r="O684" s="2">
        <v>70.0</v>
      </c>
      <c r="P684" s="2" t="s">
        <v>31</v>
      </c>
      <c r="Q684" s="2" t="s">
        <v>32</v>
      </c>
      <c r="R684" s="2">
        <v>23.0</v>
      </c>
      <c r="T684" s="2" t="s">
        <v>47</v>
      </c>
      <c r="U684" s="2" t="b">
        <v>0</v>
      </c>
      <c r="V684" s="5">
        <v>0.0051</v>
      </c>
      <c r="W684" s="5">
        <v>0.0154</v>
      </c>
      <c r="X684" s="5">
        <v>7.9E-5</v>
      </c>
      <c r="Y684" s="2">
        <v>32.62307692</v>
      </c>
      <c r="Z684" s="2">
        <v>5793.0</v>
      </c>
      <c r="AA684" s="2" t="s">
        <v>33</v>
      </c>
    </row>
    <row r="685">
      <c r="A685" s="2">
        <v>2077.0</v>
      </c>
      <c r="B685" s="2" t="s">
        <v>2021</v>
      </c>
      <c r="C685" s="2" t="s">
        <v>7</v>
      </c>
      <c r="D685" s="2" t="s">
        <v>2022</v>
      </c>
      <c r="E685" s="2" t="s">
        <v>2023</v>
      </c>
      <c r="F685" s="6">
        <v>45787.458333333336</v>
      </c>
      <c r="G685" s="2">
        <v>44978.0</v>
      </c>
      <c r="H685" s="2">
        <v>44978.0</v>
      </c>
      <c r="I685" s="2">
        <v>37021.0</v>
      </c>
      <c r="J685" s="2">
        <v>362.0</v>
      </c>
      <c r="K685" s="2">
        <v>300.0</v>
      </c>
      <c r="L685" s="2">
        <v>7.0</v>
      </c>
      <c r="M685" s="4">
        <v>24788.0</v>
      </c>
      <c r="N685" s="2" t="s">
        <v>36</v>
      </c>
      <c r="O685" s="2">
        <v>71.0</v>
      </c>
      <c r="P685" s="2" t="s">
        <v>31</v>
      </c>
      <c r="Q685" s="2" t="s">
        <v>32</v>
      </c>
      <c r="R685" s="2">
        <v>21.0</v>
      </c>
      <c r="T685" s="2" t="s">
        <v>2024</v>
      </c>
      <c r="U685" s="2" t="b">
        <v>0</v>
      </c>
      <c r="V685" s="5">
        <v>0.0081</v>
      </c>
      <c r="W685" s="5">
        <v>0.0233</v>
      </c>
      <c r="X685" s="5">
        <v>1.89E-4</v>
      </c>
      <c r="Y685" s="2">
        <v>82.62666667</v>
      </c>
      <c r="AA685" s="2" t="s">
        <v>33</v>
      </c>
    </row>
    <row r="686">
      <c r="A686" s="2">
        <v>2076.0</v>
      </c>
      <c r="B686" s="2" t="s">
        <v>2025</v>
      </c>
      <c r="C686" s="2" t="s">
        <v>7</v>
      </c>
      <c r="D686" s="2" t="s">
        <v>2026</v>
      </c>
      <c r="E686" s="2" t="s">
        <v>2027</v>
      </c>
      <c r="F686" s="6">
        <v>45787.458333333336</v>
      </c>
      <c r="G686" s="2">
        <v>58578.0</v>
      </c>
      <c r="H686" s="2">
        <v>58578.0</v>
      </c>
      <c r="I686" s="2">
        <v>50223.0</v>
      </c>
      <c r="J686" s="2">
        <v>457.0</v>
      </c>
      <c r="K686" s="2">
        <v>388.0</v>
      </c>
      <c r="L686" s="2">
        <v>8.0</v>
      </c>
      <c r="M686" s="4">
        <v>27039.0</v>
      </c>
      <c r="N686" s="2" t="s">
        <v>30</v>
      </c>
      <c r="O686" s="2">
        <v>70.0</v>
      </c>
      <c r="P686" s="2" t="s">
        <v>31</v>
      </c>
      <c r="Q686" s="2" t="s">
        <v>32</v>
      </c>
      <c r="R686" s="2">
        <v>25.0</v>
      </c>
      <c r="T686" s="2" t="s">
        <v>2028</v>
      </c>
      <c r="U686" s="2" t="b">
        <v>0</v>
      </c>
      <c r="V686" s="5">
        <v>0.0077</v>
      </c>
      <c r="W686" s="5">
        <v>0.0206</v>
      </c>
      <c r="X686" s="5">
        <v>1.59E-4</v>
      </c>
      <c r="Y686" s="2">
        <v>69.68814433</v>
      </c>
      <c r="Z686" s="2">
        <v>2925.0</v>
      </c>
      <c r="AA686" s="2" t="s">
        <v>33</v>
      </c>
    </row>
    <row r="687">
      <c r="A687" s="2">
        <v>2081.0</v>
      </c>
      <c r="B687" s="2" t="s">
        <v>2029</v>
      </c>
      <c r="C687" s="2" t="s">
        <v>7</v>
      </c>
      <c r="D687" s="2" t="s">
        <v>2030</v>
      </c>
      <c r="E687" s="2" t="s">
        <v>2031</v>
      </c>
      <c r="F687" s="6">
        <v>45787.625</v>
      </c>
      <c r="G687" s="2">
        <v>45007.0</v>
      </c>
      <c r="H687" s="2">
        <v>45007.0</v>
      </c>
      <c r="I687" s="2">
        <v>37460.0</v>
      </c>
      <c r="J687" s="2">
        <v>209.0</v>
      </c>
      <c r="K687" s="2">
        <v>182.0</v>
      </c>
      <c r="L687" s="2">
        <v>1.0</v>
      </c>
      <c r="M687" s="4">
        <v>2398.0</v>
      </c>
      <c r="N687" s="2" t="s">
        <v>36</v>
      </c>
      <c r="O687" s="2">
        <v>71.0</v>
      </c>
      <c r="P687" s="2" t="s">
        <v>31</v>
      </c>
      <c r="Q687" s="2" t="s">
        <v>32</v>
      </c>
      <c r="R687" s="2">
        <v>22.0</v>
      </c>
      <c r="T687" s="2" t="s">
        <v>162</v>
      </c>
      <c r="U687" s="2" t="b">
        <v>0</v>
      </c>
      <c r="V687" s="5">
        <v>0.0049</v>
      </c>
      <c r="W687" s="5">
        <v>0.0055</v>
      </c>
      <c r="X687" s="5">
        <v>2.7E-5</v>
      </c>
      <c r="Y687" s="2">
        <v>13.17582418</v>
      </c>
      <c r="AA687" s="2" t="s">
        <v>33</v>
      </c>
    </row>
    <row r="688">
      <c r="A688" s="2">
        <v>2080.0</v>
      </c>
      <c r="B688" s="2" t="s">
        <v>2032</v>
      </c>
      <c r="C688" s="2" t="s">
        <v>7</v>
      </c>
      <c r="D688" s="2" t="s">
        <v>2033</v>
      </c>
      <c r="E688" s="2" t="s">
        <v>2034</v>
      </c>
      <c r="F688" s="6">
        <v>45787.625</v>
      </c>
      <c r="G688" s="2">
        <v>58612.0</v>
      </c>
      <c r="H688" s="2">
        <v>58612.0</v>
      </c>
      <c r="I688" s="2">
        <v>50592.0</v>
      </c>
      <c r="J688" s="2">
        <v>272.0</v>
      </c>
      <c r="K688" s="2">
        <v>231.0</v>
      </c>
      <c r="L688" s="2">
        <v>7.0</v>
      </c>
      <c r="M688" s="4">
        <v>16256.0</v>
      </c>
      <c r="N688" s="2" t="s">
        <v>30</v>
      </c>
      <c r="O688" s="2">
        <v>70.0</v>
      </c>
      <c r="P688" s="2" t="s">
        <v>31</v>
      </c>
      <c r="Q688" s="2" t="s">
        <v>32</v>
      </c>
      <c r="R688" s="2">
        <v>20.0</v>
      </c>
      <c r="T688" s="2" t="s">
        <v>47</v>
      </c>
      <c r="U688" s="2" t="b">
        <v>0</v>
      </c>
      <c r="V688" s="5">
        <v>0.0046</v>
      </c>
      <c r="W688" s="5">
        <v>0.0303</v>
      </c>
      <c r="X688" s="5">
        <v>1.38E-4</v>
      </c>
      <c r="Y688" s="2">
        <v>70.37229437</v>
      </c>
      <c r="Z688" s="2">
        <v>4655.0</v>
      </c>
      <c r="AA688" s="2" t="s">
        <v>33</v>
      </c>
    </row>
    <row r="689">
      <c r="A689" s="2">
        <v>2083.0</v>
      </c>
      <c r="B689" s="2" t="s">
        <v>2035</v>
      </c>
      <c r="C689" s="2" t="s">
        <v>7</v>
      </c>
      <c r="D689" s="2" t="s">
        <v>2036</v>
      </c>
      <c r="E689" s="2" t="s">
        <v>2037</v>
      </c>
      <c r="F689" s="6">
        <v>45787.708333333336</v>
      </c>
      <c r="G689" s="2">
        <v>45017.0</v>
      </c>
      <c r="H689" s="2">
        <v>45017.0</v>
      </c>
      <c r="I689" s="2">
        <v>37520.0</v>
      </c>
      <c r="J689" s="2">
        <v>327.0</v>
      </c>
      <c r="K689" s="2">
        <v>257.0</v>
      </c>
      <c r="L689" s="2">
        <v>1.0</v>
      </c>
      <c r="M689" s="4">
        <v>2352.0</v>
      </c>
      <c r="N689" s="2" t="s">
        <v>36</v>
      </c>
      <c r="O689" s="2">
        <v>71.0</v>
      </c>
      <c r="P689" s="2" t="s">
        <v>31</v>
      </c>
      <c r="Q689" s="2" t="s">
        <v>32</v>
      </c>
      <c r="R689" s="2">
        <v>27.0</v>
      </c>
      <c r="U689" s="2" t="b">
        <v>0</v>
      </c>
      <c r="V689" s="5">
        <v>0.0068</v>
      </c>
      <c r="W689" s="5">
        <v>0.0039</v>
      </c>
      <c r="X689" s="5">
        <v>2.7E-5</v>
      </c>
      <c r="Y689" s="2">
        <v>9.151750973</v>
      </c>
      <c r="AA689" s="2" t="s">
        <v>33</v>
      </c>
    </row>
    <row r="690">
      <c r="A690" s="2">
        <v>2082.0</v>
      </c>
      <c r="B690" s="2" t="s">
        <v>2038</v>
      </c>
      <c r="C690" s="2" t="s">
        <v>7</v>
      </c>
      <c r="D690" s="2" t="s">
        <v>2039</v>
      </c>
      <c r="E690" s="2" t="s">
        <v>2040</v>
      </c>
      <c r="F690" s="6">
        <v>45787.708333333336</v>
      </c>
      <c r="G690" s="2">
        <v>5486.0</v>
      </c>
      <c r="H690" s="2">
        <v>5486.0</v>
      </c>
      <c r="I690" s="2">
        <v>4652.0</v>
      </c>
      <c r="J690" s="2">
        <v>40.0</v>
      </c>
      <c r="K690" s="2">
        <v>34.0</v>
      </c>
      <c r="L690" s="2">
        <v>2.0</v>
      </c>
      <c r="M690" s="4">
        <v>3210.0</v>
      </c>
      <c r="N690" s="2" t="s">
        <v>30</v>
      </c>
      <c r="O690" s="2">
        <v>70.0</v>
      </c>
      <c r="P690" s="2" t="s">
        <v>31</v>
      </c>
      <c r="Q690" s="2" t="s">
        <v>32</v>
      </c>
      <c r="R690" s="2">
        <v>35.0</v>
      </c>
      <c r="U690" s="2" t="b">
        <v>0</v>
      </c>
      <c r="V690" s="5">
        <v>0.0073</v>
      </c>
      <c r="W690" s="5">
        <v>0.0588</v>
      </c>
      <c r="X690" s="5">
        <v>4.3E-4</v>
      </c>
      <c r="Y690" s="2">
        <v>94.41176471</v>
      </c>
      <c r="Z690" s="2" t="s">
        <v>2041</v>
      </c>
      <c r="AA690" s="2" t="s">
        <v>33</v>
      </c>
    </row>
    <row r="691">
      <c r="A691" s="2">
        <v>2084.0</v>
      </c>
      <c r="B691" s="2" t="s">
        <v>2042</v>
      </c>
      <c r="C691" s="2" t="s">
        <v>7</v>
      </c>
      <c r="D691" s="2" t="s">
        <v>2043</v>
      </c>
      <c r="E691" s="2" t="s">
        <v>2044</v>
      </c>
      <c r="F691" s="6">
        <v>45788.52291666667</v>
      </c>
      <c r="G691" s="2">
        <v>58711.0</v>
      </c>
      <c r="H691" s="2">
        <v>58711.0</v>
      </c>
      <c r="I691" s="2">
        <v>50565.0</v>
      </c>
      <c r="J691" s="2">
        <v>367.0</v>
      </c>
      <c r="K691" s="2">
        <v>303.0</v>
      </c>
      <c r="L691" s="2">
        <v>6.0</v>
      </c>
      <c r="M691" s="4">
        <v>8801.0</v>
      </c>
      <c r="N691" s="2" t="s">
        <v>30</v>
      </c>
      <c r="O691" s="2">
        <v>70.0</v>
      </c>
      <c r="P691" s="2" t="s">
        <v>31</v>
      </c>
      <c r="Q691" s="2" t="s">
        <v>32</v>
      </c>
      <c r="R691" s="2">
        <v>25.0</v>
      </c>
      <c r="U691" s="2" t="b">
        <v>0</v>
      </c>
      <c r="V691" s="5">
        <v>0.006</v>
      </c>
      <c r="W691" s="5">
        <v>0.0198</v>
      </c>
      <c r="X691" s="5">
        <v>1.19E-4</v>
      </c>
      <c r="Y691" s="2">
        <v>29.04620462</v>
      </c>
      <c r="AA691" s="2" t="s">
        <v>33</v>
      </c>
    </row>
    <row r="692">
      <c r="A692" s="2">
        <v>2085.0</v>
      </c>
      <c r="B692" s="2" t="s">
        <v>2045</v>
      </c>
      <c r="C692" s="2" t="s">
        <v>7</v>
      </c>
      <c r="D692" s="2" t="s">
        <v>2046</v>
      </c>
      <c r="E692" s="2" t="s">
        <v>2047</v>
      </c>
      <c r="F692" s="6">
        <v>45788.524305555555</v>
      </c>
      <c r="G692" s="2">
        <v>45080.0</v>
      </c>
      <c r="H692" s="2">
        <v>45080.0</v>
      </c>
      <c r="I692" s="2">
        <v>37380.0</v>
      </c>
      <c r="J692" s="2">
        <v>285.0</v>
      </c>
      <c r="K692" s="2">
        <v>232.0</v>
      </c>
      <c r="L692" s="2">
        <v>2.0</v>
      </c>
      <c r="M692" s="4">
        <v>3285.0</v>
      </c>
      <c r="N692" s="2" t="s">
        <v>36</v>
      </c>
      <c r="O692" s="2">
        <v>71.0</v>
      </c>
      <c r="P692" s="2" t="s">
        <v>31</v>
      </c>
      <c r="Q692" s="2" t="s">
        <v>32</v>
      </c>
      <c r="R692" s="2">
        <v>27.0</v>
      </c>
      <c r="T692" s="2" t="s">
        <v>162</v>
      </c>
      <c r="U692" s="2" t="b">
        <v>0</v>
      </c>
      <c r="V692" s="5">
        <v>0.0062</v>
      </c>
      <c r="W692" s="5">
        <v>0.0086</v>
      </c>
      <c r="X692" s="5">
        <v>5.4E-5</v>
      </c>
      <c r="Y692" s="2">
        <v>14.15948276</v>
      </c>
      <c r="AA692" s="2" t="s">
        <v>33</v>
      </c>
    </row>
    <row r="693">
      <c r="A693" s="2">
        <v>2088.0</v>
      </c>
      <c r="B693" s="2" t="s">
        <v>2048</v>
      </c>
      <c r="C693" s="2" t="s">
        <v>7</v>
      </c>
      <c r="D693" s="2" t="s">
        <v>2049</v>
      </c>
      <c r="E693" s="2" t="e">
        <v>#N/A</v>
      </c>
      <c r="F693" s="6">
        <v>45788.625</v>
      </c>
      <c r="G693" s="2">
        <v>45081.0</v>
      </c>
      <c r="H693" s="2">
        <v>45081.0</v>
      </c>
      <c r="I693" s="2">
        <v>37549.0</v>
      </c>
      <c r="J693" s="2">
        <v>273.0</v>
      </c>
      <c r="K693" s="2">
        <v>219.0</v>
      </c>
      <c r="L693" s="2">
        <v>2.0</v>
      </c>
      <c r="M693" s="4">
        <v>9108.0</v>
      </c>
      <c r="N693" s="2" t="s">
        <v>36</v>
      </c>
      <c r="O693" s="2">
        <v>71.0</v>
      </c>
      <c r="P693" s="2" t="s">
        <v>31</v>
      </c>
      <c r="Q693" s="2" t="s">
        <v>32</v>
      </c>
      <c r="R693" s="2">
        <v>25.0</v>
      </c>
      <c r="U693" s="2" t="b">
        <v>0</v>
      </c>
      <c r="V693" s="5">
        <v>0.0058</v>
      </c>
      <c r="W693" s="5">
        <v>0.0091</v>
      </c>
      <c r="X693" s="5">
        <v>5.3E-5</v>
      </c>
      <c r="Y693" s="2">
        <v>41.5890411</v>
      </c>
      <c r="AA693" s="2" t="s">
        <v>33</v>
      </c>
    </row>
    <row r="694">
      <c r="A694" s="2">
        <v>2087.0</v>
      </c>
      <c r="B694" s="2" t="s">
        <v>2050</v>
      </c>
      <c r="C694" s="2" t="s">
        <v>7</v>
      </c>
      <c r="D694" s="2" t="s">
        <v>2051</v>
      </c>
      <c r="E694" s="2" t="e">
        <v>#N/A</v>
      </c>
      <c r="F694" s="6">
        <v>45788.625</v>
      </c>
      <c r="G694" s="2">
        <v>58695.0</v>
      </c>
      <c r="H694" s="2">
        <v>58695.0</v>
      </c>
      <c r="I694" s="2">
        <v>50576.0</v>
      </c>
      <c r="J694" s="2">
        <v>310.0</v>
      </c>
      <c r="K694" s="2">
        <v>245.0</v>
      </c>
      <c r="L694" s="2">
        <v>5.0</v>
      </c>
      <c r="M694" s="4">
        <v>13710.0</v>
      </c>
      <c r="N694" s="2" t="s">
        <v>30</v>
      </c>
      <c r="O694" s="2">
        <v>70.0</v>
      </c>
      <c r="P694" s="2" t="s">
        <v>31</v>
      </c>
      <c r="Q694" s="2" t="s">
        <v>32</v>
      </c>
      <c r="R694" s="2">
        <v>37.0</v>
      </c>
      <c r="T694" s="2" t="s">
        <v>47</v>
      </c>
      <c r="U694" s="2" t="b">
        <v>0</v>
      </c>
      <c r="V694" s="5">
        <v>0.0048</v>
      </c>
      <c r="W694" s="5">
        <v>0.0204</v>
      </c>
      <c r="X694" s="5">
        <v>9.9E-5</v>
      </c>
      <c r="Y694" s="2">
        <v>55.95918367</v>
      </c>
      <c r="AA694" s="2" t="s">
        <v>33</v>
      </c>
    </row>
    <row r="695">
      <c r="A695" s="2">
        <v>2089.0</v>
      </c>
      <c r="B695" s="2" t="s">
        <v>2052</v>
      </c>
      <c r="C695" s="2" t="s">
        <v>7</v>
      </c>
      <c r="D695" s="2" t="s">
        <v>2053</v>
      </c>
      <c r="E695" s="2" t="s">
        <v>2054</v>
      </c>
      <c r="F695" s="6">
        <v>45788.75277777778</v>
      </c>
      <c r="G695" s="2">
        <v>58755.0</v>
      </c>
      <c r="H695" s="2">
        <v>58755.0</v>
      </c>
      <c r="I695" s="2">
        <v>50762.0</v>
      </c>
      <c r="J695" s="2">
        <v>263.0</v>
      </c>
      <c r="K695" s="2">
        <v>224.0</v>
      </c>
      <c r="L695" s="2">
        <v>1.0</v>
      </c>
      <c r="M695" s="4">
        <v>1956.0</v>
      </c>
      <c r="N695" s="2" t="s">
        <v>30</v>
      </c>
      <c r="O695" s="2">
        <v>70.0</v>
      </c>
      <c r="P695" s="2" t="s">
        <v>31</v>
      </c>
      <c r="Q695" s="2" t="s">
        <v>32</v>
      </c>
      <c r="R695" s="2">
        <v>29.0</v>
      </c>
      <c r="U695" s="2" t="b">
        <v>0</v>
      </c>
      <c r="V695" s="5">
        <v>0.0044</v>
      </c>
      <c r="W695" s="5">
        <v>0.0045</v>
      </c>
      <c r="X695" s="5">
        <v>2.0E-5</v>
      </c>
      <c r="Y695" s="2">
        <v>8.732142857</v>
      </c>
      <c r="Z695" s="2">
        <v>5523.0</v>
      </c>
      <c r="AA695" s="2" t="s">
        <v>33</v>
      </c>
    </row>
    <row r="696">
      <c r="A696" s="2">
        <v>2090.0</v>
      </c>
      <c r="B696" s="2" t="s">
        <v>2055</v>
      </c>
      <c r="C696" s="2" t="s">
        <v>7</v>
      </c>
      <c r="D696" s="2" t="s">
        <v>2056</v>
      </c>
      <c r="E696" s="2" t="s">
        <v>2057</v>
      </c>
      <c r="F696" s="6">
        <v>45788.754166666666</v>
      </c>
      <c r="G696" s="2">
        <v>45129.0</v>
      </c>
      <c r="H696" s="2">
        <v>45129.0</v>
      </c>
      <c r="I696" s="2">
        <v>37622.0</v>
      </c>
      <c r="J696" s="2">
        <v>268.0</v>
      </c>
      <c r="K696" s="2">
        <v>219.0</v>
      </c>
      <c r="L696" s="2">
        <v>2.0</v>
      </c>
      <c r="M696" s="4">
        <v>10226.0</v>
      </c>
      <c r="N696" s="2" t="s">
        <v>36</v>
      </c>
      <c r="O696" s="2">
        <v>71.0</v>
      </c>
      <c r="P696" s="2" t="s">
        <v>31</v>
      </c>
      <c r="Q696" s="2" t="s">
        <v>32</v>
      </c>
      <c r="R696" s="2">
        <v>32.0</v>
      </c>
      <c r="U696" s="2" t="b">
        <v>0</v>
      </c>
      <c r="V696" s="5">
        <v>0.0058</v>
      </c>
      <c r="W696" s="5">
        <v>0.0091</v>
      </c>
      <c r="X696" s="5">
        <v>5.3E-5</v>
      </c>
      <c r="Y696" s="2">
        <v>46.69406393</v>
      </c>
      <c r="AA696" s="2" t="s">
        <v>33</v>
      </c>
    </row>
    <row r="697">
      <c r="A697" s="2">
        <v>2079.0</v>
      </c>
      <c r="B697" s="2" t="s">
        <v>2058</v>
      </c>
      <c r="C697" s="2" t="s">
        <v>7</v>
      </c>
      <c r="D697" s="2" t="s">
        <v>2059</v>
      </c>
      <c r="E697" s="2" t="s">
        <v>2060</v>
      </c>
      <c r="F697" s="6">
        <v>45789.458333333336</v>
      </c>
      <c r="G697" s="2">
        <v>45175.0</v>
      </c>
      <c r="H697" s="2">
        <v>45175.0</v>
      </c>
      <c r="I697" s="2">
        <v>37392.0</v>
      </c>
      <c r="J697" s="2">
        <v>193.0</v>
      </c>
      <c r="K697" s="2">
        <v>155.0</v>
      </c>
      <c r="L697" s="2">
        <v>1.0</v>
      </c>
      <c r="M697" s="4">
        <v>1999.0</v>
      </c>
      <c r="N697" s="2" t="s">
        <v>36</v>
      </c>
      <c r="O697" s="2">
        <v>71.0</v>
      </c>
      <c r="P697" s="2" t="s">
        <v>31</v>
      </c>
      <c r="Q697" s="2" t="s">
        <v>1367</v>
      </c>
      <c r="R697" s="2">
        <v>53.0</v>
      </c>
      <c r="T697" s="2" t="s">
        <v>162</v>
      </c>
      <c r="U697" s="2" t="b">
        <v>0</v>
      </c>
      <c r="V697" s="5">
        <v>0.0041</v>
      </c>
      <c r="W697" s="5">
        <v>0.0065</v>
      </c>
      <c r="X697" s="5">
        <v>2.7E-5</v>
      </c>
      <c r="Y697" s="2">
        <v>12.89677419</v>
      </c>
      <c r="AA697" s="2" t="s">
        <v>33</v>
      </c>
    </row>
    <row r="698">
      <c r="A698" s="2">
        <v>2078.0</v>
      </c>
      <c r="B698" s="2" t="s">
        <v>2061</v>
      </c>
      <c r="C698" s="2" t="s">
        <v>7</v>
      </c>
      <c r="D698" s="2" t="s">
        <v>2062</v>
      </c>
      <c r="E698" s="2" t="s">
        <v>2063</v>
      </c>
      <c r="F698" s="6">
        <v>45789.458333333336</v>
      </c>
      <c r="G698" s="2">
        <v>58781.0</v>
      </c>
      <c r="H698" s="2">
        <v>58781.0</v>
      </c>
      <c r="I698" s="2">
        <v>50570.0</v>
      </c>
      <c r="J698" s="2">
        <v>253.0</v>
      </c>
      <c r="K698" s="2">
        <v>207.0</v>
      </c>
      <c r="L698" s="2">
        <v>2.0</v>
      </c>
      <c r="M698" s="4">
        <v>5320.0</v>
      </c>
      <c r="N698" s="2" t="s">
        <v>30</v>
      </c>
      <c r="O698" s="2">
        <v>70.0</v>
      </c>
      <c r="P698" s="2" t="s">
        <v>31</v>
      </c>
      <c r="Q698" s="2" t="s">
        <v>1367</v>
      </c>
      <c r="R698" s="2">
        <v>40.0</v>
      </c>
      <c r="T698" s="2" t="s">
        <v>47</v>
      </c>
      <c r="U698" s="2" t="b">
        <v>0</v>
      </c>
      <c r="V698" s="5">
        <v>0.0041</v>
      </c>
      <c r="W698" s="5">
        <v>0.0097</v>
      </c>
      <c r="X698" s="5">
        <v>4.0E-5</v>
      </c>
      <c r="Y698" s="2">
        <v>25.70048309</v>
      </c>
      <c r="AA698" s="2" t="s">
        <v>33</v>
      </c>
    </row>
    <row r="699">
      <c r="A699" s="2">
        <v>2092.0</v>
      </c>
      <c r="B699" s="2" t="s">
        <v>2064</v>
      </c>
      <c r="C699" s="2" t="s">
        <v>7</v>
      </c>
      <c r="D699" s="2" t="s">
        <v>2065</v>
      </c>
      <c r="E699" s="2" t="s">
        <v>2066</v>
      </c>
      <c r="F699" s="6">
        <v>45789.625</v>
      </c>
      <c r="G699" s="2">
        <v>45190.0</v>
      </c>
      <c r="H699" s="2">
        <v>45190.0</v>
      </c>
      <c r="I699" s="2">
        <v>37658.0</v>
      </c>
      <c r="J699" s="2">
        <v>214.0</v>
      </c>
      <c r="K699" s="2">
        <v>174.0</v>
      </c>
      <c r="L699" s="2">
        <v>2.0</v>
      </c>
      <c r="M699" s="4">
        <v>2188.0</v>
      </c>
      <c r="N699" s="2" t="s">
        <v>36</v>
      </c>
      <c r="O699" s="2">
        <v>71.0</v>
      </c>
      <c r="P699" s="2" t="s">
        <v>31</v>
      </c>
      <c r="Q699" s="2" t="s">
        <v>32</v>
      </c>
      <c r="R699" s="2">
        <v>30.0</v>
      </c>
      <c r="U699" s="2" t="b">
        <v>0</v>
      </c>
      <c r="V699" s="5">
        <v>0.0046</v>
      </c>
      <c r="W699" s="5">
        <v>0.0115</v>
      </c>
      <c r="X699" s="5">
        <v>5.3E-5</v>
      </c>
      <c r="Y699" s="2">
        <v>12.57471264</v>
      </c>
      <c r="AA699" s="2" t="s">
        <v>33</v>
      </c>
    </row>
    <row r="700">
      <c r="A700" s="2">
        <v>2091.0</v>
      </c>
      <c r="B700" s="2" t="s">
        <v>2067</v>
      </c>
      <c r="C700" s="2" t="s">
        <v>7</v>
      </c>
      <c r="D700" s="2" t="s">
        <v>2068</v>
      </c>
      <c r="E700" s="2" t="s">
        <v>2069</v>
      </c>
      <c r="F700" s="6">
        <v>45789.625</v>
      </c>
      <c r="G700" s="2">
        <v>58799.0</v>
      </c>
      <c r="H700" s="2">
        <v>58799.0</v>
      </c>
      <c r="I700" s="2">
        <v>50827.0</v>
      </c>
      <c r="J700" s="2">
        <v>316.0</v>
      </c>
      <c r="K700" s="2">
        <v>257.0</v>
      </c>
      <c r="L700" s="2">
        <v>2.0</v>
      </c>
      <c r="M700" s="4">
        <v>6576.0</v>
      </c>
      <c r="N700" s="2" t="s">
        <v>30</v>
      </c>
      <c r="O700" s="2">
        <v>70.0</v>
      </c>
      <c r="P700" s="2" t="s">
        <v>31</v>
      </c>
      <c r="Q700" s="2" t="s">
        <v>32</v>
      </c>
      <c r="R700" s="2">
        <v>35.0</v>
      </c>
      <c r="U700" s="2" t="b">
        <v>0</v>
      </c>
      <c r="V700" s="5">
        <v>0.0051</v>
      </c>
      <c r="W700" s="5">
        <v>0.0078</v>
      </c>
      <c r="X700" s="5">
        <v>3.9E-5</v>
      </c>
      <c r="Y700" s="2">
        <v>25.58754864</v>
      </c>
      <c r="Z700" s="2">
        <v>5576.0</v>
      </c>
      <c r="AA700" s="2" t="s">
        <v>33</v>
      </c>
    </row>
    <row r="701">
      <c r="A701" s="2">
        <v>2094.0</v>
      </c>
      <c r="B701" s="2" t="s">
        <v>2070</v>
      </c>
      <c r="C701" s="2" t="s">
        <v>7</v>
      </c>
      <c r="D701" s="2" t="s">
        <v>2071</v>
      </c>
      <c r="E701" s="2" t="s">
        <v>2072</v>
      </c>
      <c r="F701" s="6">
        <v>45789.708333333336</v>
      </c>
      <c r="G701" s="2">
        <v>45183.0</v>
      </c>
      <c r="H701" s="2">
        <v>45183.0</v>
      </c>
      <c r="I701" s="2">
        <v>37567.0</v>
      </c>
      <c r="J701" s="2">
        <v>326.0</v>
      </c>
      <c r="K701" s="2">
        <v>261.0</v>
      </c>
      <c r="L701" s="2">
        <v>7.0</v>
      </c>
      <c r="M701" s="4">
        <v>14562.0</v>
      </c>
      <c r="N701" s="2" t="s">
        <v>36</v>
      </c>
      <c r="O701" s="2">
        <v>71.0</v>
      </c>
      <c r="P701" s="2" t="s">
        <v>31</v>
      </c>
      <c r="Q701" s="2" t="s">
        <v>32</v>
      </c>
      <c r="R701" s="2">
        <v>29.0</v>
      </c>
      <c r="T701" s="2" t="s">
        <v>58</v>
      </c>
      <c r="U701" s="2" t="b">
        <v>1</v>
      </c>
      <c r="V701" s="5">
        <v>0.0069</v>
      </c>
      <c r="W701" s="5">
        <v>0.0268</v>
      </c>
      <c r="X701" s="5">
        <v>1.86E-4</v>
      </c>
      <c r="Y701" s="2">
        <v>55.79310345</v>
      </c>
      <c r="AA701" s="2" t="s">
        <v>33</v>
      </c>
    </row>
    <row r="702">
      <c r="A702" s="2">
        <v>2093.0</v>
      </c>
      <c r="B702" s="2" t="s">
        <v>2073</v>
      </c>
      <c r="C702" s="2" t="s">
        <v>7</v>
      </c>
      <c r="D702" s="2" t="s">
        <v>2074</v>
      </c>
      <c r="E702" s="2" t="s">
        <v>2075</v>
      </c>
      <c r="F702" s="6">
        <v>45789.708333333336</v>
      </c>
      <c r="G702" s="2">
        <v>58813.0</v>
      </c>
      <c r="H702" s="2">
        <v>58813.0</v>
      </c>
      <c r="I702" s="2">
        <v>50835.0</v>
      </c>
      <c r="J702" s="2">
        <v>496.0</v>
      </c>
      <c r="K702" s="2">
        <v>395.0</v>
      </c>
      <c r="L702" s="2">
        <v>6.0</v>
      </c>
      <c r="M702" s="4">
        <v>8974.0</v>
      </c>
      <c r="N702" s="2" t="s">
        <v>30</v>
      </c>
      <c r="O702" s="2">
        <v>70.0</v>
      </c>
      <c r="P702" s="2" t="s">
        <v>31</v>
      </c>
      <c r="Q702" s="2" t="s">
        <v>32</v>
      </c>
      <c r="R702" s="2">
        <v>43.0</v>
      </c>
      <c r="U702" s="2" t="b">
        <v>0</v>
      </c>
      <c r="V702" s="5">
        <v>0.0078</v>
      </c>
      <c r="W702" s="5">
        <v>0.0152</v>
      </c>
      <c r="X702" s="5">
        <v>1.18E-4</v>
      </c>
      <c r="Y702" s="2">
        <v>22.71898734</v>
      </c>
      <c r="Z702" s="2">
        <v>3596.0</v>
      </c>
      <c r="AA702" s="2" t="s">
        <v>33</v>
      </c>
    </row>
    <row r="703">
      <c r="A703" s="2">
        <v>2095.0</v>
      </c>
      <c r="B703" s="2" t="s">
        <v>2076</v>
      </c>
      <c r="C703" s="2" t="s">
        <v>7</v>
      </c>
      <c r="D703" s="2" t="s">
        <v>2077</v>
      </c>
      <c r="E703" s="2" t="s">
        <v>2078</v>
      </c>
      <c r="F703" s="6">
        <v>45791.49375</v>
      </c>
      <c r="G703" s="2">
        <v>57912.0</v>
      </c>
      <c r="H703" s="2">
        <v>57912.0</v>
      </c>
      <c r="I703" s="2">
        <v>49909.0</v>
      </c>
      <c r="J703" s="2">
        <v>302.0</v>
      </c>
      <c r="K703" s="2">
        <v>240.0</v>
      </c>
      <c r="L703" s="2">
        <v>2.0</v>
      </c>
      <c r="M703" s="4">
        <v>6233.0</v>
      </c>
      <c r="N703" s="2" t="s">
        <v>30</v>
      </c>
      <c r="O703" s="2">
        <v>70.0</v>
      </c>
      <c r="P703" s="2" t="s">
        <v>31</v>
      </c>
      <c r="Q703" s="2" t="s">
        <v>32</v>
      </c>
      <c r="R703" s="2">
        <v>37.0</v>
      </c>
      <c r="T703" s="2" t="s">
        <v>47</v>
      </c>
      <c r="U703" s="2" t="b">
        <v>0</v>
      </c>
      <c r="V703" s="5">
        <v>0.0048</v>
      </c>
      <c r="W703" s="5">
        <v>0.0083</v>
      </c>
      <c r="X703" s="5">
        <v>4.0E-5</v>
      </c>
      <c r="Y703" s="2">
        <v>25.97083333</v>
      </c>
      <c r="AA703" s="2" t="s">
        <v>33</v>
      </c>
    </row>
    <row r="704">
      <c r="A704" s="2">
        <v>2096.0</v>
      </c>
      <c r="B704" s="2" t="s">
        <v>2079</v>
      </c>
      <c r="C704" s="2" t="s">
        <v>7</v>
      </c>
      <c r="D704" s="2" t="s">
        <v>2080</v>
      </c>
      <c r="E704" s="2" t="s">
        <v>2081</v>
      </c>
      <c r="F704" s="6">
        <v>45791.49513888889</v>
      </c>
      <c r="G704" s="2">
        <v>44804.0</v>
      </c>
      <c r="H704" s="2">
        <v>44804.0</v>
      </c>
      <c r="I704" s="2">
        <v>37114.0</v>
      </c>
      <c r="J704" s="2">
        <v>239.0</v>
      </c>
      <c r="K704" s="2">
        <v>194.0</v>
      </c>
      <c r="L704" s="2">
        <v>4.0</v>
      </c>
      <c r="M704" s="4">
        <v>7319.0</v>
      </c>
      <c r="N704" s="2" t="s">
        <v>36</v>
      </c>
      <c r="O704" s="2">
        <v>71.0</v>
      </c>
      <c r="P704" s="2" t="s">
        <v>31</v>
      </c>
      <c r="Q704" s="2" t="s">
        <v>32</v>
      </c>
      <c r="R704" s="2">
        <v>29.0</v>
      </c>
      <c r="U704" s="2" t="b">
        <v>0</v>
      </c>
      <c r="V704" s="5">
        <v>0.0052</v>
      </c>
      <c r="W704" s="5">
        <v>0.0206</v>
      </c>
      <c r="X704" s="5">
        <v>1.08E-4</v>
      </c>
      <c r="Y704" s="2">
        <v>37.72680412</v>
      </c>
      <c r="AA704" s="2" t="s">
        <v>33</v>
      </c>
    </row>
    <row r="705">
      <c r="A705" s="2">
        <v>2098.0</v>
      </c>
      <c r="B705" s="2" t="s">
        <v>2082</v>
      </c>
      <c r="C705" s="2" t="s">
        <v>7</v>
      </c>
      <c r="D705" s="2" t="s">
        <v>2083</v>
      </c>
      <c r="E705" s="2" t="s">
        <v>2084</v>
      </c>
      <c r="F705" s="6">
        <v>45791.625</v>
      </c>
      <c r="G705" s="2">
        <v>44706.0</v>
      </c>
      <c r="H705" s="2">
        <v>44706.0</v>
      </c>
      <c r="I705" s="2">
        <v>37262.0</v>
      </c>
      <c r="J705" s="2">
        <v>234.0</v>
      </c>
      <c r="K705" s="2">
        <v>187.0</v>
      </c>
      <c r="L705" s="2">
        <v>1.0</v>
      </c>
      <c r="M705" s="4">
        <v>1980.0</v>
      </c>
      <c r="N705" s="2" t="s">
        <v>36</v>
      </c>
      <c r="O705" s="2">
        <v>71.0</v>
      </c>
      <c r="P705" s="2" t="s">
        <v>31</v>
      </c>
      <c r="Q705" s="2" t="s">
        <v>32</v>
      </c>
      <c r="R705" s="2">
        <v>34.0</v>
      </c>
      <c r="U705" s="2" t="b">
        <v>0</v>
      </c>
      <c r="V705" s="5">
        <v>0.005</v>
      </c>
      <c r="W705" s="5">
        <v>0.0053</v>
      </c>
      <c r="X705" s="5">
        <v>2.7E-5</v>
      </c>
      <c r="Y705" s="2">
        <v>10.58823529</v>
      </c>
      <c r="AA705" s="2" t="s">
        <v>33</v>
      </c>
    </row>
    <row r="706">
      <c r="A706" s="2">
        <v>2097.0</v>
      </c>
      <c r="B706" s="2" t="s">
        <v>2085</v>
      </c>
      <c r="C706" s="2" t="s">
        <v>7</v>
      </c>
      <c r="D706" s="2" t="s">
        <v>2086</v>
      </c>
      <c r="E706" s="2" t="s">
        <v>2087</v>
      </c>
      <c r="F706" s="6">
        <v>45791.625</v>
      </c>
      <c r="G706" s="2">
        <v>57861.0</v>
      </c>
      <c r="H706" s="2">
        <v>57861.0</v>
      </c>
      <c r="I706" s="2">
        <v>49956.0</v>
      </c>
      <c r="J706" s="2">
        <v>298.0</v>
      </c>
      <c r="K706" s="2">
        <v>238.0</v>
      </c>
      <c r="L706" s="2">
        <v>0.0</v>
      </c>
      <c r="M706" s="2">
        <v>0.0</v>
      </c>
      <c r="N706" s="2" t="s">
        <v>30</v>
      </c>
      <c r="O706" s="2">
        <v>70.0</v>
      </c>
      <c r="P706" s="2" t="s">
        <v>31</v>
      </c>
      <c r="Q706" s="2" t="s">
        <v>32</v>
      </c>
      <c r="R706" s="2">
        <v>34.0</v>
      </c>
      <c r="U706" s="2" t="b">
        <v>0</v>
      </c>
      <c r="V706" s="5">
        <v>0.0048</v>
      </c>
      <c r="W706" s="5">
        <v>0.0</v>
      </c>
      <c r="X706" s="5">
        <v>0.0</v>
      </c>
      <c r="Y706" s="2">
        <v>0.0</v>
      </c>
      <c r="AA706" s="2" t="s">
        <v>33</v>
      </c>
    </row>
    <row r="707">
      <c r="A707" s="2">
        <v>2100.0</v>
      </c>
      <c r="B707" s="2" t="s">
        <v>2088</v>
      </c>
      <c r="C707" s="2" t="s">
        <v>7</v>
      </c>
      <c r="D707" s="2" t="s">
        <v>2089</v>
      </c>
      <c r="E707" s="2" t="s">
        <v>2090</v>
      </c>
      <c r="F707" s="6">
        <v>45791.708333333336</v>
      </c>
      <c r="G707" s="2">
        <v>44716.0</v>
      </c>
      <c r="H707" s="2">
        <v>44716.0</v>
      </c>
      <c r="I707" s="2">
        <v>37298.0</v>
      </c>
      <c r="J707" s="2">
        <v>248.0</v>
      </c>
      <c r="K707" s="2">
        <v>187.0</v>
      </c>
      <c r="L707" s="2">
        <v>3.0</v>
      </c>
      <c r="M707" s="4">
        <v>13428.0</v>
      </c>
      <c r="N707" s="2" t="s">
        <v>36</v>
      </c>
      <c r="O707" s="2">
        <v>71.0</v>
      </c>
      <c r="P707" s="2" t="s">
        <v>31</v>
      </c>
      <c r="Q707" s="2" t="s">
        <v>32</v>
      </c>
      <c r="R707" s="2">
        <v>40.0</v>
      </c>
      <c r="U707" s="2" t="b">
        <v>0</v>
      </c>
      <c r="V707" s="5">
        <v>0.005</v>
      </c>
      <c r="W707" s="5">
        <v>0.016</v>
      </c>
      <c r="X707" s="5">
        <v>8.0E-5</v>
      </c>
      <c r="Y707" s="2">
        <v>71.80748663</v>
      </c>
      <c r="AA707" s="2" t="s">
        <v>33</v>
      </c>
    </row>
    <row r="708">
      <c r="A708" s="2">
        <v>2099.0</v>
      </c>
      <c r="B708" s="2" t="s">
        <v>2091</v>
      </c>
      <c r="C708" s="2" t="s">
        <v>7</v>
      </c>
      <c r="D708" s="2" t="s">
        <v>2092</v>
      </c>
      <c r="E708" s="2" t="s">
        <v>2093</v>
      </c>
      <c r="F708" s="6">
        <v>45791.708333333336</v>
      </c>
      <c r="G708" s="2">
        <v>57908.0</v>
      </c>
      <c r="H708" s="2">
        <v>57908.0</v>
      </c>
      <c r="I708" s="2">
        <v>50056.0</v>
      </c>
      <c r="J708" s="2">
        <v>321.0</v>
      </c>
      <c r="K708" s="2">
        <v>258.0</v>
      </c>
      <c r="L708" s="2">
        <v>4.0</v>
      </c>
      <c r="M708" s="4">
        <v>6194.0</v>
      </c>
      <c r="N708" s="2" t="s">
        <v>30</v>
      </c>
      <c r="O708" s="2">
        <v>70.0</v>
      </c>
      <c r="P708" s="2" t="s">
        <v>31</v>
      </c>
      <c r="Q708" s="2" t="s">
        <v>32</v>
      </c>
      <c r="R708" s="2">
        <v>44.0</v>
      </c>
      <c r="T708" s="2" t="s">
        <v>47</v>
      </c>
      <c r="U708" s="2" t="b">
        <v>0</v>
      </c>
      <c r="V708" s="5">
        <v>0.0052</v>
      </c>
      <c r="W708" s="5">
        <v>0.0155</v>
      </c>
      <c r="X708" s="5">
        <v>8.0E-5</v>
      </c>
      <c r="Y708" s="2">
        <v>24.00775194</v>
      </c>
      <c r="Z708" s="2">
        <v>5828.0</v>
      </c>
      <c r="AA708" s="2" t="s">
        <v>33</v>
      </c>
    </row>
    <row r="709">
      <c r="A709" s="2">
        <v>2101.0</v>
      </c>
      <c r="B709" s="2" t="s">
        <v>2094</v>
      </c>
      <c r="C709" s="2" t="s">
        <v>7</v>
      </c>
      <c r="D709" s="2" t="s">
        <v>2095</v>
      </c>
      <c r="E709" s="2" t="s">
        <v>2096</v>
      </c>
      <c r="F709" s="6">
        <v>45792.56597222222</v>
      </c>
      <c r="G709" s="2">
        <v>58069.0</v>
      </c>
      <c r="H709" s="2">
        <v>58069.0</v>
      </c>
      <c r="I709" s="2">
        <v>50170.0</v>
      </c>
      <c r="J709" s="2">
        <v>333.0</v>
      </c>
      <c r="K709" s="2">
        <v>276.0</v>
      </c>
      <c r="L709" s="2">
        <v>5.0</v>
      </c>
      <c r="M709" s="4">
        <v>9960.0</v>
      </c>
      <c r="N709" s="2" t="s">
        <v>30</v>
      </c>
      <c r="O709" s="2">
        <v>70.0</v>
      </c>
      <c r="P709" s="2" t="s">
        <v>31</v>
      </c>
      <c r="Q709" s="2" t="s">
        <v>32</v>
      </c>
      <c r="R709" s="2">
        <v>31.0</v>
      </c>
      <c r="T709" s="2" t="s">
        <v>2097</v>
      </c>
      <c r="U709" s="2" t="b">
        <v>0</v>
      </c>
      <c r="V709" s="5">
        <v>0.0055</v>
      </c>
      <c r="W709" s="5">
        <v>0.0181</v>
      </c>
      <c r="X709" s="5">
        <v>1.0E-4</v>
      </c>
      <c r="Y709" s="2">
        <v>36.08695652</v>
      </c>
      <c r="AA709" s="2" t="s">
        <v>33</v>
      </c>
    </row>
    <row r="710">
      <c r="A710" s="2">
        <v>2102.0</v>
      </c>
      <c r="B710" s="2" t="s">
        <v>2098</v>
      </c>
      <c r="C710" s="2" t="s">
        <v>7</v>
      </c>
      <c r="D710" s="2" t="s">
        <v>2099</v>
      </c>
      <c r="E710" s="2" t="s">
        <v>2100</v>
      </c>
      <c r="F710" s="6">
        <v>45792.56736111111</v>
      </c>
      <c r="G710" s="2">
        <v>44744.0</v>
      </c>
      <c r="H710" s="2">
        <v>44744.0</v>
      </c>
      <c r="I710" s="2">
        <v>37234.0</v>
      </c>
      <c r="J710" s="2">
        <v>271.0</v>
      </c>
      <c r="K710" s="2">
        <v>222.0</v>
      </c>
      <c r="L710" s="2">
        <v>4.0</v>
      </c>
      <c r="M710" s="4">
        <v>5717.0</v>
      </c>
      <c r="N710" s="2" t="s">
        <v>36</v>
      </c>
      <c r="O710" s="2">
        <v>71.0</v>
      </c>
      <c r="P710" s="2" t="s">
        <v>31</v>
      </c>
      <c r="Q710" s="2" t="s">
        <v>32</v>
      </c>
      <c r="R710" s="2">
        <v>34.0</v>
      </c>
      <c r="T710" s="2" t="s">
        <v>2101</v>
      </c>
      <c r="U710" s="2" t="b">
        <v>0</v>
      </c>
      <c r="V710" s="5">
        <v>0.006</v>
      </c>
      <c r="W710" s="5">
        <v>0.018</v>
      </c>
      <c r="X710" s="5">
        <v>1.07E-4</v>
      </c>
      <c r="Y710" s="2">
        <v>25.75225225</v>
      </c>
      <c r="AA710" s="2" t="s">
        <v>33</v>
      </c>
    </row>
    <row r="711">
      <c r="A711" s="2">
        <v>2104.0</v>
      </c>
      <c r="B711" s="2" t="s">
        <v>2102</v>
      </c>
      <c r="C711" s="2" t="s">
        <v>7</v>
      </c>
      <c r="D711" s="2" t="s">
        <v>2103</v>
      </c>
      <c r="E711" s="2" t="s">
        <v>2104</v>
      </c>
      <c r="F711" s="6">
        <v>45792.708333333336</v>
      </c>
      <c r="G711" s="2">
        <v>44719.0</v>
      </c>
      <c r="H711" s="2">
        <v>44719.0</v>
      </c>
      <c r="I711" s="2">
        <v>37297.0</v>
      </c>
      <c r="J711" s="2">
        <v>298.0</v>
      </c>
      <c r="K711" s="2">
        <v>231.0</v>
      </c>
      <c r="L711" s="2">
        <v>2.0</v>
      </c>
      <c r="M711" s="4">
        <v>5976.0</v>
      </c>
      <c r="N711" s="2" t="s">
        <v>36</v>
      </c>
      <c r="O711" s="2">
        <v>71.0</v>
      </c>
      <c r="P711" s="2" t="s">
        <v>31</v>
      </c>
      <c r="Q711" s="2" t="s">
        <v>32</v>
      </c>
      <c r="R711" s="2">
        <v>35.0</v>
      </c>
      <c r="T711" s="2" t="s">
        <v>58</v>
      </c>
      <c r="U711" s="2" t="b">
        <v>1</v>
      </c>
      <c r="V711" s="5">
        <v>0.0062</v>
      </c>
      <c r="W711" s="5">
        <v>0.0087</v>
      </c>
      <c r="X711" s="5">
        <v>5.4E-5</v>
      </c>
      <c r="Y711" s="2">
        <v>25.87012987</v>
      </c>
      <c r="AA711" s="2" t="s">
        <v>33</v>
      </c>
    </row>
    <row r="712">
      <c r="A712" s="2">
        <v>2103.0</v>
      </c>
      <c r="B712" s="2" t="s">
        <v>2105</v>
      </c>
      <c r="C712" s="2" t="s">
        <v>7</v>
      </c>
      <c r="D712" s="2" t="s">
        <v>2106</v>
      </c>
      <c r="E712" s="2" t="s">
        <v>2107</v>
      </c>
      <c r="F712" s="6">
        <v>45792.708333333336</v>
      </c>
      <c r="G712" s="2">
        <v>58097.0</v>
      </c>
      <c r="H712" s="2">
        <v>58097.0</v>
      </c>
      <c r="I712" s="2">
        <v>50204.0</v>
      </c>
      <c r="J712" s="2">
        <v>434.0</v>
      </c>
      <c r="K712" s="2">
        <v>344.0</v>
      </c>
      <c r="L712" s="2">
        <v>4.0</v>
      </c>
      <c r="M712" s="4">
        <v>9192.0</v>
      </c>
      <c r="N712" s="2" t="s">
        <v>30</v>
      </c>
      <c r="O712" s="2">
        <v>70.0</v>
      </c>
      <c r="P712" s="2" t="s">
        <v>31</v>
      </c>
      <c r="Q712" s="2" t="s">
        <v>32</v>
      </c>
      <c r="R712" s="2">
        <v>35.0</v>
      </c>
      <c r="T712" s="2" t="s">
        <v>2108</v>
      </c>
      <c r="U712" s="2" t="b">
        <v>0</v>
      </c>
      <c r="V712" s="5">
        <v>0.0069</v>
      </c>
      <c r="W712" s="5">
        <v>0.0116</v>
      </c>
      <c r="X712" s="5">
        <v>8.0E-5</v>
      </c>
      <c r="Y712" s="2">
        <v>26.72093023</v>
      </c>
      <c r="Z712" s="2" t="s">
        <v>2109</v>
      </c>
      <c r="AA712" s="2" t="s">
        <v>33</v>
      </c>
    </row>
    <row r="713">
      <c r="A713" s="2">
        <v>2105.0</v>
      </c>
      <c r="B713" s="2" t="s">
        <v>2110</v>
      </c>
      <c r="C713" s="2" t="s">
        <v>7</v>
      </c>
      <c r="D713" s="2" t="s">
        <v>2111</v>
      </c>
      <c r="E713" s="2" t="s">
        <v>2112</v>
      </c>
      <c r="F713" s="6">
        <v>45793.45486111111</v>
      </c>
      <c r="G713" s="2">
        <v>58157.0</v>
      </c>
      <c r="H713" s="2">
        <v>58157.0</v>
      </c>
      <c r="I713" s="2">
        <v>50128.0</v>
      </c>
      <c r="J713" s="2">
        <v>403.0</v>
      </c>
      <c r="K713" s="2">
        <v>342.0</v>
      </c>
      <c r="L713" s="2">
        <v>10.0</v>
      </c>
      <c r="M713" s="4">
        <v>15306.0</v>
      </c>
      <c r="N713" s="2" t="s">
        <v>30</v>
      </c>
      <c r="O713" s="2">
        <v>70.0</v>
      </c>
      <c r="P713" s="2" t="s">
        <v>31</v>
      </c>
      <c r="Q713" s="2" t="s">
        <v>32</v>
      </c>
      <c r="R713" s="2">
        <v>32.0</v>
      </c>
      <c r="U713" s="2" t="b">
        <v>0</v>
      </c>
      <c r="V713" s="5">
        <v>0.0068</v>
      </c>
      <c r="W713" s="5">
        <v>0.0292</v>
      </c>
      <c r="X713" s="5">
        <v>1.99E-4</v>
      </c>
      <c r="Y713" s="2">
        <v>44.75438596</v>
      </c>
      <c r="Z713" s="2">
        <v>4254.0</v>
      </c>
      <c r="AA713" s="2" t="s">
        <v>33</v>
      </c>
    </row>
    <row r="714">
      <c r="A714" s="2">
        <v>2106.0</v>
      </c>
      <c r="B714" s="2" t="s">
        <v>2113</v>
      </c>
      <c r="C714" s="2" t="s">
        <v>7</v>
      </c>
      <c r="D714" s="2" t="s">
        <v>2114</v>
      </c>
      <c r="E714" s="2" t="s">
        <v>2115</v>
      </c>
      <c r="F714" s="6">
        <v>45793.455555555556</v>
      </c>
      <c r="G714" s="2">
        <v>44715.0</v>
      </c>
      <c r="H714" s="2">
        <v>44715.0</v>
      </c>
      <c r="I714" s="2">
        <v>37125.0</v>
      </c>
      <c r="J714" s="2">
        <v>290.0</v>
      </c>
      <c r="K714" s="2">
        <v>220.0</v>
      </c>
      <c r="L714" s="2">
        <v>10.0</v>
      </c>
      <c r="M714" s="4">
        <v>36209.0</v>
      </c>
      <c r="N714" s="2" t="s">
        <v>36</v>
      </c>
      <c r="O714" s="2">
        <v>71.0</v>
      </c>
      <c r="P714" s="2" t="s">
        <v>31</v>
      </c>
      <c r="Q714" s="2" t="s">
        <v>32</v>
      </c>
      <c r="R714" s="2">
        <v>31.0</v>
      </c>
      <c r="T714" s="2" t="s">
        <v>2116</v>
      </c>
      <c r="U714" s="2" t="b">
        <v>0</v>
      </c>
      <c r="V714" s="5">
        <v>0.0059</v>
      </c>
      <c r="W714" s="5">
        <v>0.0455</v>
      </c>
      <c r="X714" s="5">
        <v>2.69E-4</v>
      </c>
      <c r="Y714" s="2">
        <v>164.5863636</v>
      </c>
      <c r="AA714" s="2" t="s">
        <v>33</v>
      </c>
    </row>
    <row r="715">
      <c r="A715" s="2">
        <v>2108.0</v>
      </c>
      <c r="B715" s="2" t="s">
        <v>2117</v>
      </c>
      <c r="C715" s="2" t="s">
        <v>7</v>
      </c>
      <c r="D715" s="2" t="s">
        <v>2118</v>
      </c>
      <c r="E715" s="2" t="s">
        <v>2119</v>
      </c>
      <c r="F715" s="6">
        <v>45793.625</v>
      </c>
      <c r="G715" s="2">
        <v>44714.0</v>
      </c>
      <c r="H715" s="2">
        <v>44714.0</v>
      </c>
      <c r="I715" s="2">
        <v>37370.0</v>
      </c>
      <c r="J715" s="2">
        <v>244.0</v>
      </c>
      <c r="K715" s="2">
        <v>191.0</v>
      </c>
      <c r="L715" s="2">
        <v>4.0</v>
      </c>
      <c r="M715" s="4">
        <v>4388.0</v>
      </c>
      <c r="N715" s="2" t="s">
        <v>36</v>
      </c>
      <c r="O715" s="2">
        <v>71.0</v>
      </c>
      <c r="P715" s="2" t="s">
        <v>31</v>
      </c>
      <c r="Q715" s="2" t="s">
        <v>32</v>
      </c>
      <c r="R715" s="2">
        <v>33.0</v>
      </c>
      <c r="T715" s="2" t="s">
        <v>47</v>
      </c>
      <c r="U715" s="2" t="b">
        <v>0</v>
      </c>
      <c r="V715" s="5">
        <v>0.0051</v>
      </c>
      <c r="W715" s="5">
        <v>0.0209</v>
      </c>
      <c r="X715" s="5">
        <v>1.07E-4</v>
      </c>
      <c r="Y715" s="2">
        <v>22.97382199</v>
      </c>
      <c r="AA715" s="2" t="s">
        <v>33</v>
      </c>
    </row>
    <row r="716">
      <c r="A716" s="2">
        <v>2107.0</v>
      </c>
      <c r="B716" s="2" t="s">
        <v>2120</v>
      </c>
      <c r="C716" s="2" t="s">
        <v>7</v>
      </c>
      <c r="D716" s="2" t="s">
        <v>2121</v>
      </c>
      <c r="E716" s="2" t="s">
        <v>2122</v>
      </c>
      <c r="F716" s="6">
        <v>45793.625</v>
      </c>
      <c r="G716" s="2">
        <v>58202.0</v>
      </c>
      <c r="H716" s="2">
        <v>58202.0</v>
      </c>
      <c r="I716" s="2">
        <v>50341.0</v>
      </c>
      <c r="J716" s="2">
        <v>545.0</v>
      </c>
      <c r="K716" s="2">
        <v>441.0</v>
      </c>
      <c r="L716" s="2">
        <v>8.0</v>
      </c>
      <c r="M716" s="4">
        <v>9778.0</v>
      </c>
      <c r="N716" s="2" t="s">
        <v>30</v>
      </c>
      <c r="O716" s="2">
        <v>70.0</v>
      </c>
      <c r="P716" s="2" t="s">
        <v>31</v>
      </c>
      <c r="Q716" s="2" t="s">
        <v>32</v>
      </c>
      <c r="R716" s="2">
        <v>29.0</v>
      </c>
      <c r="T716" s="2" t="s">
        <v>2123</v>
      </c>
      <c r="U716" s="2" t="b">
        <v>0</v>
      </c>
      <c r="V716" s="5">
        <v>0.0088</v>
      </c>
      <c r="W716" s="5">
        <v>0.0181</v>
      </c>
      <c r="X716" s="5">
        <v>1.59E-4</v>
      </c>
      <c r="Y716" s="2">
        <v>22.1723356</v>
      </c>
      <c r="AA716" s="2" t="s">
        <v>33</v>
      </c>
    </row>
    <row r="717">
      <c r="A717" s="2">
        <v>2110.0</v>
      </c>
      <c r="B717" s="2" t="s">
        <v>2124</v>
      </c>
      <c r="C717" s="2" t="s">
        <v>7</v>
      </c>
      <c r="D717" s="2" t="s">
        <v>2125</v>
      </c>
      <c r="E717" s="2" t="s">
        <v>2126</v>
      </c>
      <c r="F717" s="6">
        <v>45793.708333333336</v>
      </c>
      <c r="G717" s="2">
        <v>44721.0</v>
      </c>
      <c r="H717" s="2">
        <v>44721.0</v>
      </c>
      <c r="I717" s="2">
        <v>37420.0</v>
      </c>
      <c r="J717" s="2">
        <v>240.0</v>
      </c>
      <c r="K717" s="2">
        <v>183.0</v>
      </c>
      <c r="L717" s="2">
        <v>6.0</v>
      </c>
      <c r="M717" s="4">
        <v>14374.0</v>
      </c>
      <c r="N717" s="2" t="s">
        <v>36</v>
      </c>
      <c r="O717" s="2">
        <v>71.0</v>
      </c>
      <c r="P717" s="2" t="s">
        <v>31</v>
      </c>
      <c r="Q717" s="2" t="s">
        <v>32</v>
      </c>
      <c r="R717" s="2">
        <v>33.0</v>
      </c>
      <c r="U717" s="2" t="b">
        <v>0</v>
      </c>
      <c r="V717" s="5">
        <v>0.0049</v>
      </c>
      <c r="W717" s="5">
        <v>0.0328</v>
      </c>
      <c r="X717" s="5">
        <v>1.6E-4</v>
      </c>
      <c r="Y717" s="2">
        <v>78.54644809</v>
      </c>
      <c r="AA717" s="2" t="s">
        <v>33</v>
      </c>
    </row>
    <row r="718">
      <c r="A718" s="2">
        <v>2109.0</v>
      </c>
      <c r="B718" s="2" t="s">
        <v>2127</v>
      </c>
      <c r="C718" s="2" t="s">
        <v>7</v>
      </c>
      <c r="D718" s="2" t="s">
        <v>2128</v>
      </c>
      <c r="E718" s="2" t="s">
        <v>2129</v>
      </c>
      <c r="F718" s="6">
        <v>45793.708333333336</v>
      </c>
      <c r="G718" s="2">
        <v>58231.0</v>
      </c>
      <c r="H718" s="2">
        <v>58231.0</v>
      </c>
      <c r="I718" s="2">
        <v>50362.0</v>
      </c>
      <c r="J718" s="2">
        <v>225.0</v>
      </c>
      <c r="K718" s="2">
        <v>186.0</v>
      </c>
      <c r="L718" s="2">
        <v>1.0</v>
      </c>
      <c r="M718" s="2">
        <v>890.0</v>
      </c>
      <c r="N718" s="2" t="s">
        <v>30</v>
      </c>
      <c r="O718" s="2">
        <v>70.0</v>
      </c>
      <c r="P718" s="2" t="s">
        <v>31</v>
      </c>
      <c r="Q718" s="2" t="s">
        <v>32</v>
      </c>
      <c r="R718" s="2">
        <v>30.0</v>
      </c>
      <c r="T718" s="2" t="s">
        <v>2130</v>
      </c>
      <c r="U718" s="2" t="b">
        <v>0</v>
      </c>
      <c r="V718" s="5">
        <v>0.0037</v>
      </c>
      <c r="W718" s="5">
        <v>0.0054</v>
      </c>
      <c r="X718" s="5">
        <v>2.0E-5</v>
      </c>
      <c r="Y718" s="2">
        <v>4.784946237</v>
      </c>
      <c r="Z718" s="2">
        <v>3600.0</v>
      </c>
      <c r="AA718" s="2" t="s">
        <v>33</v>
      </c>
    </row>
    <row r="719">
      <c r="A719" s="2">
        <v>2111.0</v>
      </c>
      <c r="B719" s="2" t="s">
        <v>2131</v>
      </c>
      <c r="C719" s="2" t="s">
        <v>7</v>
      </c>
      <c r="D719" s="2" t="s">
        <v>2132</v>
      </c>
      <c r="E719" s="2" t="s">
        <v>2133</v>
      </c>
      <c r="F719" s="6">
        <v>45794.49236111111</v>
      </c>
      <c r="G719" s="2">
        <v>58333.0</v>
      </c>
      <c r="H719" s="2">
        <v>58333.0</v>
      </c>
      <c r="I719" s="2">
        <v>50264.0</v>
      </c>
      <c r="J719" s="2">
        <v>363.0</v>
      </c>
      <c r="K719" s="2">
        <v>296.0</v>
      </c>
      <c r="L719" s="2">
        <v>5.0</v>
      </c>
      <c r="M719" s="4">
        <v>16466.0</v>
      </c>
      <c r="N719" s="2" t="s">
        <v>30</v>
      </c>
      <c r="O719" s="2">
        <v>70.0</v>
      </c>
      <c r="P719" s="2" t="s">
        <v>31</v>
      </c>
      <c r="Q719" s="2" t="s">
        <v>32</v>
      </c>
      <c r="R719" s="2">
        <v>34.0</v>
      </c>
      <c r="T719" s="2" t="s">
        <v>143</v>
      </c>
      <c r="U719" s="2" t="b">
        <v>0</v>
      </c>
      <c r="V719" s="5">
        <v>0.0059</v>
      </c>
      <c r="W719" s="5">
        <v>0.0169</v>
      </c>
      <c r="X719" s="5">
        <v>9.9E-5</v>
      </c>
      <c r="Y719" s="2">
        <v>55.62837838</v>
      </c>
      <c r="Z719" s="2">
        <v>1768.0</v>
      </c>
      <c r="AA719" s="2" t="s">
        <v>33</v>
      </c>
    </row>
    <row r="720">
      <c r="A720" s="2">
        <v>2112.0</v>
      </c>
      <c r="B720" s="2" t="s">
        <v>2134</v>
      </c>
      <c r="C720" s="2" t="s">
        <v>7</v>
      </c>
      <c r="D720" s="2" t="s">
        <v>2135</v>
      </c>
      <c r="E720" s="2" t="s">
        <v>2136</v>
      </c>
      <c r="F720" s="6">
        <v>45794.49444444444</v>
      </c>
      <c r="G720" s="2">
        <v>44752.0</v>
      </c>
      <c r="H720" s="2">
        <v>44752.0</v>
      </c>
      <c r="I720" s="2">
        <v>37141.0</v>
      </c>
      <c r="J720" s="2">
        <v>242.0</v>
      </c>
      <c r="K720" s="2">
        <v>192.0</v>
      </c>
      <c r="L720" s="2">
        <v>3.0</v>
      </c>
      <c r="M720" s="4">
        <v>7421.0</v>
      </c>
      <c r="N720" s="2" t="s">
        <v>36</v>
      </c>
      <c r="O720" s="2">
        <v>71.0</v>
      </c>
      <c r="P720" s="2" t="s">
        <v>31</v>
      </c>
      <c r="Q720" s="2" t="s">
        <v>32</v>
      </c>
      <c r="R720" s="2">
        <v>34.0</v>
      </c>
      <c r="T720" s="2" t="s">
        <v>143</v>
      </c>
      <c r="U720" s="2" t="b">
        <v>1</v>
      </c>
      <c r="V720" s="5">
        <v>0.0052</v>
      </c>
      <c r="W720" s="5">
        <v>0.0156</v>
      </c>
      <c r="X720" s="5">
        <v>8.1E-5</v>
      </c>
      <c r="Y720" s="2">
        <v>38.65104167</v>
      </c>
      <c r="AA720" s="2" t="s">
        <v>33</v>
      </c>
    </row>
    <row r="721">
      <c r="A721" s="2">
        <v>2114.0</v>
      </c>
      <c r="B721" s="2" t="s">
        <v>2137</v>
      </c>
      <c r="C721" s="2" t="s">
        <v>7</v>
      </c>
      <c r="D721" s="2" t="s">
        <v>2138</v>
      </c>
      <c r="E721" s="2" t="s">
        <v>2139</v>
      </c>
      <c r="F721" s="6">
        <v>45794.625</v>
      </c>
      <c r="G721" s="2">
        <v>44772.0</v>
      </c>
      <c r="H721" s="2">
        <v>44772.0</v>
      </c>
      <c r="I721" s="2">
        <v>37373.0</v>
      </c>
      <c r="J721" s="2">
        <v>326.0</v>
      </c>
      <c r="K721" s="2">
        <v>265.0</v>
      </c>
      <c r="L721" s="2">
        <v>7.0</v>
      </c>
      <c r="M721" s="4">
        <v>25661.0</v>
      </c>
      <c r="N721" s="2" t="s">
        <v>36</v>
      </c>
      <c r="O721" s="2">
        <v>71.0</v>
      </c>
      <c r="P721" s="2" t="s">
        <v>31</v>
      </c>
      <c r="Q721" s="2" t="s">
        <v>32</v>
      </c>
      <c r="R721" s="2">
        <v>32.0</v>
      </c>
      <c r="U721" s="2" t="b">
        <v>0</v>
      </c>
      <c r="V721" s="5">
        <v>0.0071</v>
      </c>
      <c r="W721" s="5">
        <v>0.0264</v>
      </c>
      <c r="X721" s="5">
        <v>1.87E-4</v>
      </c>
      <c r="Y721" s="2">
        <v>96.83396226</v>
      </c>
      <c r="AA721" s="2" t="s">
        <v>33</v>
      </c>
    </row>
    <row r="722">
      <c r="A722" s="2">
        <v>2113.0</v>
      </c>
      <c r="B722" s="2" t="s">
        <v>2140</v>
      </c>
      <c r="C722" s="2" t="s">
        <v>7</v>
      </c>
      <c r="D722" s="2" t="s">
        <v>2141</v>
      </c>
      <c r="E722" s="2" t="s">
        <v>2142</v>
      </c>
      <c r="F722" s="6">
        <v>45794.625</v>
      </c>
      <c r="G722" s="2">
        <v>58373.0</v>
      </c>
      <c r="H722" s="2">
        <v>58373.0</v>
      </c>
      <c r="I722" s="2">
        <v>50435.0</v>
      </c>
      <c r="J722" s="2">
        <v>275.0</v>
      </c>
      <c r="K722" s="2">
        <v>229.0</v>
      </c>
      <c r="L722" s="2">
        <v>3.0</v>
      </c>
      <c r="M722" s="4">
        <v>7828.0</v>
      </c>
      <c r="N722" s="2" t="s">
        <v>30</v>
      </c>
      <c r="O722" s="2">
        <v>70.0</v>
      </c>
      <c r="P722" s="2" t="s">
        <v>31</v>
      </c>
      <c r="Q722" s="2" t="s">
        <v>32</v>
      </c>
      <c r="R722" s="2">
        <v>47.0</v>
      </c>
      <c r="T722" s="2" t="s">
        <v>47</v>
      </c>
      <c r="U722" s="2" t="b">
        <v>0</v>
      </c>
      <c r="V722" s="5">
        <v>0.0045</v>
      </c>
      <c r="W722" s="5">
        <v>0.0131</v>
      </c>
      <c r="X722" s="5">
        <v>5.9E-5</v>
      </c>
      <c r="Y722" s="2">
        <v>34.18340611</v>
      </c>
      <c r="AA722" s="2" t="s">
        <v>33</v>
      </c>
    </row>
    <row r="723">
      <c r="A723" s="2">
        <v>2116.0</v>
      </c>
      <c r="B723" s="2" t="s">
        <v>2143</v>
      </c>
      <c r="C723" s="2" t="s">
        <v>7</v>
      </c>
      <c r="D723" s="2" t="s">
        <v>2144</v>
      </c>
      <c r="E723" s="2" t="s">
        <v>2145</v>
      </c>
      <c r="F723" s="6">
        <v>45794.708333333336</v>
      </c>
      <c r="G723" s="2">
        <v>44784.0</v>
      </c>
      <c r="H723" s="2">
        <v>44784.0</v>
      </c>
      <c r="I723" s="2">
        <v>37437.0</v>
      </c>
      <c r="J723" s="2">
        <v>324.0</v>
      </c>
      <c r="K723" s="2">
        <v>249.0</v>
      </c>
      <c r="L723" s="2">
        <v>2.0</v>
      </c>
      <c r="M723" s="4">
        <v>5235.0</v>
      </c>
      <c r="N723" s="2" t="s">
        <v>36</v>
      </c>
      <c r="O723" s="2">
        <v>71.0</v>
      </c>
      <c r="P723" s="2" t="s">
        <v>31</v>
      </c>
      <c r="Q723" s="2" t="s">
        <v>32</v>
      </c>
      <c r="R723" s="2">
        <v>23.0</v>
      </c>
      <c r="U723" s="2" t="b">
        <v>1</v>
      </c>
      <c r="V723" s="5">
        <v>0.0067</v>
      </c>
      <c r="W723" s="5">
        <v>0.008</v>
      </c>
      <c r="X723" s="5">
        <v>5.3E-5</v>
      </c>
      <c r="Y723" s="2">
        <v>21.02409639</v>
      </c>
      <c r="AA723" s="2" t="s">
        <v>33</v>
      </c>
    </row>
    <row r="724">
      <c r="A724" s="2">
        <v>2115.0</v>
      </c>
      <c r="B724" s="2" t="s">
        <v>2146</v>
      </c>
      <c r="C724" s="2" t="s">
        <v>7</v>
      </c>
      <c r="D724" s="2" t="s">
        <v>2147</v>
      </c>
      <c r="E724" s="2" t="s">
        <v>2148</v>
      </c>
      <c r="F724" s="6">
        <v>45794.708333333336</v>
      </c>
      <c r="G724" s="2">
        <v>58422.0</v>
      </c>
      <c r="H724" s="2">
        <v>58422.0</v>
      </c>
      <c r="I724" s="2">
        <v>50515.0</v>
      </c>
      <c r="J724" s="2">
        <v>370.0</v>
      </c>
      <c r="K724" s="2">
        <v>315.0</v>
      </c>
      <c r="L724" s="2">
        <v>5.0</v>
      </c>
      <c r="M724" s="4">
        <v>8337.0</v>
      </c>
      <c r="N724" s="2" t="s">
        <v>30</v>
      </c>
      <c r="O724" s="2">
        <v>70.0</v>
      </c>
      <c r="P724" s="2" t="s">
        <v>31</v>
      </c>
      <c r="Q724" s="2" t="s">
        <v>32</v>
      </c>
      <c r="R724" s="2">
        <v>28.0</v>
      </c>
      <c r="T724" s="2" t="s">
        <v>1185</v>
      </c>
      <c r="U724" s="2" t="b">
        <v>0</v>
      </c>
      <c r="V724" s="5">
        <v>0.0062</v>
      </c>
      <c r="W724" s="5">
        <v>0.0159</v>
      </c>
      <c r="X724" s="5">
        <v>9.9E-5</v>
      </c>
      <c r="Y724" s="2">
        <v>26.46666667</v>
      </c>
      <c r="Z724" s="2">
        <v>1728.0</v>
      </c>
      <c r="AA724" s="2" t="s">
        <v>33</v>
      </c>
    </row>
    <row r="725">
      <c r="A725" s="2">
        <v>2117.0</v>
      </c>
      <c r="B725" s="2" t="s">
        <v>2149</v>
      </c>
      <c r="C725" s="2" t="s">
        <v>7</v>
      </c>
      <c r="D725" s="2" t="s">
        <v>2150</v>
      </c>
      <c r="E725" s="2" t="s">
        <v>2151</v>
      </c>
      <c r="F725" s="6">
        <v>45796.495833333334</v>
      </c>
      <c r="G725" s="2">
        <v>57935.0</v>
      </c>
      <c r="H725" s="2">
        <v>57935.0</v>
      </c>
      <c r="I725" s="2">
        <v>49992.0</v>
      </c>
      <c r="J725" s="2">
        <v>297.0</v>
      </c>
      <c r="K725" s="2">
        <v>236.0</v>
      </c>
      <c r="L725" s="2">
        <v>1.0</v>
      </c>
      <c r="M725" s="4">
        <v>2580.0</v>
      </c>
      <c r="N725" s="2" t="s">
        <v>30</v>
      </c>
      <c r="O725" s="2">
        <v>70.0</v>
      </c>
      <c r="P725" s="2" t="s">
        <v>31</v>
      </c>
      <c r="Q725" s="2" t="s">
        <v>32</v>
      </c>
      <c r="R725" s="2">
        <v>39.0</v>
      </c>
      <c r="U725" s="2" t="b">
        <v>0</v>
      </c>
      <c r="V725" s="5">
        <v>0.0047</v>
      </c>
      <c r="W725" s="5">
        <v>0.0042</v>
      </c>
      <c r="X725" s="5">
        <v>2.0E-5</v>
      </c>
      <c r="Y725" s="2">
        <v>10.93220339</v>
      </c>
      <c r="AA725" s="2" t="s">
        <v>33</v>
      </c>
    </row>
    <row r="726">
      <c r="A726" s="2">
        <v>2118.0</v>
      </c>
      <c r="B726" s="2" t="s">
        <v>2152</v>
      </c>
      <c r="C726" s="2" t="s">
        <v>7</v>
      </c>
      <c r="D726" s="2" t="s">
        <v>2153</v>
      </c>
      <c r="E726" s="2" t="s">
        <v>2154</v>
      </c>
      <c r="F726" s="6">
        <v>45796.509722222225</v>
      </c>
      <c r="G726" s="2">
        <v>44664.0</v>
      </c>
      <c r="H726" s="2">
        <v>44664.0</v>
      </c>
      <c r="I726" s="2">
        <v>36917.0</v>
      </c>
      <c r="J726" s="2">
        <v>274.0</v>
      </c>
      <c r="K726" s="2">
        <v>209.0</v>
      </c>
      <c r="L726" s="2">
        <v>1.0</v>
      </c>
      <c r="M726" s="4">
        <v>1500.0</v>
      </c>
      <c r="N726" s="2" t="s">
        <v>36</v>
      </c>
      <c r="O726" s="2">
        <v>71.0</v>
      </c>
      <c r="P726" s="2" t="s">
        <v>31</v>
      </c>
      <c r="Q726" s="2" t="s">
        <v>32</v>
      </c>
      <c r="R726" s="2">
        <v>40.0</v>
      </c>
      <c r="T726" s="2" t="s">
        <v>47</v>
      </c>
      <c r="U726" s="2" t="b">
        <v>0</v>
      </c>
      <c r="V726" s="5">
        <v>0.0057</v>
      </c>
      <c r="W726" s="5">
        <v>0.0048</v>
      </c>
      <c r="X726" s="5">
        <v>2.7E-5</v>
      </c>
      <c r="Y726" s="2">
        <v>7.177033493</v>
      </c>
      <c r="AA726" s="2" t="s">
        <v>33</v>
      </c>
    </row>
    <row r="727">
      <c r="A727" s="2">
        <v>2120.0</v>
      </c>
      <c r="B727" s="2" t="s">
        <v>2155</v>
      </c>
      <c r="C727" s="2" t="s">
        <v>7</v>
      </c>
      <c r="D727" s="2" t="s">
        <v>2156</v>
      </c>
      <c r="E727" s="2" t="s">
        <v>2157</v>
      </c>
      <c r="F727" s="6">
        <v>45796.625</v>
      </c>
      <c r="G727" s="2">
        <v>44545.0</v>
      </c>
      <c r="H727" s="2">
        <v>44545.0</v>
      </c>
      <c r="I727" s="2">
        <v>37287.0</v>
      </c>
      <c r="J727" s="2">
        <v>310.0</v>
      </c>
      <c r="K727" s="2">
        <v>242.0</v>
      </c>
      <c r="L727" s="2">
        <v>1.0</v>
      </c>
      <c r="M727" s="2">
        <v>790.0</v>
      </c>
      <c r="N727" s="2" t="s">
        <v>36</v>
      </c>
      <c r="O727" s="2">
        <v>71.0</v>
      </c>
      <c r="P727" s="2" t="s">
        <v>31</v>
      </c>
      <c r="Q727" s="2" t="s">
        <v>32</v>
      </c>
      <c r="R727" s="2">
        <v>31.0</v>
      </c>
      <c r="T727" s="2" t="s">
        <v>58</v>
      </c>
      <c r="U727" s="2" t="b">
        <v>1</v>
      </c>
      <c r="V727" s="5">
        <v>0.0065</v>
      </c>
      <c r="W727" s="5">
        <v>0.0041</v>
      </c>
      <c r="X727" s="5">
        <v>2.7E-5</v>
      </c>
      <c r="Y727" s="2">
        <v>3.26446281</v>
      </c>
      <c r="AA727" s="2" t="s">
        <v>33</v>
      </c>
    </row>
    <row r="728">
      <c r="A728" s="2">
        <v>2119.0</v>
      </c>
      <c r="B728" s="2" t="s">
        <v>2158</v>
      </c>
      <c r="C728" s="2" t="s">
        <v>7</v>
      </c>
      <c r="D728" s="2" t="s">
        <v>2159</v>
      </c>
      <c r="E728" s="2" t="s">
        <v>2160</v>
      </c>
      <c r="F728" s="6">
        <v>45796.625</v>
      </c>
      <c r="G728" s="2">
        <v>57879.0</v>
      </c>
      <c r="H728" s="2">
        <v>57879.0</v>
      </c>
      <c r="I728" s="2">
        <v>50073.0</v>
      </c>
      <c r="J728" s="2">
        <v>442.0</v>
      </c>
      <c r="K728" s="2">
        <v>346.0</v>
      </c>
      <c r="L728" s="2">
        <v>5.0</v>
      </c>
      <c r="M728" s="4">
        <v>13061.0</v>
      </c>
      <c r="N728" s="2" t="s">
        <v>30</v>
      </c>
      <c r="O728" s="2">
        <v>70.0</v>
      </c>
      <c r="P728" s="2" t="s">
        <v>31</v>
      </c>
      <c r="Q728" s="2" t="s">
        <v>32</v>
      </c>
      <c r="R728" s="2">
        <v>30.0</v>
      </c>
      <c r="U728" s="2" t="b">
        <v>0</v>
      </c>
      <c r="V728" s="5">
        <v>0.0069</v>
      </c>
      <c r="W728" s="5">
        <v>0.0145</v>
      </c>
      <c r="X728" s="5">
        <v>1.0E-4</v>
      </c>
      <c r="Y728" s="2">
        <v>37.74855491</v>
      </c>
      <c r="Z728" s="2">
        <v>2483.0</v>
      </c>
      <c r="AA728" s="2" t="s">
        <v>33</v>
      </c>
    </row>
    <row r="729">
      <c r="A729" s="2">
        <v>2122.0</v>
      </c>
      <c r="B729" s="2" t="s">
        <v>2161</v>
      </c>
      <c r="C729" s="2" t="s">
        <v>7</v>
      </c>
      <c r="D729" s="2" t="s">
        <v>2162</v>
      </c>
      <c r="E729" s="2" t="s">
        <v>2163</v>
      </c>
      <c r="F729" s="6">
        <v>45796.708333333336</v>
      </c>
      <c r="G729" s="2">
        <v>44551.0</v>
      </c>
      <c r="H729" s="2">
        <v>44551.0</v>
      </c>
      <c r="I729" s="2">
        <v>37289.0</v>
      </c>
      <c r="J729" s="2">
        <v>219.0</v>
      </c>
      <c r="K729" s="2">
        <v>172.0</v>
      </c>
      <c r="L729" s="2">
        <v>5.0</v>
      </c>
      <c r="M729" s="4">
        <v>13614.0</v>
      </c>
      <c r="N729" s="2" t="s">
        <v>36</v>
      </c>
      <c r="O729" s="2">
        <v>71.0</v>
      </c>
      <c r="P729" s="2" t="s">
        <v>31</v>
      </c>
      <c r="Q729" s="2" t="s">
        <v>32</v>
      </c>
      <c r="R729" s="2">
        <v>32.0</v>
      </c>
      <c r="T729" s="2" t="s">
        <v>162</v>
      </c>
      <c r="U729" s="2" t="b">
        <v>0</v>
      </c>
      <c r="V729" s="5">
        <v>0.0046</v>
      </c>
      <c r="W729" s="5">
        <v>0.0291</v>
      </c>
      <c r="X729" s="5">
        <v>1.34E-4</v>
      </c>
      <c r="Y729" s="2">
        <v>79.15116279</v>
      </c>
      <c r="AA729" s="2" t="s">
        <v>33</v>
      </c>
    </row>
    <row r="730">
      <c r="A730" s="2">
        <v>2121.0</v>
      </c>
      <c r="B730" s="2" t="s">
        <v>2164</v>
      </c>
      <c r="C730" s="2" t="s">
        <v>7</v>
      </c>
      <c r="D730" s="2" t="s">
        <v>2165</v>
      </c>
      <c r="E730" s="2" t="s">
        <v>2166</v>
      </c>
      <c r="F730" s="6">
        <v>45796.708333333336</v>
      </c>
      <c r="G730" s="2">
        <v>57907.0</v>
      </c>
      <c r="H730" s="2">
        <v>57907.0</v>
      </c>
      <c r="I730" s="2">
        <v>50154.0</v>
      </c>
      <c r="J730" s="2">
        <v>268.0</v>
      </c>
      <c r="K730" s="2">
        <v>212.0</v>
      </c>
      <c r="L730" s="2">
        <v>1.0</v>
      </c>
      <c r="M730" s="2">
        <v>990.0</v>
      </c>
      <c r="N730" s="2" t="s">
        <v>30</v>
      </c>
      <c r="O730" s="2">
        <v>70.0</v>
      </c>
      <c r="P730" s="2" t="s">
        <v>31</v>
      </c>
      <c r="Q730" s="2" t="s">
        <v>32</v>
      </c>
      <c r="R730" s="2">
        <v>28.0</v>
      </c>
      <c r="T730" s="2" t="s">
        <v>47</v>
      </c>
      <c r="U730" s="2" t="b">
        <v>0</v>
      </c>
      <c r="V730" s="5">
        <v>0.0042</v>
      </c>
      <c r="W730" s="5">
        <v>0.0047</v>
      </c>
      <c r="X730" s="5">
        <v>2.0E-5</v>
      </c>
      <c r="Y730" s="2">
        <v>4.669811321</v>
      </c>
      <c r="Z730" s="2">
        <v>5524.0</v>
      </c>
      <c r="AA730" s="2" t="s">
        <v>33</v>
      </c>
    </row>
    <row r="731">
      <c r="A731" s="2">
        <v>2130.0</v>
      </c>
      <c r="B731" s="2" t="s">
        <v>2167</v>
      </c>
      <c r="C731" s="2" t="s">
        <v>7</v>
      </c>
      <c r="D731" s="2" t="s">
        <v>2168</v>
      </c>
      <c r="E731" s="2" t="s">
        <v>2169</v>
      </c>
      <c r="F731" s="6">
        <v>45797.49513888889</v>
      </c>
      <c r="G731" s="2">
        <v>58031.0</v>
      </c>
      <c r="H731" s="2">
        <v>58031.0</v>
      </c>
      <c r="I731" s="2">
        <v>50112.0</v>
      </c>
      <c r="J731" s="2">
        <v>309.0</v>
      </c>
      <c r="K731" s="2">
        <v>250.0</v>
      </c>
      <c r="L731" s="2">
        <v>3.0</v>
      </c>
      <c r="M731" s="4">
        <v>4380.0</v>
      </c>
      <c r="N731" s="2" t="s">
        <v>30</v>
      </c>
      <c r="O731" s="2">
        <v>70.0</v>
      </c>
      <c r="P731" s="2" t="s">
        <v>31</v>
      </c>
      <c r="Q731" s="2" t="s">
        <v>32</v>
      </c>
      <c r="R731" s="2">
        <v>38.0</v>
      </c>
      <c r="T731" s="2" t="s">
        <v>47</v>
      </c>
      <c r="U731" s="2" t="b">
        <v>0</v>
      </c>
      <c r="V731" s="5">
        <v>0.005</v>
      </c>
      <c r="W731" s="5">
        <v>0.012</v>
      </c>
      <c r="X731" s="5">
        <v>6.0E-5</v>
      </c>
      <c r="Y731" s="2">
        <v>17.52</v>
      </c>
      <c r="AA731" s="2" t="s">
        <v>33</v>
      </c>
    </row>
    <row r="732">
      <c r="A732" s="2">
        <v>2131.0</v>
      </c>
      <c r="B732" s="2" t="s">
        <v>2170</v>
      </c>
      <c r="C732" s="2" t="s">
        <v>7</v>
      </c>
      <c r="D732" s="2" t="s">
        <v>2171</v>
      </c>
      <c r="E732" s="2" t="s">
        <v>2172</v>
      </c>
      <c r="F732" s="6">
        <v>45797.49722222222</v>
      </c>
      <c r="G732" s="2">
        <v>44573.0</v>
      </c>
      <c r="H732" s="2">
        <v>44573.0</v>
      </c>
      <c r="I732" s="2">
        <v>37176.0</v>
      </c>
      <c r="J732" s="2">
        <v>294.0</v>
      </c>
      <c r="K732" s="2">
        <v>224.0</v>
      </c>
      <c r="L732" s="2">
        <v>3.0</v>
      </c>
      <c r="M732" s="4">
        <v>7038.0</v>
      </c>
      <c r="N732" s="2" t="s">
        <v>36</v>
      </c>
      <c r="O732" s="2">
        <v>71.0</v>
      </c>
      <c r="P732" s="2" t="s">
        <v>31</v>
      </c>
      <c r="Q732" s="2" t="s">
        <v>32</v>
      </c>
      <c r="R732" s="2">
        <v>37.0</v>
      </c>
      <c r="U732" s="2" t="b">
        <v>0</v>
      </c>
      <c r="V732" s="5">
        <v>0.006</v>
      </c>
      <c r="W732" s="5">
        <v>0.0134</v>
      </c>
      <c r="X732" s="5">
        <v>8.1E-5</v>
      </c>
      <c r="Y732" s="2">
        <v>31.41964286</v>
      </c>
      <c r="AA732" s="2" t="s">
        <v>33</v>
      </c>
    </row>
    <row r="733">
      <c r="A733" s="2">
        <v>2133.0</v>
      </c>
      <c r="B733" s="2" t="s">
        <v>2173</v>
      </c>
      <c r="C733" s="2" t="s">
        <v>7</v>
      </c>
      <c r="D733" s="2" t="s">
        <v>2174</v>
      </c>
      <c r="E733" s="2" t="s">
        <v>2175</v>
      </c>
      <c r="F733" s="6">
        <v>45797.625</v>
      </c>
      <c r="G733" s="2">
        <v>44546.0</v>
      </c>
      <c r="H733" s="2">
        <v>44546.0</v>
      </c>
      <c r="I733" s="2">
        <v>37318.0</v>
      </c>
      <c r="J733" s="2">
        <v>216.0</v>
      </c>
      <c r="K733" s="2">
        <v>177.0</v>
      </c>
      <c r="L733" s="2">
        <v>4.0</v>
      </c>
      <c r="M733" s="4">
        <v>8630.0</v>
      </c>
      <c r="N733" s="2" t="s">
        <v>36</v>
      </c>
      <c r="O733" s="2">
        <v>71.0</v>
      </c>
      <c r="P733" s="2" t="s">
        <v>31</v>
      </c>
      <c r="Q733" s="2" t="s">
        <v>32</v>
      </c>
      <c r="R733" s="2">
        <v>43.0</v>
      </c>
      <c r="T733" s="2" t="s">
        <v>47</v>
      </c>
      <c r="U733" s="2" t="b">
        <v>0</v>
      </c>
      <c r="V733" s="5">
        <v>0.0047</v>
      </c>
      <c r="W733" s="5">
        <v>0.0226</v>
      </c>
      <c r="X733" s="5">
        <v>1.07E-4</v>
      </c>
      <c r="Y733" s="2">
        <v>48.75706215</v>
      </c>
      <c r="AA733" s="2" t="s">
        <v>33</v>
      </c>
    </row>
    <row r="734">
      <c r="A734" s="2">
        <v>2132.0</v>
      </c>
      <c r="B734" s="2" t="s">
        <v>2176</v>
      </c>
      <c r="C734" s="2" t="s">
        <v>7</v>
      </c>
      <c r="D734" s="2" t="s">
        <v>2177</v>
      </c>
      <c r="E734" s="2" t="s">
        <v>2178</v>
      </c>
      <c r="F734" s="6">
        <v>45797.625</v>
      </c>
      <c r="G734" s="2">
        <v>58056.0</v>
      </c>
      <c r="H734" s="2">
        <v>58056.0</v>
      </c>
      <c r="I734" s="2">
        <v>50319.0</v>
      </c>
      <c r="J734" s="2">
        <v>277.0</v>
      </c>
      <c r="K734" s="2">
        <v>227.0</v>
      </c>
      <c r="L734" s="2">
        <v>4.0</v>
      </c>
      <c r="M734" s="4">
        <v>14092.0</v>
      </c>
      <c r="N734" s="2" t="s">
        <v>30</v>
      </c>
      <c r="O734" s="2">
        <v>70.0</v>
      </c>
      <c r="P734" s="2" t="s">
        <v>31</v>
      </c>
      <c r="Q734" s="2" t="s">
        <v>32</v>
      </c>
      <c r="R734" s="2">
        <v>43.0</v>
      </c>
      <c r="T734" s="2" t="s">
        <v>47</v>
      </c>
      <c r="U734" s="2" t="b">
        <v>0</v>
      </c>
      <c r="V734" s="5">
        <v>0.0045</v>
      </c>
      <c r="W734" s="5">
        <v>0.0176</v>
      </c>
      <c r="X734" s="5">
        <v>7.9E-5</v>
      </c>
      <c r="Y734" s="2">
        <v>62.07929515</v>
      </c>
      <c r="Z734" s="2">
        <v>4992.0</v>
      </c>
      <c r="AA734" s="2" t="s">
        <v>33</v>
      </c>
    </row>
    <row r="735">
      <c r="A735" s="2">
        <v>2135.0</v>
      </c>
      <c r="B735" s="2" t="s">
        <v>2179</v>
      </c>
      <c r="C735" s="2" t="s">
        <v>7</v>
      </c>
      <c r="D735" s="2" t="s">
        <v>2180</v>
      </c>
      <c r="E735" s="2" t="s">
        <v>2181</v>
      </c>
      <c r="F735" s="6">
        <v>45797.708333333336</v>
      </c>
      <c r="G735" s="2">
        <v>44572.0</v>
      </c>
      <c r="H735" s="2">
        <v>44572.0</v>
      </c>
      <c r="I735" s="2">
        <v>37373.0</v>
      </c>
      <c r="J735" s="2">
        <v>322.0</v>
      </c>
      <c r="K735" s="2">
        <v>253.0</v>
      </c>
      <c r="L735" s="2">
        <v>5.0</v>
      </c>
      <c r="M735" s="4">
        <v>9055.0</v>
      </c>
      <c r="N735" s="2" t="s">
        <v>36</v>
      </c>
      <c r="O735" s="2">
        <v>71.0</v>
      </c>
      <c r="P735" s="2" t="s">
        <v>31</v>
      </c>
      <c r="Q735" s="2" t="s">
        <v>32</v>
      </c>
      <c r="R735" s="2">
        <v>25.0</v>
      </c>
      <c r="U735" s="2" t="b">
        <v>1</v>
      </c>
      <c r="V735" s="5">
        <v>0.0068</v>
      </c>
      <c r="W735" s="5">
        <v>0.0198</v>
      </c>
      <c r="X735" s="5">
        <v>1.34E-4</v>
      </c>
      <c r="Y735" s="2">
        <v>35.79051383</v>
      </c>
      <c r="AA735" s="2" t="s">
        <v>33</v>
      </c>
    </row>
    <row r="736">
      <c r="A736" s="2">
        <v>2134.0</v>
      </c>
      <c r="B736" s="2" t="s">
        <v>2182</v>
      </c>
      <c r="C736" s="2" t="s">
        <v>7</v>
      </c>
      <c r="D736" s="2" t="s">
        <v>2183</v>
      </c>
      <c r="E736" s="2" t="s">
        <v>2184</v>
      </c>
      <c r="F736" s="6">
        <v>45797.708333333336</v>
      </c>
      <c r="G736" s="2">
        <v>58099.0</v>
      </c>
      <c r="H736" s="2">
        <v>58099.0</v>
      </c>
      <c r="I736" s="2">
        <v>50304.0</v>
      </c>
      <c r="J736" s="2">
        <v>467.0</v>
      </c>
      <c r="K736" s="2">
        <v>387.0</v>
      </c>
      <c r="L736" s="2">
        <v>11.0</v>
      </c>
      <c r="M736" s="4">
        <v>34332.0</v>
      </c>
      <c r="N736" s="2" t="s">
        <v>30</v>
      </c>
      <c r="O736" s="2">
        <v>70.0</v>
      </c>
      <c r="P736" s="2" t="s">
        <v>31</v>
      </c>
      <c r="Q736" s="2" t="s">
        <v>32</v>
      </c>
      <c r="R736" s="2">
        <v>30.0</v>
      </c>
      <c r="U736" s="2" t="b">
        <v>0</v>
      </c>
      <c r="V736" s="5">
        <v>0.0077</v>
      </c>
      <c r="W736" s="5">
        <v>0.0284</v>
      </c>
      <c r="X736" s="5">
        <v>2.19E-4</v>
      </c>
      <c r="Y736" s="2">
        <v>88.71317829</v>
      </c>
      <c r="Z736" s="2">
        <v>370.0</v>
      </c>
      <c r="AA736" s="2" t="s">
        <v>33</v>
      </c>
    </row>
    <row r="737">
      <c r="A737" s="2">
        <v>2136.0</v>
      </c>
      <c r="B737" s="2" t="s">
        <v>2185</v>
      </c>
      <c r="C737" s="2" t="s">
        <v>7</v>
      </c>
      <c r="D737" s="2" t="s">
        <v>170</v>
      </c>
      <c r="F737" s="6">
        <v>45798.47083333333</v>
      </c>
      <c r="G737" s="2">
        <v>58190.0</v>
      </c>
      <c r="H737" s="2">
        <v>58190.0</v>
      </c>
      <c r="I737" s="2">
        <v>50223.0</v>
      </c>
      <c r="J737" s="2">
        <v>265.0</v>
      </c>
      <c r="K737" s="2">
        <v>217.0</v>
      </c>
      <c r="L737" s="2">
        <v>3.0</v>
      </c>
      <c r="M737" s="4">
        <v>13951.0</v>
      </c>
      <c r="N737" s="2" t="s">
        <v>30</v>
      </c>
      <c r="O737" s="2">
        <v>70.0</v>
      </c>
      <c r="P737" s="2" t="s">
        <v>31</v>
      </c>
      <c r="Q737" s="2" t="s">
        <v>32</v>
      </c>
      <c r="R737" s="2">
        <v>27.0</v>
      </c>
      <c r="T737" s="2" t="s">
        <v>47</v>
      </c>
      <c r="U737" s="2" t="b">
        <v>0</v>
      </c>
      <c r="V737" s="5">
        <v>0.0043</v>
      </c>
      <c r="W737" s="5">
        <v>0.0138</v>
      </c>
      <c r="X737" s="5">
        <v>6.0E-5</v>
      </c>
      <c r="Y737" s="2">
        <v>64.29032258</v>
      </c>
      <c r="AA737" s="2" t="s">
        <v>33</v>
      </c>
    </row>
    <row r="738">
      <c r="A738" s="2">
        <v>2137.0</v>
      </c>
      <c r="B738" s="2" t="s">
        <v>2186</v>
      </c>
      <c r="C738" s="2" t="s">
        <v>7</v>
      </c>
      <c r="D738" s="2" t="s">
        <v>172</v>
      </c>
      <c r="F738" s="6">
        <v>45798.47222222222</v>
      </c>
      <c r="G738" s="2">
        <v>44560.0</v>
      </c>
      <c r="H738" s="2">
        <v>44560.0</v>
      </c>
      <c r="I738" s="2">
        <v>37117.0</v>
      </c>
      <c r="J738" s="2">
        <v>214.0</v>
      </c>
      <c r="K738" s="2">
        <v>167.0</v>
      </c>
      <c r="L738" s="2">
        <v>6.0</v>
      </c>
      <c r="M738" s="4">
        <v>33137.0</v>
      </c>
      <c r="N738" s="2" t="s">
        <v>36</v>
      </c>
      <c r="O738" s="2">
        <v>71.0</v>
      </c>
      <c r="P738" s="2" t="s">
        <v>31</v>
      </c>
      <c r="Q738" s="2" t="s">
        <v>32</v>
      </c>
      <c r="R738" s="2">
        <v>24.0</v>
      </c>
      <c r="T738" s="2" t="s">
        <v>47</v>
      </c>
      <c r="U738" s="2" t="b">
        <v>0</v>
      </c>
      <c r="V738" s="5">
        <v>0.0045</v>
      </c>
      <c r="W738" s="5">
        <v>0.0359</v>
      </c>
      <c r="X738" s="5">
        <v>1.62E-4</v>
      </c>
      <c r="Y738" s="2">
        <v>198.4251497</v>
      </c>
      <c r="AA738" s="2" t="s">
        <v>33</v>
      </c>
    </row>
    <row r="739">
      <c r="A739" s="2">
        <v>2138.0</v>
      </c>
      <c r="B739" s="2" t="s">
        <v>2187</v>
      </c>
      <c r="C739" s="2" t="s">
        <v>7</v>
      </c>
      <c r="D739" s="2" t="s">
        <v>2188</v>
      </c>
      <c r="E739" s="2" t="s">
        <v>2189</v>
      </c>
      <c r="F739" s="6">
        <v>45798.635416666664</v>
      </c>
      <c r="G739" s="2">
        <v>58220.0</v>
      </c>
      <c r="H739" s="2">
        <v>58220.0</v>
      </c>
      <c r="I739" s="2">
        <v>50427.0</v>
      </c>
      <c r="J739" s="2">
        <v>330.0</v>
      </c>
      <c r="K739" s="2">
        <v>277.0</v>
      </c>
      <c r="L739" s="2">
        <v>5.0</v>
      </c>
      <c r="M739" s="4">
        <v>28520.0</v>
      </c>
      <c r="N739" s="2" t="s">
        <v>30</v>
      </c>
      <c r="O739" s="2">
        <v>70.0</v>
      </c>
      <c r="P739" s="2" t="s">
        <v>31</v>
      </c>
      <c r="Q739" s="2" t="s">
        <v>32</v>
      </c>
      <c r="R739" s="2">
        <v>28.0</v>
      </c>
      <c r="U739" s="2" t="b">
        <v>0</v>
      </c>
      <c r="V739" s="5">
        <v>0.0055</v>
      </c>
      <c r="W739" s="5">
        <v>0.0181</v>
      </c>
      <c r="X739" s="5">
        <v>9.9E-5</v>
      </c>
      <c r="Y739" s="2">
        <v>102.9602888</v>
      </c>
      <c r="Z739" s="2">
        <v>1648.0</v>
      </c>
      <c r="AA739" s="2" t="s">
        <v>33</v>
      </c>
    </row>
    <row r="740">
      <c r="A740" s="2">
        <v>2139.0</v>
      </c>
      <c r="B740" s="2" t="s">
        <v>2190</v>
      </c>
      <c r="C740" s="2" t="s">
        <v>7</v>
      </c>
      <c r="D740" s="2" t="s">
        <v>2191</v>
      </c>
      <c r="E740" s="2" t="s">
        <v>2192</v>
      </c>
      <c r="F740" s="6">
        <v>45798.63680555556</v>
      </c>
      <c r="G740" s="2">
        <v>44587.0</v>
      </c>
      <c r="H740" s="2">
        <v>44587.0</v>
      </c>
      <c r="I740" s="2">
        <v>37378.0</v>
      </c>
      <c r="J740" s="2">
        <v>248.0</v>
      </c>
      <c r="K740" s="2">
        <v>205.0</v>
      </c>
      <c r="L740" s="2">
        <v>5.0</v>
      </c>
      <c r="M740" s="4">
        <v>39432.0</v>
      </c>
      <c r="N740" s="2" t="s">
        <v>36</v>
      </c>
      <c r="O740" s="2">
        <v>71.0</v>
      </c>
      <c r="P740" s="2" t="s">
        <v>31</v>
      </c>
      <c r="Q740" s="2" t="s">
        <v>32</v>
      </c>
      <c r="R740" s="2">
        <v>23.0</v>
      </c>
      <c r="U740" s="2" t="b">
        <v>1</v>
      </c>
      <c r="V740" s="5">
        <v>0.0055</v>
      </c>
      <c r="W740" s="5">
        <v>0.0244</v>
      </c>
      <c r="X740" s="5">
        <v>1.34E-4</v>
      </c>
      <c r="Y740" s="2">
        <v>192.3512195</v>
      </c>
      <c r="AA740" s="2" t="s">
        <v>33</v>
      </c>
    </row>
    <row r="741">
      <c r="A741" s="2">
        <v>2141.0</v>
      </c>
      <c r="B741" s="2" t="s">
        <v>2193</v>
      </c>
      <c r="C741" s="2" t="s">
        <v>7</v>
      </c>
      <c r="D741" s="2" t="s">
        <v>2194</v>
      </c>
      <c r="E741" s="2" t="s">
        <v>2195</v>
      </c>
      <c r="F741" s="6">
        <v>45798.708333333336</v>
      </c>
      <c r="G741" s="2">
        <v>44603.0</v>
      </c>
      <c r="H741" s="2">
        <v>44603.0</v>
      </c>
      <c r="I741" s="2">
        <v>37316.0</v>
      </c>
      <c r="J741" s="2">
        <v>248.0</v>
      </c>
      <c r="K741" s="2">
        <v>200.0</v>
      </c>
      <c r="L741" s="2">
        <v>2.0</v>
      </c>
      <c r="M741" s="4">
        <v>13514.0</v>
      </c>
      <c r="N741" s="2" t="s">
        <v>36</v>
      </c>
      <c r="O741" s="2">
        <v>71.0</v>
      </c>
      <c r="P741" s="2" t="s">
        <v>31</v>
      </c>
      <c r="Q741" s="2" t="s">
        <v>32</v>
      </c>
      <c r="R741" s="2">
        <v>34.0</v>
      </c>
      <c r="U741" s="2" t="b">
        <v>0</v>
      </c>
      <c r="V741" s="5">
        <v>0.0054</v>
      </c>
      <c r="W741" s="5">
        <v>0.01</v>
      </c>
      <c r="X741" s="5">
        <v>5.4E-5</v>
      </c>
      <c r="Y741" s="2">
        <v>67.57</v>
      </c>
      <c r="AA741" s="2" t="s">
        <v>33</v>
      </c>
    </row>
    <row r="742">
      <c r="A742" s="2">
        <v>2140.0</v>
      </c>
      <c r="B742" s="2" t="s">
        <v>2196</v>
      </c>
      <c r="C742" s="2" t="s">
        <v>7</v>
      </c>
      <c r="D742" s="2" t="s">
        <v>2197</v>
      </c>
      <c r="E742" s="2" t="s">
        <v>2198</v>
      </c>
      <c r="F742" s="6">
        <v>45798.708333333336</v>
      </c>
      <c r="G742" s="2">
        <v>58250.0</v>
      </c>
      <c r="H742" s="2">
        <v>58250.0</v>
      </c>
      <c r="I742" s="2">
        <v>50464.0</v>
      </c>
      <c r="J742" s="2">
        <v>246.0</v>
      </c>
      <c r="K742" s="2">
        <v>205.0</v>
      </c>
      <c r="L742" s="2">
        <v>1.0</v>
      </c>
      <c r="M742" s="4">
        <v>2370.0</v>
      </c>
      <c r="N742" s="2" t="s">
        <v>30</v>
      </c>
      <c r="O742" s="2">
        <v>70.0</v>
      </c>
      <c r="P742" s="2" t="s">
        <v>31</v>
      </c>
      <c r="Q742" s="2" t="s">
        <v>32</v>
      </c>
      <c r="R742" s="2">
        <v>33.0</v>
      </c>
      <c r="U742" s="2" t="b">
        <v>0</v>
      </c>
      <c r="V742" s="5">
        <v>0.0041</v>
      </c>
      <c r="W742" s="5">
        <v>0.0049</v>
      </c>
      <c r="X742" s="5">
        <v>2.0E-5</v>
      </c>
      <c r="Y742" s="2">
        <v>11.56097561</v>
      </c>
      <c r="Z742" s="2" t="s">
        <v>182</v>
      </c>
      <c r="AA742" s="2" t="s">
        <v>33</v>
      </c>
    </row>
    <row r="743">
      <c r="A743" s="2">
        <v>2143.0</v>
      </c>
      <c r="B743" s="2" t="s">
        <v>2199</v>
      </c>
      <c r="C743" s="2" t="s">
        <v>7</v>
      </c>
      <c r="D743" s="2" t="s">
        <v>439</v>
      </c>
      <c r="E743" s="2" t="s">
        <v>2200</v>
      </c>
      <c r="F743" s="6">
        <v>45799.375</v>
      </c>
      <c r="G743" s="2">
        <v>44538.0</v>
      </c>
      <c r="H743" s="2">
        <v>44538.0</v>
      </c>
      <c r="I743" s="2">
        <v>36885.0</v>
      </c>
      <c r="J743" s="2">
        <v>268.0</v>
      </c>
      <c r="K743" s="2">
        <v>213.0</v>
      </c>
      <c r="L743" s="2">
        <v>2.0</v>
      </c>
      <c r="M743" s="4">
        <v>5346.0</v>
      </c>
      <c r="N743" s="2" t="s">
        <v>36</v>
      </c>
      <c r="O743" s="2">
        <v>71.0</v>
      </c>
      <c r="P743" s="2" t="s">
        <v>31</v>
      </c>
      <c r="Q743" s="2" t="s">
        <v>32</v>
      </c>
      <c r="R743" s="2">
        <v>28.0</v>
      </c>
      <c r="T743" s="2" t="s">
        <v>47</v>
      </c>
      <c r="U743" s="2" t="b">
        <v>0</v>
      </c>
      <c r="V743" s="5">
        <v>0.0058</v>
      </c>
      <c r="W743" s="5">
        <v>0.0094</v>
      </c>
      <c r="X743" s="5">
        <v>5.4E-5</v>
      </c>
      <c r="Y743" s="2">
        <v>25.09859155</v>
      </c>
      <c r="AA743" s="2" t="s">
        <v>33</v>
      </c>
    </row>
    <row r="744">
      <c r="A744" s="2">
        <v>2142.0</v>
      </c>
      <c r="B744" s="2" t="s">
        <v>2201</v>
      </c>
      <c r="C744" s="2" t="s">
        <v>7</v>
      </c>
      <c r="D744" s="2" t="s">
        <v>187</v>
      </c>
      <c r="E744" s="2" t="s">
        <v>2202</v>
      </c>
      <c r="F744" s="6">
        <v>45799.375</v>
      </c>
      <c r="G744" s="2">
        <v>58175.0</v>
      </c>
      <c r="H744" s="2">
        <v>58175.0</v>
      </c>
      <c r="I744" s="2">
        <v>49900.0</v>
      </c>
      <c r="J744" s="2">
        <v>341.0</v>
      </c>
      <c r="K744" s="2">
        <v>296.0</v>
      </c>
      <c r="L744" s="2">
        <v>3.0</v>
      </c>
      <c r="M744" s="4">
        <v>23498.0</v>
      </c>
      <c r="N744" s="2" t="s">
        <v>30</v>
      </c>
      <c r="O744" s="2">
        <v>70.0</v>
      </c>
      <c r="P744" s="2" t="s">
        <v>31</v>
      </c>
      <c r="Q744" s="2" t="s">
        <v>32</v>
      </c>
      <c r="R744" s="2">
        <v>28.0</v>
      </c>
      <c r="U744" s="2" t="b">
        <v>0</v>
      </c>
      <c r="V744" s="5">
        <v>0.0059</v>
      </c>
      <c r="W744" s="5">
        <v>0.0101</v>
      </c>
      <c r="X744" s="5">
        <v>6.0E-5</v>
      </c>
      <c r="Y744" s="2">
        <v>79.38513514</v>
      </c>
      <c r="Z744" s="2" t="s">
        <v>182</v>
      </c>
      <c r="AA744" s="2" t="s">
        <v>33</v>
      </c>
    </row>
    <row r="745">
      <c r="A745" s="2">
        <v>2145.0</v>
      </c>
      <c r="B745" s="2" t="s">
        <v>2203</v>
      </c>
      <c r="C745" s="2" t="s">
        <v>7</v>
      </c>
      <c r="D745" s="2" t="s">
        <v>2204</v>
      </c>
      <c r="E745" s="2" t="s">
        <v>2205</v>
      </c>
      <c r="F745" s="6">
        <v>45799.625</v>
      </c>
      <c r="G745" s="2">
        <v>44574.0</v>
      </c>
      <c r="H745" s="2">
        <v>44574.0</v>
      </c>
      <c r="I745" s="2">
        <v>37268.0</v>
      </c>
      <c r="J745" s="2">
        <v>270.0</v>
      </c>
      <c r="K745" s="2">
        <v>209.0</v>
      </c>
      <c r="L745" s="2">
        <v>3.0</v>
      </c>
      <c r="M745" s="4">
        <v>10445.0</v>
      </c>
      <c r="N745" s="2" t="s">
        <v>36</v>
      </c>
      <c r="O745" s="2">
        <v>71.0</v>
      </c>
      <c r="P745" s="2" t="s">
        <v>31</v>
      </c>
      <c r="Q745" s="2" t="s">
        <v>32</v>
      </c>
      <c r="R745" s="2">
        <v>42.0</v>
      </c>
      <c r="T745" s="2" t="s">
        <v>2206</v>
      </c>
      <c r="U745" s="2" t="b">
        <v>0</v>
      </c>
      <c r="V745" s="5">
        <v>0.0056</v>
      </c>
      <c r="W745" s="5">
        <v>0.0144</v>
      </c>
      <c r="X745" s="5">
        <v>8.0E-5</v>
      </c>
      <c r="Y745" s="2">
        <v>49.97607656</v>
      </c>
      <c r="AA745" s="2" t="s">
        <v>33</v>
      </c>
    </row>
    <row r="746">
      <c r="A746" s="2">
        <v>2144.0</v>
      </c>
      <c r="B746" s="2" t="s">
        <v>2207</v>
      </c>
      <c r="C746" s="2" t="s">
        <v>7</v>
      </c>
      <c r="D746" s="2" t="s">
        <v>2208</v>
      </c>
      <c r="E746" s="2" t="s">
        <v>2209</v>
      </c>
      <c r="F746" s="6">
        <v>45799.625</v>
      </c>
      <c r="G746" s="2">
        <v>17684.0</v>
      </c>
      <c r="H746" s="2">
        <v>17684.0</v>
      </c>
      <c r="I746" s="2">
        <v>15718.0</v>
      </c>
      <c r="J746" s="2">
        <v>108.0</v>
      </c>
      <c r="K746" s="2">
        <v>83.0</v>
      </c>
      <c r="L746" s="2">
        <v>0.0</v>
      </c>
      <c r="M746" s="2">
        <v>0.0</v>
      </c>
      <c r="N746" s="2" t="s">
        <v>30</v>
      </c>
      <c r="O746" s="2">
        <v>70.0</v>
      </c>
      <c r="P746" s="2" t="s">
        <v>31</v>
      </c>
      <c r="Q746" s="2" t="s">
        <v>32</v>
      </c>
      <c r="R746" s="2">
        <v>37.0</v>
      </c>
      <c r="U746" s="2" t="b">
        <v>0</v>
      </c>
      <c r="V746" s="5">
        <v>0.0053</v>
      </c>
      <c r="W746" s="5">
        <v>0.0</v>
      </c>
      <c r="X746" s="5">
        <v>0.0</v>
      </c>
      <c r="Y746" s="2">
        <v>0.0</v>
      </c>
      <c r="AA746" s="2" t="s">
        <v>33</v>
      </c>
    </row>
    <row r="747">
      <c r="A747" s="2">
        <v>2147.0</v>
      </c>
      <c r="B747" s="2" t="s">
        <v>2210</v>
      </c>
      <c r="C747" s="2" t="s">
        <v>7</v>
      </c>
      <c r="D747" s="2" t="s">
        <v>2211</v>
      </c>
      <c r="E747" s="2" t="s">
        <v>2212</v>
      </c>
      <c r="F747" s="6">
        <v>45799.708333333336</v>
      </c>
      <c r="G747" s="2">
        <v>44586.0</v>
      </c>
      <c r="H747" s="2">
        <v>44586.0</v>
      </c>
      <c r="I747" s="2">
        <v>37272.0</v>
      </c>
      <c r="J747" s="2">
        <v>333.0</v>
      </c>
      <c r="K747" s="2">
        <v>246.0</v>
      </c>
      <c r="L747" s="2">
        <v>2.0</v>
      </c>
      <c r="M747" s="4">
        <v>1755.0</v>
      </c>
      <c r="N747" s="2" t="s">
        <v>36</v>
      </c>
      <c r="O747" s="2">
        <v>71.0</v>
      </c>
      <c r="P747" s="2" t="s">
        <v>31</v>
      </c>
      <c r="Q747" s="2" t="s">
        <v>32</v>
      </c>
      <c r="R747" s="2">
        <v>30.0</v>
      </c>
      <c r="U747" s="2" t="b">
        <v>0</v>
      </c>
      <c r="V747" s="5">
        <v>0.0066</v>
      </c>
      <c r="W747" s="5">
        <v>0.0081</v>
      </c>
      <c r="X747" s="5">
        <v>5.4E-5</v>
      </c>
      <c r="Y747" s="2">
        <v>7.134146341</v>
      </c>
      <c r="AA747" s="2" t="s">
        <v>33</v>
      </c>
    </row>
    <row r="748">
      <c r="A748" s="2">
        <v>2146.0</v>
      </c>
      <c r="B748" s="2" t="s">
        <v>2213</v>
      </c>
      <c r="C748" s="2" t="s">
        <v>7</v>
      </c>
      <c r="D748" s="2" t="s">
        <v>2214</v>
      </c>
      <c r="E748" s="2" t="s">
        <v>2215</v>
      </c>
      <c r="F748" s="6">
        <v>45799.708333333336</v>
      </c>
      <c r="G748" s="2">
        <v>58319.0</v>
      </c>
      <c r="H748" s="2">
        <v>58319.0</v>
      </c>
      <c r="I748" s="2">
        <v>50346.0</v>
      </c>
      <c r="J748" s="2">
        <v>413.0</v>
      </c>
      <c r="K748" s="2">
        <v>337.0</v>
      </c>
      <c r="L748" s="2">
        <v>4.0</v>
      </c>
      <c r="M748" s="4">
        <v>6544.0</v>
      </c>
      <c r="N748" s="2" t="s">
        <v>30</v>
      </c>
      <c r="O748" s="2">
        <v>70.0</v>
      </c>
      <c r="P748" s="2" t="s">
        <v>31</v>
      </c>
      <c r="Q748" s="2" t="s">
        <v>32</v>
      </c>
      <c r="R748" s="2">
        <v>26.0</v>
      </c>
      <c r="U748" s="2" t="b">
        <v>0</v>
      </c>
      <c r="V748" s="5">
        <v>0.0067</v>
      </c>
      <c r="W748" s="5">
        <v>0.0119</v>
      </c>
      <c r="X748" s="5">
        <v>7.9E-5</v>
      </c>
      <c r="Y748" s="2">
        <v>19.41839763</v>
      </c>
      <c r="AA748" s="2" t="s">
        <v>33</v>
      </c>
    </row>
    <row r="749">
      <c r="A749" s="2">
        <v>2150.0</v>
      </c>
      <c r="B749" s="2" t="s">
        <v>2216</v>
      </c>
      <c r="C749" s="2" t="s">
        <v>7</v>
      </c>
      <c r="D749" s="2" t="s">
        <v>2183</v>
      </c>
      <c r="E749" s="2" t="s">
        <v>2217</v>
      </c>
      <c r="F749" s="6">
        <v>45800.470138888886</v>
      </c>
      <c r="G749" s="2">
        <v>58450.0</v>
      </c>
      <c r="H749" s="2">
        <v>58450.0</v>
      </c>
      <c r="I749" s="2">
        <v>50380.0</v>
      </c>
      <c r="J749" s="2">
        <v>374.0</v>
      </c>
      <c r="K749" s="2">
        <v>311.0</v>
      </c>
      <c r="L749" s="2">
        <v>1.0</v>
      </c>
      <c r="M749" s="4">
        <v>2352.0</v>
      </c>
      <c r="N749" s="2" t="s">
        <v>30</v>
      </c>
      <c r="O749" s="2">
        <v>70.0</v>
      </c>
      <c r="P749" s="2" t="s">
        <v>31</v>
      </c>
      <c r="Q749" s="2" t="s">
        <v>32</v>
      </c>
      <c r="R749" s="2">
        <v>30.0</v>
      </c>
      <c r="T749" s="2" t="s">
        <v>405</v>
      </c>
      <c r="U749" s="2" t="b">
        <v>0</v>
      </c>
      <c r="V749" s="5">
        <v>0.0062</v>
      </c>
      <c r="W749" s="5">
        <v>0.0032</v>
      </c>
      <c r="X749" s="5">
        <v>2.0E-5</v>
      </c>
      <c r="Y749" s="2">
        <v>7.562700965</v>
      </c>
      <c r="Z749" s="2">
        <v>370.0</v>
      </c>
      <c r="AA749" s="2" t="s">
        <v>33</v>
      </c>
    </row>
    <row r="750">
      <c r="A750" s="2">
        <v>2151.0</v>
      </c>
      <c r="B750" s="2" t="s">
        <v>2218</v>
      </c>
      <c r="C750" s="2" t="s">
        <v>7</v>
      </c>
      <c r="D750" s="2" t="s">
        <v>2180</v>
      </c>
      <c r="E750" s="2" t="s">
        <v>2219</v>
      </c>
      <c r="F750" s="6">
        <v>45800.47152777778</v>
      </c>
      <c r="G750" s="2">
        <v>44707.0</v>
      </c>
      <c r="H750" s="2">
        <v>44707.0</v>
      </c>
      <c r="I750" s="2">
        <v>0.0</v>
      </c>
      <c r="J750" s="2">
        <v>0.0</v>
      </c>
      <c r="K750" s="2">
        <v>0.0</v>
      </c>
      <c r="L750" s="2">
        <v>0.0</v>
      </c>
      <c r="M750" s="2">
        <v>0.0</v>
      </c>
      <c r="N750" s="2" t="s">
        <v>36</v>
      </c>
      <c r="O750" s="2">
        <v>71.0</v>
      </c>
      <c r="P750" s="2" t="s">
        <v>31</v>
      </c>
      <c r="Q750" s="2" t="s">
        <v>32</v>
      </c>
      <c r="R750" s="2">
        <v>25.0</v>
      </c>
      <c r="T750" s="2" t="s">
        <v>405</v>
      </c>
      <c r="U750" s="2" t="b">
        <v>1</v>
      </c>
      <c r="AA750" s="2" t="s">
        <v>33</v>
      </c>
    </row>
    <row r="751">
      <c r="A751" s="2">
        <v>2153.0</v>
      </c>
      <c r="B751" s="2" t="s">
        <v>2220</v>
      </c>
      <c r="C751" s="2" t="s">
        <v>7</v>
      </c>
      <c r="D751" s="2" t="s">
        <v>2221</v>
      </c>
      <c r="E751" s="2" t="s">
        <v>2222</v>
      </c>
      <c r="F751" s="6">
        <v>45800.625</v>
      </c>
      <c r="G751" s="2">
        <v>44716.0</v>
      </c>
      <c r="H751" s="2">
        <v>44716.0</v>
      </c>
      <c r="I751" s="2">
        <v>37141.0</v>
      </c>
      <c r="J751" s="2">
        <v>202.0</v>
      </c>
      <c r="K751" s="2">
        <v>162.0</v>
      </c>
      <c r="L751" s="2">
        <v>2.0</v>
      </c>
      <c r="M751" s="4">
        <v>5279.0</v>
      </c>
      <c r="N751" s="2" t="s">
        <v>36</v>
      </c>
      <c r="O751" s="2">
        <v>71.0</v>
      </c>
      <c r="P751" s="2" t="s">
        <v>31</v>
      </c>
      <c r="Q751" s="2" t="s">
        <v>32</v>
      </c>
      <c r="R751" s="2">
        <v>32.0</v>
      </c>
      <c r="T751" s="2" t="s">
        <v>2223</v>
      </c>
      <c r="U751" s="2" t="b">
        <v>0</v>
      </c>
      <c r="V751" s="5">
        <v>0.0044</v>
      </c>
      <c r="W751" s="5">
        <v>0.0123</v>
      </c>
      <c r="X751" s="5">
        <v>5.4E-5</v>
      </c>
      <c r="Y751" s="2">
        <v>32.58641975</v>
      </c>
      <c r="AA751" s="2" t="s">
        <v>33</v>
      </c>
    </row>
    <row r="752">
      <c r="A752" s="2">
        <v>2152.0</v>
      </c>
      <c r="B752" s="2" t="s">
        <v>2224</v>
      </c>
      <c r="C752" s="2" t="s">
        <v>7</v>
      </c>
      <c r="D752" s="2" t="s">
        <v>2225</v>
      </c>
      <c r="E752" s="2" t="s">
        <v>2226</v>
      </c>
      <c r="F752" s="6">
        <v>45800.625</v>
      </c>
      <c r="G752" s="2">
        <v>58414.0</v>
      </c>
      <c r="H752" s="2">
        <v>58414.0</v>
      </c>
      <c r="I752" s="2">
        <v>50220.0</v>
      </c>
      <c r="J752" s="2">
        <v>221.0</v>
      </c>
      <c r="K752" s="2">
        <v>191.0</v>
      </c>
      <c r="L752" s="2">
        <v>6.0</v>
      </c>
      <c r="M752" s="4">
        <v>30002.0</v>
      </c>
      <c r="N752" s="2" t="s">
        <v>30</v>
      </c>
      <c r="O752" s="2">
        <v>70.0</v>
      </c>
      <c r="P752" s="2" t="s">
        <v>31</v>
      </c>
      <c r="Q752" s="2" t="s">
        <v>32</v>
      </c>
      <c r="R752" s="2">
        <v>25.0</v>
      </c>
      <c r="T752" s="2" t="s">
        <v>2227</v>
      </c>
      <c r="U752" s="2" t="b">
        <v>0</v>
      </c>
      <c r="V752" s="5">
        <v>0.0038</v>
      </c>
      <c r="W752" s="5">
        <v>0.0314</v>
      </c>
      <c r="X752" s="5">
        <v>1.19E-4</v>
      </c>
      <c r="Y752" s="2">
        <v>157.078534</v>
      </c>
      <c r="AA752" s="2" t="s">
        <v>33</v>
      </c>
    </row>
    <row r="753">
      <c r="A753" s="2">
        <v>2155.0</v>
      </c>
      <c r="B753" s="2" t="s">
        <v>2228</v>
      </c>
      <c r="C753" s="2" t="s">
        <v>7</v>
      </c>
      <c r="D753" s="2" t="s">
        <v>2229</v>
      </c>
      <c r="E753" s="2" t="s">
        <v>2230</v>
      </c>
      <c r="F753" s="6">
        <v>45800.708333333336</v>
      </c>
      <c r="G753" s="2">
        <v>44691.0</v>
      </c>
      <c r="H753" s="2">
        <v>44691.0</v>
      </c>
      <c r="I753" s="2">
        <v>714.0</v>
      </c>
      <c r="J753" s="2">
        <v>23.0</v>
      </c>
      <c r="K753" s="2">
        <v>19.0</v>
      </c>
      <c r="L753" s="2">
        <v>0.0</v>
      </c>
      <c r="M753" s="2">
        <v>0.0</v>
      </c>
      <c r="N753" s="2" t="s">
        <v>36</v>
      </c>
      <c r="O753" s="2">
        <v>71.0</v>
      </c>
      <c r="P753" s="2" t="s">
        <v>31</v>
      </c>
      <c r="Q753" s="2" t="s">
        <v>32</v>
      </c>
      <c r="R753" s="2">
        <v>41.0</v>
      </c>
      <c r="U753" s="2" t="b">
        <v>1</v>
      </c>
      <c r="V753" s="5">
        <v>0.0266</v>
      </c>
      <c r="W753" s="5">
        <v>0.0</v>
      </c>
      <c r="X753" s="5">
        <v>0.0</v>
      </c>
      <c r="Y753" s="2">
        <v>0.0</v>
      </c>
      <c r="AA753" s="2" t="s">
        <v>33</v>
      </c>
    </row>
    <row r="754">
      <c r="A754" s="2">
        <v>2154.0</v>
      </c>
      <c r="B754" s="2" t="s">
        <v>2231</v>
      </c>
      <c r="C754" s="2" t="s">
        <v>7</v>
      </c>
      <c r="D754" s="2" t="s">
        <v>2232</v>
      </c>
      <c r="E754" s="2" t="s">
        <v>2233</v>
      </c>
      <c r="F754" s="6">
        <v>45800.708333333336</v>
      </c>
      <c r="G754" s="2">
        <v>58448.0</v>
      </c>
      <c r="H754" s="2">
        <v>58448.0</v>
      </c>
      <c r="I754" s="2">
        <v>748.0</v>
      </c>
      <c r="J754" s="2">
        <v>34.0</v>
      </c>
      <c r="K754" s="2">
        <v>32.0</v>
      </c>
      <c r="L754" s="2">
        <v>0.0</v>
      </c>
      <c r="M754" s="2">
        <v>0.0</v>
      </c>
      <c r="N754" s="2" t="s">
        <v>30</v>
      </c>
      <c r="O754" s="2">
        <v>70.0</v>
      </c>
      <c r="P754" s="2" t="s">
        <v>31</v>
      </c>
      <c r="Q754" s="2" t="s">
        <v>32</v>
      </c>
      <c r="R754" s="2">
        <v>43.0</v>
      </c>
      <c r="T754" s="2" t="s">
        <v>143</v>
      </c>
      <c r="U754" s="2" t="b">
        <v>0</v>
      </c>
      <c r="V754" s="5">
        <v>0.0428</v>
      </c>
      <c r="W754" s="5">
        <v>0.0</v>
      </c>
      <c r="X754" s="5">
        <v>0.0</v>
      </c>
      <c r="Y754" s="2">
        <v>0.0</v>
      </c>
      <c r="Z754" s="2">
        <v>3629.0</v>
      </c>
      <c r="AA754" s="2" t="s">
        <v>33</v>
      </c>
    </row>
    <row r="755">
      <c r="A755" s="2">
        <v>2157.0</v>
      </c>
      <c r="B755" s="2" t="s">
        <v>2234</v>
      </c>
      <c r="C755" s="2" t="s">
        <v>7</v>
      </c>
      <c r="D755" s="2" t="s">
        <v>2235</v>
      </c>
      <c r="E755" s="2" t="s">
        <v>2236</v>
      </c>
      <c r="F755" s="6">
        <v>45801.53958333333</v>
      </c>
      <c r="G755" s="2">
        <v>58515.0</v>
      </c>
      <c r="H755" s="2">
        <v>58515.0</v>
      </c>
      <c r="I755" s="2">
        <v>50561.0</v>
      </c>
      <c r="J755" s="2">
        <v>329.0</v>
      </c>
      <c r="K755" s="2">
        <v>278.0</v>
      </c>
      <c r="L755" s="2">
        <v>9.0</v>
      </c>
      <c r="M755" s="4">
        <v>15280.0</v>
      </c>
      <c r="N755" s="2" t="s">
        <v>30</v>
      </c>
      <c r="O755" s="2">
        <v>70.0</v>
      </c>
      <c r="P755" s="2" t="s">
        <v>31</v>
      </c>
      <c r="Q755" s="2" t="s">
        <v>32</v>
      </c>
      <c r="R755" s="2">
        <v>34.0</v>
      </c>
      <c r="T755" s="2" t="s">
        <v>47</v>
      </c>
      <c r="U755" s="2" t="b">
        <v>0</v>
      </c>
      <c r="V755" s="5">
        <v>0.0055</v>
      </c>
      <c r="W755" s="5">
        <v>0.0324</v>
      </c>
      <c r="X755" s="5">
        <v>1.78E-4</v>
      </c>
      <c r="Y755" s="2">
        <v>54.96402878</v>
      </c>
      <c r="Z755" s="2">
        <v>5531.0</v>
      </c>
      <c r="AA755" s="2" t="s">
        <v>33</v>
      </c>
    </row>
    <row r="756">
      <c r="A756" s="2">
        <v>2158.0</v>
      </c>
      <c r="B756" s="2" t="s">
        <v>2237</v>
      </c>
      <c r="C756" s="2" t="s">
        <v>7</v>
      </c>
      <c r="D756" s="2" t="s">
        <v>2238</v>
      </c>
      <c r="E756" s="2" t="s">
        <v>2239</v>
      </c>
      <c r="F756" s="6">
        <v>45801.541666666664</v>
      </c>
      <c r="G756" s="2">
        <v>44716.0</v>
      </c>
      <c r="H756" s="2">
        <v>44716.0</v>
      </c>
      <c r="I756" s="2">
        <v>37233.0</v>
      </c>
      <c r="J756" s="2">
        <v>248.0</v>
      </c>
      <c r="K756" s="2">
        <v>210.0</v>
      </c>
      <c r="L756" s="2">
        <v>2.0</v>
      </c>
      <c r="M756" s="4">
        <v>10464.0</v>
      </c>
      <c r="N756" s="2" t="s">
        <v>36</v>
      </c>
      <c r="O756" s="2">
        <v>71.0</v>
      </c>
      <c r="P756" s="2" t="s">
        <v>31</v>
      </c>
      <c r="Q756" s="2" t="s">
        <v>32</v>
      </c>
      <c r="R756" s="2">
        <v>32.0</v>
      </c>
      <c r="T756" s="2" t="s">
        <v>47</v>
      </c>
      <c r="U756" s="2" t="b">
        <v>0</v>
      </c>
      <c r="V756" s="5">
        <v>0.0056</v>
      </c>
      <c r="W756" s="5">
        <v>0.0095</v>
      </c>
      <c r="X756" s="5">
        <v>5.4E-5</v>
      </c>
      <c r="Y756" s="2">
        <v>49.82857143</v>
      </c>
      <c r="AA756" s="2" t="s">
        <v>33</v>
      </c>
    </row>
    <row r="757">
      <c r="A757" s="2">
        <v>2159.0</v>
      </c>
      <c r="B757" s="2" t="s">
        <v>2240</v>
      </c>
      <c r="C757" s="2" t="s">
        <v>7</v>
      </c>
      <c r="D757" s="2" t="s">
        <v>2241</v>
      </c>
      <c r="E757" s="2" t="s">
        <v>2242</v>
      </c>
      <c r="F757" s="6">
        <v>45803.47430555556</v>
      </c>
      <c r="G757" s="2">
        <v>57963.0</v>
      </c>
      <c r="H757" s="2">
        <v>57963.0</v>
      </c>
      <c r="I757" s="2">
        <v>49911.0</v>
      </c>
      <c r="J757" s="2">
        <v>301.0</v>
      </c>
      <c r="K757" s="2">
        <v>243.0</v>
      </c>
      <c r="L757" s="2">
        <v>2.0</v>
      </c>
      <c r="M757" s="4">
        <v>2930.0</v>
      </c>
      <c r="N757" s="2" t="s">
        <v>30</v>
      </c>
      <c r="O757" s="2">
        <v>70.0</v>
      </c>
      <c r="P757" s="2" t="s">
        <v>31</v>
      </c>
      <c r="Q757" s="2" t="s">
        <v>32</v>
      </c>
      <c r="R757" s="2">
        <v>36.0</v>
      </c>
      <c r="T757" s="2" t="s">
        <v>47</v>
      </c>
      <c r="U757" s="2" t="b">
        <v>0</v>
      </c>
      <c r="V757" s="5">
        <v>0.0049</v>
      </c>
      <c r="W757" s="5">
        <v>0.0082</v>
      </c>
      <c r="X757" s="5">
        <v>4.0E-5</v>
      </c>
      <c r="Y757" s="2">
        <v>12.05761317</v>
      </c>
      <c r="AA757" s="2" t="s">
        <v>33</v>
      </c>
    </row>
    <row r="758">
      <c r="A758" s="2">
        <v>2160.0</v>
      </c>
      <c r="B758" s="2" t="s">
        <v>2243</v>
      </c>
      <c r="C758" s="2" t="s">
        <v>7</v>
      </c>
      <c r="D758" s="2" t="s">
        <v>2244</v>
      </c>
      <c r="E758" s="2" t="s">
        <v>2245</v>
      </c>
      <c r="F758" s="6">
        <v>45803.475694444445</v>
      </c>
      <c r="G758" s="2">
        <v>44618.0</v>
      </c>
      <c r="H758" s="2">
        <v>44618.0</v>
      </c>
      <c r="I758" s="2">
        <v>37067.0</v>
      </c>
      <c r="J758" s="2">
        <v>247.0</v>
      </c>
      <c r="K758" s="2">
        <v>196.0</v>
      </c>
      <c r="L758" s="2">
        <v>2.0</v>
      </c>
      <c r="M758" s="4">
        <v>20088.0</v>
      </c>
      <c r="N758" s="2" t="s">
        <v>36</v>
      </c>
      <c r="O758" s="2">
        <v>71.0</v>
      </c>
      <c r="P758" s="2" t="s">
        <v>31</v>
      </c>
      <c r="Q758" s="2" t="s">
        <v>32</v>
      </c>
      <c r="R758" s="2">
        <v>45.0</v>
      </c>
      <c r="U758" s="2" t="b">
        <v>0</v>
      </c>
      <c r="V758" s="5">
        <v>0.0053</v>
      </c>
      <c r="W758" s="5">
        <v>0.0102</v>
      </c>
      <c r="X758" s="5">
        <v>5.4E-5</v>
      </c>
      <c r="Y758" s="2">
        <v>102.4897959</v>
      </c>
      <c r="AA758" s="2" t="s">
        <v>33</v>
      </c>
    </row>
    <row r="759">
      <c r="A759" s="2">
        <v>2162.0</v>
      </c>
      <c r="B759" s="2" t="s">
        <v>2246</v>
      </c>
      <c r="C759" s="2" t="s">
        <v>7</v>
      </c>
      <c r="D759" s="2" t="s">
        <v>2247</v>
      </c>
      <c r="E759" s="2" t="s">
        <v>2248</v>
      </c>
      <c r="F759" s="6">
        <v>45803.625</v>
      </c>
      <c r="G759" s="2">
        <v>44584.0</v>
      </c>
      <c r="H759" s="2">
        <v>44584.0</v>
      </c>
      <c r="I759" s="2">
        <v>37346.0</v>
      </c>
      <c r="J759" s="2">
        <v>293.0</v>
      </c>
      <c r="K759" s="2">
        <v>225.0</v>
      </c>
      <c r="L759" s="2">
        <v>5.0</v>
      </c>
      <c r="M759" s="4">
        <v>9530.0</v>
      </c>
      <c r="N759" s="2" t="s">
        <v>36</v>
      </c>
      <c r="O759" s="2">
        <v>71.0</v>
      </c>
      <c r="P759" s="2" t="s">
        <v>31</v>
      </c>
      <c r="Q759" s="2" t="s">
        <v>32</v>
      </c>
      <c r="R759" s="2">
        <v>31.0</v>
      </c>
      <c r="U759" s="2" t="b">
        <v>0</v>
      </c>
      <c r="V759" s="5">
        <v>0.006</v>
      </c>
      <c r="W759" s="5">
        <v>0.0222</v>
      </c>
      <c r="X759" s="5">
        <v>1.34E-4</v>
      </c>
      <c r="Y759" s="2">
        <v>42.35555556</v>
      </c>
      <c r="AA759" s="2" t="s">
        <v>33</v>
      </c>
    </row>
    <row r="760">
      <c r="A760" s="2">
        <v>2161.0</v>
      </c>
      <c r="B760" s="2" t="s">
        <v>2249</v>
      </c>
      <c r="C760" s="2" t="s">
        <v>7</v>
      </c>
      <c r="D760" s="2" t="s">
        <v>2250</v>
      </c>
      <c r="E760" s="2" t="s">
        <v>2251</v>
      </c>
      <c r="F760" s="6">
        <v>45803.625</v>
      </c>
      <c r="G760" s="2">
        <v>57937.0</v>
      </c>
      <c r="H760" s="2">
        <v>57937.0</v>
      </c>
      <c r="I760" s="2">
        <v>50069.0</v>
      </c>
      <c r="J760" s="2">
        <v>424.0</v>
      </c>
      <c r="K760" s="2">
        <v>324.0</v>
      </c>
      <c r="L760" s="2">
        <v>8.0</v>
      </c>
      <c r="M760" s="4">
        <v>49711.0</v>
      </c>
      <c r="N760" s="2" t="s">
        <v>30</v>
      </c>
      <c r="O760" s="2">
        <v>70.0</v>
      </c>
      <c r="P760" s="2" t="s">
        <v>31</v>
      </c>
      <c r="Q760" s="2" t="s">
        <v>32</v>
      </c>
      <c r="R760" s="2">
        <v>25.0</v>
      </c>
      <c r="U760" s="2" t="b">
        <v>0</v>
      </c>
      <c r="V760" s="5">
        <v>0.0065</v>
      </c>
      <c r="W760" s="5">
        <v>0.0247</v>
      </c>
      <c r="X760" s="5">
        <v>1.6E-4</v>
      </c>
      <c r="Y760" s="2">
        <v>153.4290123</v>
      </c>
      <c r="Z760" s="2">
        <v>3854.0</v>
      </c>
      <c r="AA760" s="2" t="s">
        <v>33</v>
      </c>
    </row>
    <row r="761">
      <c r="A761" s="2">
        <v>2164.0</v>
      </c>
      <c r="B761" s="2" t="s">
        <v>2252</v>
      </c>
      <c r="C761" s="2" t="s">
        <v>7</v>
      </c>
      <c r="D761" s="2" t="s">
        <v>2253</v>
      </c>
      <c r="E761" s="2" t="s">
        <v>2254</v>
      </c>
      <c r="F761" s="6">
        <v>45803.708333333336</v>
      </c>
      <c r="G761" s="2">
        <v>44587.0</v>
      </c>
      <c r="H761" s="2">
        <v>44587.0</v>
      </c>
      <c r="I761" s="2">
        <v>37354.0</v>
      </c>
      <c r="J761" s="2">
        <v>341.0</v>
      </c>
      <c r="K761" s="2">
        <v>271.0</v>
      </c>
      <c r="L761" s="2">
        <v>4.0</v>
      </c>
      <c r="M761" s="4">
        <v>10045.0</v>
      </c>
      <c r="N761" s="2" t="s">
        <v>36</v>
      </c>
      <c r="O761" s="2">
        <v>71.0</v>
      </c>
      <c r="P761" s="2" t="s">
        <v>31</v>
      </c>
      <c r="Q761" s="2" t="s">
        <v>32</v>
      </c>
      <c r="R761" s="2">
        <v>30.0</v>
      </c>
      <c r="T761" s="2" t="s">
        <v>47</v>
      </c>
      <c r="U761" s="2" t="b">
        <v>0</v>
      </c>
      <c r="V761" s="5">
        <v>0.0073</v>
      </c>
      <c r="W761" s="5">
        <v>0.0148</v>
      </c>
      <c r="X761" s="5">
        <v>1.07E-4</v>
      </c>
      <c r="Y761" s="2">
        <v>37.06642066</v>
      </c>
      <c r="AA761" s="2" t="s">
        <v>33</v>
      </c>
    </row>
    <row r="762">
      <c r="A762" s="2">
        <v>2163.0</v>
      </c>
      <c r="B762" s="2" t="s">
        <v>2255</v>
      </c>
      <c r="C762" s="2" t="s">
        <v>7</v>
      </c>
      <c r="D762" s="2" t="s">
        <v>2256</v>
      </c>
      <c r="E762" s="2" t="s">
        <v>2257</v>
      </c>
      <c r="F762" s="6">
        <v>45803.708333333336</v>
      </c>
      <c r="G762" s="2">
        <v>57962.0</v>
      </c>
      <c r="H762" s="2">
        <v>57962.0</v>
      </c>
      <c r="I762" s="2">
        <v>50170.0</v>
      </c>
      <c r="J762" s="2">
        <v>509.0</v>
      </c>
      <c r="K762" s="2">
        <v>413.0</v>
      </c>
      <c r="L762" s="2">
        <v>5.0</v>
      </c>
      <c r="M762" s="4">
        <v>13466.0</v>
      </c>
      <c r="N762" s="2" t="s">
        <v>30</v>
      </c>
      <c r="O762" s="2">
        <v>70.0</v>
      </c>
      <c r="P762" s="2" t="s">
        <v>31</v>
      </c>
      <c r="Q762" s="2" t="s">
        <v>32</v>
      </c>
      <c r="R762" s="2">
        <v>30.0</v>
      </c>
      <c r="T762" s="2" t="s">
        <v>405</v>
      </c>
      <c r="U762" s="2" t="b">
        <v>0</v>
      </c>
      <c r="V762" s="5">
        <v>0.0082</v>
      </c>
      <c r="W762" s="5">
        <v>0.0121</v>
      </c>
      <c r="X762" s="5">
        <v>1.0E-4</v>
      </c>
      <c r="Y762" s="2">
        <v>32.60532688</v>
      </c>
      <c r="AA762" s="2" t="s">
        <v>33</v>
      </c>
    </row>
    <row r="763">
      <c r="A763" s="2">
        <v>2165.0</v>
      </c>
      <c r="B763" s="2" t="s">
        <v>2258</v>
      </c>
      <c r="C763" s="2" t="s">
        <v>7</v>
      </c>
      <c r="D763" s="2" t="s">
        <v>2259</v>
      </c>
      <c r="E763" s="2" t="s">
        <v>2260</v>
      </c>
      <c r="F763" s="6">
        <v>45804.478472222225</v>
      </c>
      <c r="G763" s="2">
        <v>58018.0</v>
      </c>
      <c r="H763" s="2">
        <v>58018.0</v>
      </c>
      <c r="I763" s="2">
        <v>50071.0</v>
      </c>
      <c r="J763" s="2">
        <v>365.0</v>
      </c>
      <c r="K763" s="2">
        <v>302.0</v>
      </c>
      <c r="L763" s="2">
        <v>7.0</v>
      </c>
      <c r="M763" s="4">
        <v>15374.0</v>
      </c>
      <c r="N763" s="2" t="s">
        <v>30</v>
      </c>
      <c r="O763" s="2">
        <v>70.0</v>
      </c>
      <c r="P763" s="2" t="s">
        <v>31</v>
      </c>
      <c r="Q763" s="2" t="s">
        <v>32</v>
      </c>
      <c r="R763" s="2">
        <v>31.0</v>
      </c>
      <c r="T763" s="2" t="s">
        <v>143</v>
      </c>
      <c r="U763" s="2" t="b">
        <v>0</v>
      </c>
      <c r="V763" s="5">
        <v>0.006</v>
      </c>
      <c r="W763" s="5">
        <v>0.0232</v>
      </c>
      <c r="X763" s="5">
        <v>1.4E-4</v>
      </c>
      <c r="Y763" s="2">
        <v>50.90728477</v>
      </c>
      <c r="Z763" s="2" t="s">
        <v>2261</v>
      </c>
      <c r="AA763" s="2" t="s">
        <v>33</v>
      </c>
    </row>
    <row r="764">
      <c r="A764" s="2">
        <v>2166.0</v>
      </c>
      <c r="B764" s="2" t="s">
        <v>2262</v>
      </c>
      <c r="C764" s="2" t="s">
        <v>7</v>
      </c>
      <c r="D764" s="2" t="s">
        <v>2263</v>
      </c>
      <c r="E764" s="2" t="s">
        <v>2264</v>
      </c>
      <c r="F764" s="6">
        <v>45804.48263888889</v>
      </c>
      <c r="G764" s="2">
        <v>44642.0</v>
      </c>
      <c r="H764" s="2">
        <v>44642.0</v>
      </c>
      <c r="I764" s="2">
        <v>37164.0</v>
      </c>
      <c r="J764" s="2">
        <v>266.0</v>
      </c>
      <c r="K764" s="2">
        <v>212.0</v>
      </c>
      <c r="L764" s="2">
        <v>4.0</v>
      </c>
      <c r="M764" s="4">
        <v>13358.0</v>
      </c>
      <c r="N764" s="2" t="s">
        <v>36</v>
      </c>
      <c r="O764" s="2">
        <v>71.0</v>
      </c>
      <c r="P764" s="2" t="s">
        <v>31</v>
      </c>
      <c r="Q764" s="2" t="s">
        <v>32</v>
      </c>
      <c r="R764" s="2">
        <v>28.0</v>
      </c>
      <c r="U764" s="2" t="b">
        <v>1</v>
      </c>
      <c r="V764" s="5">
        <v>0.0057</v>
      </c>
      <c r="W764" s="5">
        <v>0.0189</v>
      </c>
      <c r="X764" s="5">
        <v>1.08E-4</v>
      </c>
      <c r="Y764" s="2">
        <v>63.00943396</v>
      </c>
      <c r="AA764" s="2" t="s">
        <v>33</v>
      </c>
    </row>
    <row r="765">
      <c r="A765" s="2">
        <v>2168.0</v>
      </c>
      <c r="B765" s="2" t="s">
        <v>2265</v>
      </c>
      <c r="C765" s="2" t="s">
        <v>7</v>
      </c>
      <c r="D765" s="2" t="s">
        <v>2266</v>
      </c>
      <c r="E765" s="2" t="s">
        <v>2267</v>
      </c>
      <c r="F765" s="6">
        <v>45804.625</v>
      </c>
      <c r="G765" s="2">
        <v>44633.0</v>
      </c>
      <c r="H765" s="2">
        <v>44633.0</v>
      </c>
      <c r="I765" s="2">
        <v>37382.0</v>
      </c>
      <c r="J765" s="2">
        <v>305.0</v>
      </c>
      <c r="K765" s="2">
        <v>250.0</v>
      </c>
      <c r="L765" s="2">
        <v>7.0</v>
      </c>
      <c r="M765" s="4">
        <v>26347.0</v>
      </c>
      <c r="N765" s="2" t="s">
        <v>36</v>
      </c>
      <c r="O765" s="2">
        <v>71.0</v>
      </c>
      <c r="P765" s="2" t="s">
        <v>31</v>
      </c>
      <c r="Q765" s="2" t="s">
        <v>32</v>
      </c>
      <c r="R765" s="2">
        <v>24.0</v>
      </c>
      <c r="T765" s="2" t="s">
        <v>405</v>
      </c>
      <c r="U765" s="2" t="b">
        <v>1</v>
      </c>
      <c r="V765" s="5">
        <v>0.0067</v>
      </c>
      <c r="W765" s="5">
        <v>0.028</v>
      </c>
      <c r="X765" s="5">
        <v>1.87E-4</v>
      </c>
      <c r="Y765" s="2">
        <v>105.388</v>
      </c>
      <c r="AA765" s="2" t="s">
        <v>33</v>
      </c>
    </row>
    <row r="766">
      <c r="A766" s="2">
        <v>2167.0</v>
      </c>
      <c r="B766" s="2" t="s">
        <v>2268</v>
      </c>
      <c r="C766" s="2" t="s">
        <v>7</v>
      </c>
      <c r="D766" s="2" t="s">
        <v>2269</v>
      </c>
      <c r="E766" s="2" t="s">
        <v>2270</v>
      </c>
      <c r="F766" s="6">
        <v>45804.625</v>
      </c>
      <c r="G766" s="2">
        <v>58053.0</v>
      </c>
      <c r="H766" s="2">
        <v>58053.0</v>
      </c>
      <c r="I766" s="2">
        <v>50178.0</v>
      </c>
      <c r="J766" s="2">
        <v>503.0</v>
      </c>
      <c r="K766" s="2">
        <v>425.0</v>
      </c>
      <c r="L766" s="2">
        <v>7.0</v>
      </c>
      <c r="M766" s="4">
        <v>23085.0</v>
      </c>
      <c r="N766" s="2" t="s">
        <v>30</v>
      </c>
      <c r="O766" s="2">
        <v>70.0</v>
      </c>
      <c r="P766" s="2" t="s">
        <v>31</v>
      </c>
      <c r="Q766" s="2" t="s">
        <v>32</v>
      </c>
      <c r="R766" s="2">
        <v>26.0</v>
      </c>
      <c r="T766" s="2" t="s">
        <v>405</v>
      </c>
      <c r="U766" s="2" t="b">
        <v>0</v>
      </c>
      <c r="V766" s="5">
        <v>0.0085</v>
      </c>
      <c r="W766" s="5">
        <v>0.0165</v>
      </c>
      <c r="X766" s="5">
        <v>1.4E-4</v>
      </c>
      <c r="Y766" s="2">
        <v>54.31764706</v>
      </c>
      <c r="Z766" s="2">
        <v>2429.0</v>
      </c>
      <c r="AA766" s="2" t="s">
        <v>33</v>
      </c>
    </row>
    <row r="767">
      <c r="A767" s="2">
        <v>2170.0</v>
      </c>
      <c r="B767" s="2" t="s">
        <v>2271</v>
      </c>
      <c r="C767" s="2" t="s">
        <v>7</v>
      </c>
      <c r="D767" s="2" t="s">
        <v>2272</v>
      </c>
      <c r="E767" s="2" t="s">
        <v>2273</v>
      </c>
      <c r="F767" s="6">
        <v>45804.708333333336</v>
      </c>
      <c r="G767" s="2">
        <v>44637.0</v>
      </c>
      <c r="H767" s="2">
        <v>44637.0</v>
      </c>
      <c r="I767" s="2">
        <v>37401.0</v>
      </c>
      <c r="J767" s="2">
        <v>263.0</v>
      </c>
      <c r="K767" s="2">
        <v>205.0</v>
      </c>
      <c r="L767" s="2">
        <v>3.0</v>
      </c>
      <c r="M767" s="4">
        <v>7149.0</v>
      </c>
      <c r="N767" s="2" t="s">
        <v>36</v>
      </c>
      <c r="O767" s="2">
        <v>71.0</v>
      </c>
      <c r="P767" s="2" t="s">
        <v>31</v>
      </c>
      <c r="Q767" s="2" t="s">
        <v>32</v>
      </c>
      <c r="R767" s="2">
        <v>26.0</v>
      </c>
      <c r="T767" s="2" t="s">
        <v>2274</v>
      </c>
      <c r="U767" s="2" t="b">
        <v>0</v>
      </c>
      <c r="V767" s="5">
        <v>0.0055</v>
      </c>
      <c r="W767" s="5">
        <v>0.0146</v>
      </c>
      <c r="X767" s="5">
        <v>8.0E-5</v>
      </c>
      <c r="Y767" s="2">
        <v>34.87317073</v>
      </c>
      <c r="AA767" s="2" t="s">
        <v>33</v>
      </c>
    </row>
    <row r="768">
      <c r="A768" s="2">
        <v>2169.0</v>
      </c>
      <c r="B768" s="2" t="s">
        <v>2275</v>
      </c>
      <c r="C768" s="2" t="s">
        <v>7</v>
      </c>
      <c r="D768" s="2" t="s">
        <v>2276</v>
      </c>
      <c r="E768" s="2" t="s">
        <v>2277</v>
      </c>
      <c r="F768" s="6">
        <v>45804.708333333336</v>
      </c>
      <c r="G768" s="2">
        <v>58070.0</v>
      </c>
      <c r="H768" s="2">
        <v>58070.0</v>
      </c>
      <c r="I768" s="2">
        <v>50280.0</v>
      </c>
      <c r="J768" s="2">
        <v>289.0</v>
      </c>
      <c r="K768" s="2">
        <v>235.0</v>
      </c>
      <c r="L768" s="2">
        <v>2.0</v>
      </c>
      <c r="M768" s="4">
        <v>5042.0</v>
      </c>
      <c r="N768" s="2" t="s">
        <v>30</v>
      </c>
      <c r="O768" s="2">
        <v>70.0</v>
      </c>
      <c r="P768" s="2" t="s">
        <v>31</v>
      </c>
      <c r="Q768" s="2" t="s">
        <v>32</v>
      </c>
      <c r="R768" s="2">
        <v>17.0</v>
      </c>
      <c r="T768" s="2" t="s">
        <v>47</v>
      </c>
      <c r="U768" s="2" t="b">
        <v>0</v>
      </c>
      <c r="V768" s="5">
        <v>0.0047</v>
      </c>
      <c r="W768" s="5">
        <v>0.0085</v>
      </c>
      <c r="X768" s="5">
        <v>4.0E-5</v>
      </c>
      <c r="Y768" s="2">
        <v>21.45531915</v>
      </c>
      <c r="Z768" s="2">
        <v>4141.0</v>
      </c>
      <c r="AA768" s="2" t="s">
        <v>33</v>
      </c>
    </row>
    <row r="769">
      <c r="A769" s="2">
        <v>2176.0</v>
      </c>
      <c r="B769" s="2" t="s">
        <v>2278</v>
      </c>
      <c r="C769" s="2" t="s">
        <v>7</v>
      </c>
      <c r="D769" s="2" t="s">
        <v>170</v>
      </c>
      <c r="E769" s="2" t="s">
        <v>288</v>
      </c>
      <c r="F769" s="6">
        <v>45805.48888888889</v>
      </c>
      <c r="G769" s="2">
        <v>58108.0</v>
      </c>
      <c r="H769" s="2">
        <v>58108.0</v>
      </c>
      <c r="I769" s="2">
        <v>50189.0</v>
      </c>
      <c r="J769" s="2">
        <v>247.0</v>
      </c>
      <c r="K769" s="2">
        <v>201.0</v>
      </c>
      <c r="L769" s="2">
        <v>6.0</v>
      </c>
      <c r="M769" s="4">
        <v>17734.0</v>
      </c>
      <c r="N769" s="2" t="s">
        <v>30</v>
      </c>
      <c r="O769" s="2">
        <v>70.0</v>
      </c>
      <c r="P769" s="2" t="s">
        <v>31</v>
      </c>
      <c r="Q769" s="2" t="s">
        <v>32</v>
      </c>
      <c r="R769" s="2">
        <v>27.0</v>
      </c>
      <c r="T769" s="2" t="s">
        <v>47</v>
      </c>
      <c r="U769" s="2" t="b">
        <v>0</v>
      </c>
      <c r="V769" s="5">
        <v>0.004</v>
      </c>
      <c r="W769" s="5">
        <v>0.0299</v>
      </c>
      <c r="X769" s="5">
        <v>1.2E-4</v>
      </c>
      <c r="Y769" s="2">
        <v>88.22885572</v>
      </c>
      <c r="AA769" s="2" t="s">
        <v>33</v>
      </c>
    </row>
    <row r="770">
      <c r="A770" s="2">
        <v>2177.0</v>
      </c>
      <c r="B770" s="2" t="s">
        <v>2279</v>
      </c>
      <c r="C770" s="2" t="s">
        <v>7</v>
      </c>
      <c r="D770" s="2" t="s">
        <v>172</v>
      </c>
      <c r="E770" s="2" t="s">
        <v>290</v>
      </c>
      <c r="F770" s="6">
        <v>45805.490277777775</v>
      </c>
      <c r="G770" s="2">
        <v>44697.0</v>
      </c>
      <c r="H770" s="2">
        <v>44697.0</v>
      </c>
      <c r="I770" s="2">
        <v>37298.0</v>
      </c>
      <c r="J770" s="2">
        <v>224.0</v>
      </c>
      <c r="K770" s="2">
        <v>188.0</v>
      </c>
      <c r="L770" s="2">
        <v>5.0</v>
      </c>
      <c r="M770" s="4">
        <v>16643.0</v>
      </c>
      <c r="N770" s="2" t="s">
        <v>36</v>
      </c>
      <c r="O770" s="2">
        <v>71.0</v>
      </c>
      <c r="P770" s="2" t="s">
        <v>31</v>
      </c>
      <c r="Q770" s="2" t="s">
        <v>32</v>
      </c>
      <c r="R770" s="2">
        <v>24.0</v>
      </c>
      <c r="T770" s="2" t="s">
        <v>47</v>
      </c>
      <c r="U770" s="2" t="b">
        <v>0</v>
      </c>
      <c r="V770" s="5">
        <v>0.005</v>
      </c>
      <c r="W770" s="5">
        <v>0.0266</v>
      </c>
      <c r="X770" s="5">
        <v>1.34E-4</v>
      </c>
      <c r="Y770" s="2">
        <v>88.52659574</v>
      </c>
      <c r="AA770" s="2" t="s">
        <v>33</v>
      </c>
    </row>
    <row r="771">
      <c r="A771" s="2">
        <v>2179.0</v>
      </c>
      <c r="B771" s="2" t="s">
        <v>2280</v>
      </c>
      <c r="C771" s="2" t="s">
        <v>7</v>
      </c>
      <c r="D771" s="2" t="s">
        <v>2281</v>
      </c>
      <c r="E771" s="2" t="s">
        <v>2282</v>
      </c>
      <c r="F771" s="6">
        <v>45805.708333333336</v>
      </c>
      <c r="G771" s="2">
        <v>44733.0</v>
      </c>
      <c r="H771" s="2">
        <v>44733.0</v>
      </c>
      <c r="I771" s="2">
        <v>37489.0</v>
      </c>
      <c r="J771" s="2">
        <v>364.0</v>
      </c>
      <c r="K771" s="2">
        <v>283.0</v>
      </c>
      <c r="L771" s="2">
        <v>5.0</v>
      </c>
      <c r="M771" s="4">
        <v>17500.0</v>
      </c>
      <c r="N771" s="2" t="s">
        <v>36</v>
      </c>
      <c r="O771" s="2">
        <v>71.0</v>
      </c>
      <c r="P771" s="2" t="s">
        <v>31</v>
      </c>
      <c r="Q771" s="2" t="s">
        <v>32</v>
      </c>
      <c r="R771" s="2">
        <v>27.0</v>
      </c>
      <c r="T771" s="7" t="str">
        <f>IFERROR(__xludf.DUMMYFUNCTION("AI(""has offer Come X Pay X"",D771)"),"has offer Come 3 Pay 2")</f>
        <v>has offer Come 3 Pay 2</v>
      </c>
      <c r="U771" s="2" t="b">
        <v>1</v>
      </c>
      <c r="V771" s="5">
        <v>0.0075</v>
      </c>
      <c r="W771" s="5">
        <v>0.0177</v>
      </c>
      <c r="X771" s="5">
        <v>1.33E-4</v>
      </c>
      <c r="Y771" s="2">
        <v>61.83745583</v>
      </c>
      <c r="AA771" s="2" t="s">
        <v>33</v>
      </c>
    </row>
    <row r="772">
      <c r="A772" s="2">
        <v>2178.0</v>
      </c>
      <c r="B772" s="2" t="s">
        <v>2283</v>
      </c>
      <c r="C772" s="2" t="s">
        <v>7</v>
      </c>
      <c r="D772" s="2" t="s">
        <v>2284</v>
      </c>
      <c r="E772" s="2" t="s">
        <v>2285</v>
      </c>
      <c r="F772" s="6">
        <v>45805.708333333336</v>
      </c>
      <c r="G772" s="2">
        <v>58177.0</v>
      </c>
      <c r="H772" s="2">
        <v>58177.0</v>
      </c>
      <c r="I772" s="2">
        <v>50392.0</v>
      </c>
      <c r="J772" s="2">
        <v>475.0</v>
      </c>
      <c r="K772" s="2">
        <v>388.0</v>
      </c>
      <c r="L772" s="2">
        <v>8.0</v>
      </c>
      <c r="M772" s="4">
        <v>26776.0</v>
      </c>
      <c r="N772" s="2" t="s">
        <v>30</v>
      </c>
      <c r="O772" s="2">
        <v>70.0</v>
      </c>
      <c r="P772" s="2" t="s">
        <v>31</v>
      </c>
      <c r="Q772" s="2" t="s">
        <v>32</v>
      </c>
      <c r="R772" s="2">
        <v>27.0</v>
      </c>
      <c r="T772" s="2" t="s">
        <v>58</v>
      </c>
      <c r="U772" s="2" t="b">
        <v>0</v>
      </c>
      <c r="V772" s="5">
        <v>0.0077</v>
      </c>
      <c r="W772" s="5">
        <v>0.0206</v>
      </c>
      <c r="X772" s="5">
        <v>1.59E-4</v>
      </c>
      <c r="Y772" s="2">
        <v>69.01030928</v>
      </c>
      <c r="Z772" s="2">
        <v>1826.0</v>
      </c>
      <c r="AA772" s="2" t="s">
        <v>33</v>
      </c>
    </row>
    <row r="773">
      <c r="A773" s="2">
        <v>2180.0</v>
      </c>
      <c r="B773" s="2" t="s">
        <v>2286</v>
      </c>
      <c r="C773" s="2" t="s">
        <v>7</v>
      </c>
      <c r="D773" s="2" t="s">
        <v>2287</v>
      </c>
      <c r="E773" s="2" t="s">
        <v>2288</v>
      </c>
      <c r="F773" s="6">
        <v>45806.479166666664</v>
      </c>
      <c r="G773" s="2">
        <v>58093.0</v>
      </c>
      <c r="H773" s="2">
        <v>58093.0</v>
      </c>
      <c r="I773" s="2">
        <v>50362.0</v>
      </c>
      <c r="J773" s="2">
        <v>433.0</v>
      </c>
      <c r="K773" s="2">
        <v>352.0</v>
      </c>
      <c r="L773" s="2">
        <v>6.0</v>
      </c>
      <c r="M773" s="4">
        <v>21094.0</v>
      </c>
      <c r="N773" s="2" t="s">
        <v>30</v>
      </c>
      <c r="O773" s="2">
        <v>70.0</v>
      </c>
      <c r="P773" s="2" t="s">
        <v>31</v>
      </c>
      <c r="Q773" s="2" t="s">
        <v>32</v>
      </c>
      <c r="R773" s="2">
        <v>35.0</v>
      </c>
      <c r="T773" s="2" t="s">
        <v>47</v>
      </c>
      <c r="U773" s="2" t="b">
        <v>0</v>
      </c>
      <c r="V773" s="5">
        <v>0.007</v>
      </c>
      <c r="W773" s="5">
        <v>0.017</v>
      </c>
      <c r="X773" s="5">
        <v>1.19E-4</v>
      </c>
      <c r="Y773" s="2">
        <v>59.92613636</v>
      </c>
      <c r="AA773" s="2" t="s">
        <v>33</v>
      </c>
    </row>
    <row r="774">
      <c r="A774" s="2">
        <v>2181.0</v>
      </c>
      <c r="B774" s="2" t="s">
        <v>2289</v>
      </c>
      <c r="C774" s="2" t="s">
        <v>7</v>
      </c>
      <c r="D774" s="2" t="s">
        <v>2290</v>
      </c>
      <c r="E774" s="2" t="s">
        <v>2291</v>
      </c>
      <c r="F774" s="6">
        <v>45806.48055555556</v>
      </c>
      <c r="G774" s="2">
        <v>44617.0</v>
      </c>
      <c r="H774" s="2">
        <v>44617.0</v>
      </c>
      <c r="I774" s="2">
        <v>37304.0</v>
      </c>
      <c r="J774" s="2">
        <v>276.0</v>
      </c>
      <c r="K774" s="2">
        <v>225.0</v>
      </c>
      <c r="L774" s="2">
        <v>5.0</v>
      </c>
      <c r="M774" s="4">
        <v>11894.0</v>
      </c>
      <c r="N774" s="2" t="s">
        <v>36</v>
      </c>
      <c r="O774" s="2">
        <v>71.0</v>
      </c>
      <c r="P774" s="2" t="s">
        <v>31</v>
      </c>
      <c r="Q774" s="2" t="s">
        <v>32</v>
      </c>
      <c r="R774" s="2">
        <v>38.0</v>
      </c>
      <c r="T774" s="2" t="s">
        <v>2292</v>
      </c>
      <c r="U774" s="2" t="b">
        <v>0</v>
      </c>
      <c r="V774" s="5">
        <v>0.006</v>
      </c>
      <c r="W774" s="5">
        <v>0.0222</v>
      </c>
      <c r="X774" s="5">
        <v>1.34E-4</v>
      </c>
      <c r="Y774" s="2">
        <v>52.86222222</v>
      </c>
      <c r="AA774" s="2" t="s">
        <v>33</v>
      </c>
    </row>
    <row r="775">
      <c r="A775" s="2">
        <v>2182.0</v>
      </c>
      <c r="B775" s="2" t="s">
        <v>2293</v>
      </c>
      <c r="C775" s="2" t="s">
        <v>7</v>
      </c>
      <c r="D775" s="2" t="s">
        <v>2294</v>
      </c>
      <c r="E775" s="2" t="s">
        <v>2295</v>
      </c>
      <c r="F775" s="6">
        <v>45806.788194444445</v>
      </c>
      <c r="G775" s="2">
        <v>58219.0</v>
      </c>
      <c r="H775" s="2">
        <v>58219.0</v>
      </c>
      <c r="I775" s="2">
        <v>50582.0</v>
      </c>
      <c r="J775" s="2">
        <v>384.0</v>
      </c>
      <c r="K775" s="2">
        <v>336.0</v>
      </c>
      <c r="L775" s="2">
        <v>4.0</v>
      </c>
      <c r="M775" s="4">
        <v>9669.0</v>
      </c>
      <c r="N775" s="2" t="s">
        <v>30</v>
      </c>
      <c r="O775" s="2">
        <v>70.0</v>
      </c>
      <c r="P775" s="2" t="s">
        <v>31</v>
      </c>
      <c r="Q775" s="2" t="s">
        <v>32</v>
      </c>
      <c r="R775" s="2">
        <v>29.0</v>
      </c>
      <c r="T775" s="7" t="str">
        <f>IFERROR(__xludf.DUMMYFUNCTION("AI(""has offer Come X Pay X"",D775)"),"Urgency/Scarcity")</f>
        <v>Urgency/Scarcity</v>
      </c>
      <c r="U775" s="2" t="b">
        <v>0</v>
      </c>
      <c r="V775" s="5">
        <v>0.0066</v>
      </c>
      <c r="W775" s="5">
        <v>0.0119</v>
      </c>
      <c r="X775" s="5">
        <v>7.9E-5</v>
      </c>
      <c r="Y775" s="2">
        <v>28.77678571</v>
      </c>
      <c r="Z775" s="2" t="s">
        <v>307</v>
      </c>
      <c r="AA775" s="2" t="s">
        <v>33</v>
      </c>
    </row>
    <row r="776">
      <c r="A776" s="2">
        <v>2183.0</v>
      </c>
      <c r="B776" s="2" t="s">
        <v>2296</v>
      </c>
      <c r="C776" s="2" t="s">
        <v>7</v>
      </c>
      <c r="D776" s="2" t="s">
        <v>2297</v>
      </c>
      <c r="E776" s="2" t="s">
        <v>2298</v>
      </c>
      <c r="F776" s="6">
        <v>45806.78888888889</v>
      </c>
      <c r="G776" s="2">
        <v>44723.0</v>
      </c>
      <c r="H776" s="2">
        <v>44723.0</v>
      </c>
      <c r="I776" s="2">
        <v>37643.0</v>
      </c>
      <c r="J776" s="2">
        <v>270.0</v>
      </c>
      <c r="K776" s="2">
        <v>220.0</v>
      </c>
      <c r="L776" s="2">
        <v>3.0</v>
      </c>
      <c r="M776" s="4">
        <v>3900.0</v>
      </c>
      <c r="N776" s="2" t="s">
        <v>36</v>
      </c>
      <c r="O776" s="2">
        <v>71.0</v>
      </c>
      <c r="P776" s="2" t="s">
        <v>31</v>
      </c>
      <c r="Q776" s="2" t="s">
        <v>32</v>
      </c>
      <c r="R776" s="2">
        <v>29.0</v>
      </c>
      <c r="T776" s="2" t="s">
        <v>47</v>
      </c>
      <c r="U776" s="2" t="b">
        <v>0</v>
      </c>
      <c r="V776" s="5">
        <v>0.0058</v>
      </c>
      <c r="W776" s="5">
        <v>0.0136</v>
      </c>
      <c r="X776" s="5">
        <v>8.0E-5</v>
      </c>
      <c r="Y776" s="2">
        <v>17.72727273</v>
      </c>
      <c r="AA776" s="2" t="s">
        <v>33</v>
      </c>
    </row>
    <row r="777">
      <c r="A777" s="2">
        <v>2184.0</v>
      </c>
      <c r="B777" s="2" t="s">
        <v>2299</v>
      </c>
      <c r="C777" s="2" t="s">
        <v>7</v>
      </c>
      <c r="D777" s="2" t="s">
        <v>2300</v>
      </c>
      <c r="E777" s="2" t="s">
        <v>2301</v>
      </c>
      <c r="F777" s="6">
        <v>45807.47152777778</v>
      </c>
      <c r="G777" s="2">
        <v>58284.0</v>
      </c>
      <c r="H777" s="2">
        <v>58284.0</v>
      </c>
      <c r="I777" s="2">
        <v>50459.0</v>
      </c>
      <c r="J777" s="2">
        <v>406.0</v>
      </c>
      <c r="K777" s="2">
        <v>324.0</v>
      </c>
      <c r="L777" s="2">
        <v>9.0</v>
      </c>
      <c r="M777" s="4">
        <v>15784.0</v>
      </c>
      <c r="N777" s="2" t="s">
        <v>30</v>
      </c>
      <c r="O777" s="2">
        <v>70.0</v>
      </c>
      <c r="P777" s="2" t="s">
        <v>31</v>
      </c>
      <c r="Q777" s="2" t="s">
        <v>32</v>
      </c>
      <c r="R777" s="2">
        <v>21.0</v>
      </c>
      <c r="T777" s="2" t="s">
        <v>1785</v>
      </c>
      <c r="U777" s="2" t="b">
        <v>0</v>
      </c>
      <c r="V777" s="5">
        <v>0.0064</v>
      </c>
      <c r="W777" s="5">
        <v>0.0278</v>
      </c>
      <c r="X777" s="5">
        <v>1.78E-4</v>
      </c>
      <c r="Y777" s="2">
        <v>48.71604938</v>
      </c>
      <c r="Z777" s="2">
        <v>3629.0</v>
      </c>
      <c r="AA777" s="2" t="s">
        <v>33</v>
      </c>
    </row>
    <row r="778">
      <c r="A778" s="2">
        <v>2185.0</v>
      </c>
      <c r="B778" s="2" t="s">
        <v>2302</v>
      </c>
      <c r="C778" s="2" t="s">
        <v>7</v>
      </c>
      <c r="D778" s="2" t="s">
        <v>2303</v>
      </c>
      <c r="E778" s="2" t="s">
        <v>2304</v>
      </c>
      <c r="F778" s="6">
        <v>45807.47222222222</v>
      </c>
      <c r="G778" s="2">
        <v>44757.0</v>
      </c>
      <c r="H778" s="2">
        <v>44757.0</v>
      </c>
      <c r="I778" s="2">
        <v>37363.0</v>
      </c>
      <c r="J778" s="2">
        <v>303.0</v>
      </c>
      <c r="K778" s="2">
        <v>236.0</v>
      </c>
      <c r="L778" s="2">
        <v>5.0</v>
      </c>
      <c r="M778" s="4">
        <v>19225.0</v>
      </c>
      <c r="N778" s="2" t="s">
        <v>36</v>
      </c>
      <c r="O778" s="2">
        <v>71.0</v>
      </c>
      <c r="P778" s="2" t="s">
        <v>31</v>
      </c>
      <c r="Q778" s="2" t="s">
        <v>32</v>
      </c>
      <c r="R778" s="2">
        <v>28.0</v>
      </c>
      <c r="T778" s="2" t="s">
        <v>58</v>
      </c>
      <c r="U778" s="2" t="b">
        <v>1</v>
      </c>
      <c r="V778" s="5">
        <v>0.0063</v>
      </c>
      <c r="W778" s="5">
        <v>0.0212</v>
      </c>
      <c r="X778" s="5">
        <v>1.34E-4</v>
      </c>
      <c r="Y778" s="2">
        <v>81.46186441</v>
      </c>
      <c r="AA778" s="2" t="s">
        <v>33</v>
      </c>
    </row>
    <row r="779">
      <c r="A779" s="2">
        <v>2187.0</v>
      </c>
      <c r="B779" s="2" t="s">
        <v>2305</v>
      </c>
      <c r="C779" s="2" t="s">
        <v>7</v>
      </c>
      <c r="D779" s="2" t="s">
        <v>2306</v>
      </c>
      <c r="E779" s="2" t="s">
        <v>2307</v>
      </c>
      <c r="F779" s="6">
        <v>45807.625</v>
      </c>
      <c r="G779" s="2">
        <v>44774.0</v>
      </c>
      <c r="H779" s="2">
        <v>44774.0</v>
      </c>
      <c r="I779" s="2">
        <v>37575.0</v>
      </c>
      <c r="J779" s="2">
        <v>285.0</v>
      </c>
      <c r="K779" s="2">
        <v>230.0</v>
      </c>
      <c r="L779" s="2">
        <v>4.0</v>
      </c>
      <c r="M779" s="4">
        <v>13973.0</v>
      </c>
      <c r="N779" s="2" t="s">
        <v>36</v>
      </c>
      <c r="O779" s="2">
        <v>71.0</v>
      </c>
      <c r="P779" s="2" t="s">
        <v>31</v>
      </c>
      <c r="Q779" s="2" t="s">
        <v>32</v>
      </c>
      <c r="R779" s="2">
        <v>39.0</v>
      </c>
      <c r="U779" s="2" t="b">
        <v>0</v>
      </c>
      <c r="V779" s="5">
        <v>0.0061</v>
      </c>
      <c r="W779" s="5">
        <v>0.0174</v>
      </c>
      <c r="X779" s="5">
        <v>1.06E-4</v>
      </c>
      <c r="Y779" s="2">
        <v>60.75217391</v>
      </c>
      <c r="AA779" s="2" t="s">
        <v>33</v>
      </c>
    </row>
    <row r="780">
      <c r="A780" s="2">
        <v>2186.0</v>
      </c>
      <c r="B780" s="2" t="s">
        <v>2308</v>
      </c>
      <c r="C780" s="2" t="s">
        <v>7</v>
      </c>
      <c r="D780" s="2" t="s">
        <v>2309</v>
      </c>
      <c r="E780" s="2" t="s">
        <v>2310</v>
      </c>
      <c r="F780" s="6">
        <v>45807.625</v>
      </c>
      <c r="G780" s="2">
        <v>58310.0</v>
      </c>
      <c r="H780" s="2">
        <v>58310.0</v>
      </c>
      <c r="I780" s="2">
        <v>50633.0</v>
      </c>
      <c r="J780" s="2">
        <v>313.0</v>
      </c>
      <c r="K780" s="2">
        <v>257.0</v>
      </c>
      <c r="L780" s="2">
        <v>9.0</v>
      </c>
      <c r="M780" s="4">
        <v>19603.0</v>
      </c>
      <c r="N780" s="2" t="s">
        <v>30</v>
      </c>
      <c r="O780" s="2">
        <v>70.0</v>
      </c>
      <c r="P780" s="2" t="s">
        <v>31</v>
      </c>
      <c r="Q780" s="2" t="s">
        <v>32</v>
      </c>
      <c r="R780" s="2">
        <v>27.0</v>
      </c>
      <c r="T780" s="2" t="s">
        <v>2311</v>
      </c>
      <c r="U780" s="2" t="b">
        <v>0</v>
      </c>
      <c r="V780" s="5">
        <v>0.0051</v>
      </c>
      <c r="W780" s="5">
        <v>0.035</v>
      </c>
      <c r="X780" s="5">
        <v>1.78E-4</v>
      </c>
      <c r="Y780" s="2">
        <v>76.27626459</v>
      </c>
      <c r="Z780" s="2">
        <v>1069.0</v>
      </c>
      <c r="AA780" s="2" t="s">
        <v>33</v>
      </c>
    </row>
    <row r="781">
      <c r="A781" s="2">
        <v>2188.0</v>
      </c>
      <c r="B781" s="2" t="s">
        <v>2312</v>
      </c>
      <c r="C781" s="2" t="s">
        <v>7</v>
      </c>
      <c r="D781" s="2" t="s">
        <v>2313</v>
      </c>
      <c r="E781" s="2" t="s">
        <v>2314</v>
      </c>
      <c r="F781" s="6">
        <v>45807.71805555555</v>
      </c>
      <c r="G781" s="2">
        <v>58381.0</v>
      </c>
      <c r="H781" s="2">
        <v>58381.0</v>
      </c>
      <c r="I781" s="2">
        <v>50697.0</v>
      </c>
      <c r="J781" s="2">
        <v>436.0</v>
      </c>
      <c r="K781" s="2">
        <v>368.0</v>
      </c>
      <c r="L781" s="2">
        <v>5.0</v>
      </c>
      <c r="M781" s="4">
        <v>13343.0</v>
      </c>
      <c r="N781" s="2" t="s">
        <v>30</v>
      </c>
      <c r="O781" s="2">
        <v>70.0</v>
      </c>
      <c r="P781" s="2" t="s">
        <v>31</v>
      </c>
      <c r="Q781" s="2" t="s">
        <v>32</v>
      </c>
      <c r="R781" s="2">
        <v>29.0</v>
      </c>
      <c r="U781" s="2" t="b">
        <v>0</v>
      </c>
      <c r="V781" s="5">
        <v>0.0073</v>
      </c>
      <c r="W781" s="5">
        <v>0.0136</v>
      </c>
      <c r="X781" s="5">
        <v>9.9E-5</v>
      </c>
      <c r="Y781" s="2">
        <v>36.25815217</v>
      </c>
      <c r="AA781" s="2" t="s">
        <v>33</v>
      </c>
    </row>
    <row r="782">
      <c r="A782" s="2">
        <v>2189.0</v>
      </c>
      <c r="B782" s="2" t="s">
        <v>2315</v>
      </c>
      <c r="C782" s="2" t="s">
        <v>7</v>
      </c>
      <c r="D782" s="2" t="s">
        <v>2316</v>
      </c>
      <c r="E782" s="2" t="s">
        <v>2317</v>
      </c>
      <c r="F782" s="6">
        <v>45807.72083333333</v>
      </c>
      <c r="G782" s="2">
        <v>44804.0</v>
      </c>
      <c r="H782" s="2">
        <v>44804.0</v>
      </c>
      <c r="I782" s="2">
        <v>37592.0</v>
      </c>
      <c r="J782" s="2">
        <v>335.0</v>
      </c>
      <c r="K782" s="2">
        <v>269.0</v>
      </c>
      <c r="L782" s="2">
        <v>6.0</v>
      </c>
      <c r="M782" s="4">
        <v>11273.0</v>
      </c>
      <c r="N782" s="2" t="s">
        <v>36</v>
      </c>
      <c r="O782" s="2">
        <v>71.0</v>
      </c>
      <c r="P782" s="2" t="s">
        <v>31</v>
      </c>
      <c r="Q782" s="2" t="s">
        <v>32</v>
      </c>
      <c r="R782" s="2">
        <v>34.0</v>
      </c>
      <c r="T782" s="2" t="s">
        <v>405</v>
      </c>
      <c r="U782" s="2" t="b">
        <v>0</v>
      </c>
      <c r="V782" s="5">
        <v>0.0072</v>
      </c>
      <c r="W782" s="5">
        <v>0.0223</v>
      </c>
      <c r="X782" s="5">
        <v>1.6E-4</v>
      </c>
      <c r="Y782" s="2">
        <v>41.9070632</v>
      </c>
      <c r="AA782" s="2" t="s">
        <v>33</v>
      </c>
    </row>
    <row r="783">
      <c r="A783" s="2">
        <v>2191.0</v>
      </c>
      <c r="B783" s="2" t="s">
        <v>2318</v>
      </c>
      <c r="C783" s="2" t="s">
        <v>7</v>
      </c>
      <c r="D783" s="2" t="s">
        <v>2319</v>
      </c>
      <c r="E783" s="2" t="s">
        <v>2320</v>
      </c>
      <c r="F783" s="6">
        <v>45808.458333333336</v>
      </c>
      <c r="G783" s="2">
        <v>44868.0</v>
      </c>
      <c r="H783" s="2">
        <v>44868.0</v>
      </c>
      <c r="I783" s="2">
        <v>37232.0</v>
      </c>
      <c r="J783" s="2">
        <v>244.0</v>
      </c>
      <c r="K783" s="2">
        <v>190.0</v>
      </c>
      <c r="L783" s="2">
        <v>2.0</v>
      </c>
      <c r="M783" s="4">
        <v>2150.0</v>
      </c>
      <c r="N783" s="2" t="s">
        <v>36</v>
      </c>
      <c r="O783" s="2">
        <v>71.0</v>
      </c>
      <c r="P783" s="2" t="s">
        <v>31</v>
      </c>
      <c r="Q783" s="2" t="s">
        <v>32</v>
      </c>
      <c r="R783" s="2">
        <v>32.0</v>
      </c>
      <c r="T783" s="7" t="str">
        <f>IFERROR(__xludf.DUMMYFUNCTION("AI(""has offer Come X Pay X"",D783)"),"Lunch Feast at The Kitchen Table has offer Come X Pay X")</f>
        <v>Lunch Feast at The Kitchen Table has offer Come X Pay X</v>
      </c>
      <c r="U783" s="2" t="b">
        <v>0</v>
      </c>
      <c r="V783" s="5">
        <v>0.0051</v>
      </c>
      <c r="W783" s="5">
        <v>0.0105</v>
      </c>
      <c r="X783" s="5">
        <v>5.4E-5</v>
      </c>
      <c r="Y783" s="2">
        <v>11.31578947</v>
      </c>
      <c r="AA783" s="2" t="s">
        <v>33</v>
      </c>
    </row>
    <row r="784">
      <c r="A784" s="2">
        <v>2190.0</v>
      </c>
      <c r="B784" s="2" t="s">
        <v>2321</v>
      </c>
      <c r="C784" s="2" t="s">
        <v>7</v>
      </c>
      <c r="D784" s="2" t="s">
        <v>2322</v>
      </c>
      <c r="E784" s="2" t="s">
        <v>2323</v>
      </c>
      <c r="F784" s="6">
        <v>45808.458333333336</v>
      </c>
      <c r="G784" s="2">
        <v>58503.0</v>
      </c>
      <c r="H784" s="2">
        <v>58503.0</v>
      </c>
      <c r="I784" s="2">
        <v>50417.0</v>
      </c>
      <c r="J784" s="2">
        <v>305.0</v>
      </c>
      <c r="K784" s="2">
        <v>238.0</v>
      </c>
      <c r="L784" s="2">
        <v>7.0</v>
      </c>
      <c r="M784" s="4">
        <v>17521.0</v>
      </c>
      <c r="N784" s="2" t="s">
        <v>30</v>
      </c>
      <c r="O784" s="2">
        <v>70.0</v>
      </c>
      <c r="P784" s="2" t="s">
        <v>31</v>
      </c>
      <c r="Q784" s="2" t="s">
        <v>32</v>
      </c>
      <c r="R784" s="2">
        <v>40.0</v>
      </c>
      <c r="T784" s="2" t="s">
        <v>47</v>
      </c>
      <c r="U784" s="2" t="b">
        <v>0</v>
      </c>
      <c r="V784" s="5">
        <v>0.0047</v>
      </c>
      <c r="W784" s="5">
        <v>0.0294</v>
      </c>
      <c r="X784" s="5">
        <v>1.39E-4</v>
      </c>
      <c r="Y784" s="2">
        <v>73.61764706</v>
      </c>
      <c r="AA784" s="2" t="s">
        <v>33</v>
      </c>
    </row>
    <row r="785">
      <c r="A785" s="2">
        <v>2193.0</v>
      </c>
      <c r="B785" s="2" t="s">
        <v>2324</v>
      </c>
      <c r="C785" s="2" t="s">
        <v>7</v>
      </c>
      <c r="D785" s="2" t="s">
        <v>2325</v>
      </c>
      <c r="E785" s="2" t="s">
        <v>2326</v>
      </c>
      <c r="F785" s="6">
        <v>45808.625</v>
      </c>
      <c r="G785" s="2">
        <v>44920.0</v>
      </c>
      <c r="H785" s="2">
        <v>44920.0</v>
      </c>
      <c r="I785" s="2">
        <v>37600.0</v>
      </c>
      <c r="J785" s="2">
        <v>277.0</v>
      </c>
      <c r="K785" s="2">
        <v>222.0</v>
      </c>
      <c r="L785" s="2">
        <v>4.0</v>
      </c>
      <c r="M785" s="4">
        <v>8303.0</v>
      </c>
      <c r="N785" s="2" t="s">
        <v>36</v>
      </c>
      <c r="O785" s="2">
        <v>71.0</v>
      </c>
      <c r="P785" s="2" t="s">
        <v>31</v>
      </c>
      <c r="Q785" s="2" t="s">
        <v>32</v>
      </c>
      <c r="R785" s="2">
        <v>29.0</v>
      </c>
      <c r="T785" s="7" t="str">
        <f>IFERROR(__xludf.DUMMYFUNCTION("AI(""has offer Come X Pay X"",D785)"),"Come 4 Pay 3")</f>
        <v>Come 4 Pay 3</v>
      </c>
      <c r="U785" s="2" t="b">
        <v>1</v>
      </c>
      <c r="V785" s="5">
        <v>0.0059</v>
      </c>
      <c r="W785" s="5">
        <v>0.018</v>
      </c>
      <c r="X785" s="5">
        <v>1.06E-4</v>
      </c>
      <c r="Y785" s="2">
        <v>37.4009009</v>
      </c>
      <c r="AA785" s="2" t="s">
        <v>33</v>
      </c>
    </row>
    <row r="786">
      <c r="A786" s="2">
        <v>2192.0</v>
      </c>
      <c r="B786" s="2" t="s">
        <v>2327</v>
      </c>
      <c r="C786" s="2" t="s">
        <v>7</v>
      </c>
      <c r="D786" s="2" t="s">
        <v>2328</v>
      </c>
      <c r="E786" s="2" t="s">
        <v>2329</v>
      </c>
      <c r="F786" s="6">
        <v>45808.625</v>
      </c>
      <c r="G786" s="2">
        <v>58572.0</v>
      </c>
      <c r="H786" s="2">
        <v>58572.0</v>
      </c>
      <c r="I786" s="2">
        <v>50767.0</v>
      </c>
      <c r="J786" s="2">
        <v>369.0</v>
      </c>
      <c r="K786" s="2">
        <v>296.0</v>
      </c>
      <c r="L786" s="2">
        <v>3.0</v>
      </c>
      <c r="M786" s="4">
        <v>6301.0</v>
      </c>
      <c r="N786" s="2" t="s">
        <v>30</v>
      </c>
      <c r="O786" s="2">
        <v>70.0</v>
      </c>
      <c r="P786" s="2" t="s">
        <v>31</v>
      </c>
      <c r="Q786" s="2" t="s">
        <v>32</v>
      </c>
      <c r="R786" s="2">
        <v>29.0</v>
      </c>
      <c r="T786" s="2" t="s">
        <v>143</v>
      </c>
      <c r="U786" s="2" t="b">
        <v>0</v>
      </c>
      <c r="V786" s="5">
        <v>0.0058</v>
      </c>
      <c r="W786" s="5">
        <v>0.0101</v>
      </c>
      <c r="X786" s="5">
        <v>5.9E-5</v>
      </c>
      <c r="Y786" s="2">
        <v>21.28716216</v>
      </c>
      <c r="Z786" s="2">
        <v>1483.0</v>
      </c>
      <c r="AA786" s="2" t="s">
        <v>33</v>
      </c>
    </row>
    <row r="787">
      <c r="A787" s="2">
        <v>2195.0</v>
      </c>
      <c r="B787" s="2" t="s">
        <v>2330</v>
      </c>
      <c r="C787" s="2" t="s">
        <v>7</v>
      </c>
      <c r="D787" s="2" t="s">
        <v>2331</v>
      </c>
      <c r="E787" s="2" t="s">
        <v>2332</v>
      </c>
      <c r="F787" s="6">
        <v>45808.708333333336</v>
      </c>
      <c r="G787" s="2">
        <v>44939.0</v>
      </c>
      <c r="H787" s="2">
        <v>44939.0</v>
      </c>
      <c r="I787" s="2">
        <v>37614.0</v>
      </c>
      <c r="J787" s="2">
        <v>306.0</v>
      </c>
      <c r="K787" s="2">
        <v>240.0</v>
      </c>
      <c r="L787" s="2">
        <v>6.0</v>
      </c>
      <c r="M787" s="4">
        <v>31377.0</v>
      </c>
      <c r="N787" s="2" t="s">
        <v>36</v>
      </c>
      <c r="O787" s="2">
        <v>71.0</v>
      </c>
      <c r="P787" s="2" t="s">
        <v>31</v>
      </c>
      <c r="Q787" s="2" t="s">
        <v>32</v>
      </c>
      <c r="R787" s="2">
        <v>36.0</v>
      </c>
      <c r="T787" s="2" t="s">
        <v>47</v>
      </c>
      <c r="U787" s="2" t="b">
        <v>0</v>
      </c>
      <c r="V787" s="5">
        <v>0.0064</v>
      </c>
      <c r="W787" s="5">
        <v>0.025</v>
      </c>
      <c r="X787" s="5">
        <v>1.6E-4</v>
      </c>
      <c r="Y787" s="2">
        <v>130.7375</v>
      </c>
      <c r="AA787" s="2" t="s">
        <v>33</v>
      </c>
    </row>
    <row r="788">
      <c r="A788" s="2">
        <v>2194.0</v>
      </c>
      <c r="B788" s="2" t="s">
        <v>2333</v>
      </c>
      <c r="C788" s="2" t="s">
        <v>7</v>
      </c>
      <c r="D788" s="2" t="s">
        <v>2334</v>
      </c>
      <c r="E788" s="2" t="s">
        <v>2335</v>
      </c>
      <c r="F788" s="6">
        <v>45808.708333333336</v>
      </c>
      <c r="G788" s="2">
        <v>58610.0</v>
      </c>
      <c r="H788" s="2">
        <v>58610.0</v>
      </c>
      <c r="I788" s="2">
        <v>50870.0</v>
      </c>
      <c r="J788" s="2">
        <v>412.0</v>
      </c>
      <c r="K788" s="2">
        <v>328.0</v>
      </c>
      <c r="L788" s="2">
        <v>7.0</v>
      </c>
      <c r="M788" s="4">
        <v>13892.0</v>
      </c>
      <c r="N788" s="2" t="s">
        <v>30</v>
      </c>
      <c r="O788" s="2">
        <v>70.0</v>
      </c>
      <c r="P788" s="2" t="s">
        <v>31</v>
      </c>
      <c r="Q788" s="2" t="s">
        <v>32</v>
      </c>
      <c r="R788" s="2">
        <v>28.0</v>
      </c>
      <c r="T788" s="2" t="s">
        <v>47</v>
      </c>
      <c r="U788" s="2" t="b">
        <v>0</v>
      </c>
      <c r="V788" s="5">
        <v>0.0064</v>
      </c>
      <c r="W788" s="5">
        <v>0.0213</v>
      </c>
      <c r="X788" s="5">
        <v>1.38E-4</v>
      </c>
      <c r="Y788" s="2">
        <v>42.35365854</v>
      </c>
      <c r="AA788" s="2" t="s">
        <v>33</v>
      </c>
    </row>
    <row r="789">
      <c r="A789" s="2">
        <v>2197.0</v>
      </c>
      <c r="B789" s="2" t="s">
        <v>2336</v>
      </c>
      <c r="C789" s="2" t="s">
        <v>7</v>
      </c>
      <c r="D789" s="2" t="s">
        <v>2337</v>
      </c>
      <c r="E789" s="2" t="s">
        <v>2338</v>
      </c>
      <c r="F789" s="6">
        <v>45809.458333333336</v>
      </c>
      <c r="G789" s="2">
        <v>45029.0</v>
      </c>
      <c r="H789" s="2">
        <v>45029.0</v>
      </c>
      <c r="I789" s="2">
        <v>37292.0</v>
      </c>
      <c r="J789" s="2">
        <v>264.0</v>
      </c>
      <c r="K789" s="2">
        <v>214.0</v>
      </c>
      <c r="L789" s="2">
        <v>5.0</v>
      </c>
      <c r="M789" s="4">
        <v>14643.0</v>
      </c>
      <c r="N789" s="2" t="s">
        <v>36</v>
      </c>
      <c r="O789" s="2">
        <v>71.0</v>
      </c>
      <c r="P789" s="2" t="s">
        <v>31</v>
      </c>
      <c r="Q789" s="2" t="s">
        <v>32</v>
      </c>
      <c r="R789" s="2">
        <v>48.0</v>
      </c>
      <c r="T789" s="2" t="s">
        <v>47</v>
      </c>
      <c r="U789" s="2" t="b">
        <v>0</v>
      </c>
      <c r="V789" s="5">
        <v>0.0057</v>
      </c>
      <c r="W789" s="5">
        <v>0.0234</v>
      </c>
      <c r="X789" s="5">
        <v>1.34E-4</v>
      </c>
      <c r="Y789" s="2">
        <v>68.42523364</v>
      </c>
      <c r="AA789" s="2" t="s">
        <v>33</v>
      </c>
    </row>
    <row r="790">
      <c r="A790" s="2">
        <v>2196.0</v>
      </c>
      <c r="B790" s="2" t="s">
        <v>2339</v>
      </c>
      <c r="C790" s="2" t="s">
        <v>7</v>
      </c>
      <c r="D790" s="2" t="s">
        <v>2340</v>
      </c>
      <c r="E790" s="2" t="s">
        <v>2341</v>
      </c>
      <c r="F790" s="6">
        <v>45809.458333333336</v>
      </c>
      <c r="G790" s="2">
        <v>58732.0</v>
      </c>
      <c r="H790" s="2">
        <v>58732.0</v>
      </c>
      <c r="I790" s="2">
        <v>50574.0</v>
      </c>
      <c r="J790" s="2">
        <v>382.0</v>
      </c>
      <c r="K790" s="2">
        <v>328.0</v>
      </c>
      <c r="L790" s="2">
        <v>9.0</v>
      </c>
      <c r="M790" s="4">
        <v>28509.0</v>
      </c>
      <c r="N790" s="2" t="s">
        <v>30</v>
      </c>
      <c r="O790" s="2">
        <v>70.0</v>
      </c>
      <c r="P790" s="2" t="s">
        <v>31</v>
      </c>
      <c r="Q790" s="2" t="s">
        <v>32</v>
      </c>
      <c r="R790" s="2">
        <v>35.0</v>
      </c>
      <c r="T790" s="2" t="s">
        <v>162</v>
      </c>
      <c r="U790" s="2" t="b">
        <v>0</v>
      </c>
      <c r="V790" s="5">
        <v>0.0065</v>
      </c>
      <c r="W790" s="5">
        <v>0.0274</v>
      </c>
      <c r="X790" s="5">
        <v>1.78E-4</v>
      </c>
      <c r="Y790" s="2">
        <v>86.91768293</v>
      </c>
      <c r="Z790" s="2" t="s">
        <v>307</v>
      </c>
      <c r="AA790" s="2" t="s">
        <v>33</v>
      </c>
    </row>
    <row r="791">
      <c r="A791" s="2">
        <v>2199.0</v>
      </c>
      <c r="B791" s="2" t="s">
        <v>2342</v>
      </c>
      <c r="C791" s="2" t="s">
        <v>7</v>
      </c>
      <c r="D791" s="2" t="s">
        <v>2343</v>
      </c>
      <c r="E791" s="2" t="s">
        <v>2344</v>
      </c>
      <c r="F791" s="6">
        <v>45809.625</v>
      </c>
      <c r="G791" s="2">
        <v>45045.0</v>
      </c>
      <c r="H791" s="2">
        <v>45045.0</v>
      </c>
      <c r="I791" s="2">
        <v>37687.0</v>
      </c>
      <c r="J791" s="2">
        <v>259.0</v>
      </c>
      <c r="K791" s="2">
        <v>202.0</v>
      </c>
      <c r="L791" s="2">
        <v>2.0</v>
      </c>
      <c r="M791" s="4">
        <v>2797.0</v>
      </c>
      <c r="N791" s="2" t="s">
        <v>36</v>
      </c>
      <c r="O791" s="2">
        <v>71.0</v>
      </c>
      <c r="P791" s="2" t="s">
        <v>31</v>
      </c>
      <c r="Q791" s="2" t="s">
        <v>32</v>
      </c>
      <c r="R791" s="2">
        <v>26.0</v>
      </c>
      <c r="T791" s="2" t="s">
        <v>47</v>
      </c>
      <c r="U791" s="2" t="b">
        <v>0</v>
      </c>
      <c r="V791" s="5">
        <v>0.0054</v>
      </c>
      <c r="W791" s="5">
        <v>0.0099</v>
      </c>
      <c r="X791" s="5">
        <v>5.3E-5</v>
      </c>
      <c r="Y791" s="2">
        <v>13.84653465</v>
      </c>
      <c r="AA791" s="2" t="s">
        <v>33</v>
      </c>
    </row>
    <row r="792">
      <c r="A792" s="2">
        <v>2198.0</v>
      </c>
      <c r="B792" s="2" t="s">
        <v>2345</v>
      </c>
      <c r="C792" s="2" t="s">
        <v>7</v>
      </c>
      <c r="D792" s="2" t="s">
        <v>2346</v>
      </c>
      <c r="E792" s="2" t="s">
        <v>2347</v>
      </c>
      <c r="F792" s="6">
        <v>45809.625</v>
      </c>
      <c r="G792" s="2">
        <v>58816.0</v>
      </c>
      <c r="H792" s="2">
        <v>58816.0</v>
      </c>
      <c r="I792" s="2">
        <v>50910.0</v>
      </c>
      <c r="J792" s="2">
        <v>276.0</v>
      </c>
      <c r="K792" s="2">
        <v>217.0</v>
      </c>
      <c r="L792" s="2">
        <v>4.0</v>
      </c>
      <c r="M792" s="4">
        <v>21360.0</v>
      </c>
      <c r="N792" s="2" t="s">
        <v>30</v>
      </c>
      <c r="O792" s="2">
        <v>70.0</v>
      </c>
      <c r="P792" s="2" t="s">
        <v>31</v>
      </c>
      <c r="Q792" s="2" t="s">
        <v>32</v>
      </c>
      <c r="R792" s="2">
        <v>22.0</v>
      </c>
      <c r="U792" s="2" t="b">
        <v>0</v>
      </c>
      <c r="V792" s="5">
        <v>0.0043</v>
      </c>
      <c r="W792" s="5">
        <v>0.0184</v>
      </c>
      <c r="X792" s="5">
        <v>7.9E-5</v>
      </c>
      <c r="Y792" s="2">
        <v>98.43317972</v>
      </c>
      <c r="AA792" s="2" t="s">
        <v>33</v>
      </c>
    </row>
    <row r="793">
      <c r="A793" s="2">
        <v>2201.0</v>
      </c>
      <c r="B793" s="2" t="s">
        <v>2348</v>
      </c>
      <c r="C793" s="2" t="s">
        <v>7</v>
      </c>
      <c r="D793" s="2" t="s">
        <v>2349</v>
      </c>
      <c r="E793" s="2" t="s">
        <v>2350</v>
      </c>
      <c r="F793" s="6">
        <v>45809.708333333336</v>
      </c>
      <c r="G793" s="2">
        <v>45081.0</v>
      </c>
      <c r="H793" s="2">
        <v>45081.0</v>
      </c>
      <c r="I793" s="2">
        <v>37725.0</v>
      </c>
      <c r="J793" s="2">
        <v>470.0</v>
      </c>
      <c r="K793" s="2">
        <v>355.0</v>
      </c>
      <c r="L793" s="2">
        <v>15.0</v>
      </c>
      <c r="M793" s="4">
        <v>49708.0</v>
      </c>
      <c r="N793" s="2" t="s">
        <v>36</v>
      </c>
      <c r="O793" s="2">
        <v>71.0</v>
      </c>
      <c r="P793" s="2" t="s">
        <v>31</v>
      </c>
      <c r="Q793" s="2" t="s">
        <v>32</v>
      </c>
      <c r="R793" s="2">
        <v>34.0</v>
      </c>
      <c r="T793" s="2" t="s">
        <v>405</v>
      </c>
      <c r="U793" s="2" t="b">
        <v>1</v>
      </c>
      <c r="V793" s="5">
        <v>0.0094</v>
      </c>
      <c r="W793" s="5">
        <v>0.0423</v>
      </c>
      <c r="X793" s="5">
        <v>3.98E-4</v>
      </c>
      <c r="Y793" s="2">
        <v>140.0225352</v>
      </c>
      <c r="AA793" s="2" t="s">
        <v>33</v>
      </c>
    </row>
    <row r="794">
      <c r="A794" s="2">
        <v>2200.0</v>
      </c>
      <c r="B794" s="2" t="s">
        <v>2351</v>
      </c>
      <c r="C794" s="2" t="s">
        <v>7</v>
      </c>
      <c r="D794" s="2" t="s">
        <v>2352</v>
      </c>
      <c r="E794" s="2" t="s">
        <v>2353</v>
      </c>
      <c r="F794" s="6">
        <v>45809.708333333336</v>
      </c>
      <c r="G794" s="2">
        <v>5447.0</v>
      </c>
      <c r="H794" s="2">
        <v>5447.0</v>
      </c>
      <c r="I794" s="2">
        <v>4784.0</v>
      </c>
      <c r="J794" s="2">
        <v>74.0</v>
      </c>
      <c r="K794" s="2">
        <v>55.0</v>
      </c>
      <c r="L794" s="2">
        <v>0.0</v>
      </c>
      <c r="M794" s="2">
        <v>0.0</v>
      </c>
      <c r="N794" s="2" t="s">
        <v>30</v>
      </c>
      <c r="O794" s="2">
        <v>70.0</v>
      </c>
      <c r="P794" s="2" t="s">
        <v>31</v>
      </c>
      <c r="Q794" s="2" t="s">
        <v>32</v>
      </c>
      <c r="R794" s="2">
        <v>34.0</v>
      </c>
      <c r="T794" s="7" t="str">
        <f>IFERROR(__xludf.DUMMYFUNCTION("AI(""has offer Come X Pay X"",D794)"),"Offer Come X Pay X")</f>
        <v>Offer Come X Pay X</v>
      </c>
      <c r="U794" s="2" t="b">
        <v>0</v>
      </c>
      <c r="V794" s="5">
        <v>0.0115</v>
      </c>
      <c r="W794" s="5">
        <v>0.0</v>
      </c>
      <c r="X794" s="5">
        <v>0.0</v>
      </c>
      <c r="Y794" s="2">
        <v>0.0</v>
      </c>
      <c r="Z794" s="2">
        <v>5046.0</v>
      </c>
      <c r="AA794" s="2" t="s">
        <v>33</v>
      </c>
    </row>
    <row r="795">
      <c r="A795" s="2">
        <v>2202.0</v>
      </c>
      <c r="B795" s="2" t="s">
        <v>2354</v>
      </c>
      <c r="C795" s="2" t="s">
        <v>7</v>
      </c>
      <c r="D795" s="2" t="s">
        <v>2355</v>
      </c>
      <c r="E795" s="2" t="s">
        <v>2356</v>
      </c>
      <c r="F795" s="6">
        <v>45810.48055555556</v>
      </c>
      <c r="G795" s="2">
        <v>57454.0</v>
      </c>
      <c r="H795" s="2">
        <v>57454.0</v>
      </c>
      <c r="I795" s="2">
        <v>49650.0</v>
      </c>
      <c r="J795" s="2">
        <v>307.0</v>
      </c>
      <c r="K795" s="2">
        <v>267.0</v>
      </c>
      <c r="L795" s="2">
        <v>4.0</v>
      </c>
      <c r="M795" s="4">
        <v>7698.0</v>
      </c>
      <c r="N795" s="2" t="s">
        <v>30</v>
      </c>
      <c r="O795" s="2">
        <v>70.0</v>
      </c>
      <c r="P795" s="2" t="s">
        <v>31</v>
      </c>
      <c r="Q795" s="2" t="s">
        <v>32</v>
      </c>
      <c r="R795" s="2">
        <v>37.0</v>
      </c>
      <c r="T795" s="2" t="s">
        <v>47</v>
      </c>
      <c r="U795" s="2" t="b">
        <v>0</v>
      </c>
      <c r="V795" s="5">
        <v>0.0054</v>
      </c>
      <c r="W795" s="5">
        <v>0.015</v>
      </c>
      <c r="X795" s="5">
        <v>8.1E-5</v>
      </c>
      <c r="Y795" s="2">
        <v>28.83146067</v>
      </c>
      <c r="Z795" s="2" t="s">
        <v>307</v>
      </c>
      <c r="AA795" s="2" t="s">
        <v>33</v>
      </c>
    </row>
    <row r="796">
      <c r="A796" s="2">
        <v>2203.0</v>
      </c>
      <c r="B796" s="2" t="s">
        <v>2357</v>
      </c>
      <c r="C796" s="2" t="s">
        <v>7</v>
      </c>
      <c r="D796" s="2" t="s">
        <v>2358</v>
      </c>
      <c r="E796" s="2" t="s">
        <v>2359</v>
      </c>
      <c r="F796" s="6">
        <v>45810.48611111111</v>
      </c>
      <c r="G796" s="2">
        <v>44322.0</v>
      </c>
      <c r="H796" s="2">
        <v>44322.0</v>
      </c>
      <c r="I796" s="2">
        <v>36882.0</v>
      </c>
      <c r="J796" s="2">
        <v>253.0</v>
      </c>
      <c r="K796" s="2">
        <v>212.0</v>
      </c>
      <c r="L796" s="2">
        <v>1.0</v>
      </c>
      <c r="M796" s="4">
        <v>1982.0</v>
      </c>
      <c r="N796" s="2" t="s">
        <v>36</v>
      </c>
      <c r="O796" s="2">
        <v>71.0</v>
      </c>
      <c r="P796" s="2" t="s">
        <v>31</v>
      </c>
      <c r="Q796" s="2" t="s">
        <v>32</v>
      </c>
      <c r="R796" s="2">
        <v>46.0</v>
      </c>
      <c r="T796" s="2" t="s">
        <v>47</v>
      </c>
      <c r="U796" s="2" t="b">
        <v>0</v>
      </c>
      <c r="V796" s="5">
        <v>0.0057</v>
      </c>
      <c r="W796" s="5">
        <v>0.0047</v>
      </c>
      <c r="X796" s="5">
        <v>2.7E-5</v>
      </c>
      <c r="Y796" s="2">
        <v>9.349056604</v>
      </c>
      <c r="AA796" s="2" t="s">
        <v>33</v>
      </c>
    </row>
    <row r="797">
      <c r="A797" s="2">
        <v>2205.0</v>
      </c>
      <c r="B797" s="2" t="s">
        <v>2360</v>
      </c>
      <c r="C797" s="2" t="s">
        <v>7</v>
      </c>
      <c r="D797" s="2" t="s">
        <v>2361</v>
      </c>
      <c r="E797" s="2" t="s">
        <v>2362</v>
      </c>
      <c r="F797" s="6">
        <v>45810.625</v>
      </c>
      <c r="G797" s="2">
        <v>45117.0</v>
      </c>
      <c r="H797" s="2">
        <v>45117.0</v>
      </c>
      <c r="I797" s="2">
        <v>37808.0</v>
      </c>
      <c r="J797" s="2">
        <v>285.0</v>
      </c>
      <c r="K797" s="2">
        <v>225.0</v>
      </c>
      <c r="L797" s="2">
        <v>4.0</v>
      </c>
      <c r="M797" s="4">
        <v>30002.0</v>
      </c>
      <c r="N797" s="2" t="s">
        <v>36</v>
      </c>
      <c r="O797" s="2">
        <v>71.0</v>
      </c>
      <c r="P797" s="2" t="s">
        <v>31</v>
      </c>
      <c r="Q797" s="2" t="s">
        <v>32</v>
      </c>
      <c r="R797" s="2">
        <v>30.0</v>
      </c>
      <c r="T797" s="2" t="s">
        <v>58</v>
      </c>
      <c r="U797" s="2" t="b">
        <v>1</v>
      </c>
      <c r="V797" s="5">
        <v>0.006</v>
      </c>
      <c r="W797" s="5">
        <v>0.0178</v>
      </c>
      <c r="X797" s="5">
        <v>1.06E-4</v>
      </c>
      <c r="Y797" s="2">
        <v>133.3422222</v>
      </c>
      <c r="AA797" s="2" t="s">
        <v>33</v>
      </c>
    </row>
    <row r="798">
      <c r="A798" s="2">
        <v>2204.0</v>
      </c>
      <c r="B798" s="2" t="s">
        <v>2363</v>
      </c>
      <c r="C798" s="2" t="s">
        <v>7</v>
      </c>
      <c r="D798" s="2" t="s">
        <v>2364</v>
      </c>
      <c r="E798" s="2" t="s">
        <v>2365</v>
      </c>
      <c r="F798" s="6">
        <v>45810.625</v>
      </c>
      <c r="G798" s="2">
        <v>58955.0</v>
      </c>
      <c r="H798" s="2">
        <v>58955.0</v>
      </c>
      <c r="I798" s="2">
        <v>51199.0</v>
      </c>
      <c r="J798" s="2">
        <v>383.0</v>
      </c>
      <c r="K798" s="2">
        <v>321.0</v>
      </c>
      <c r="L798" s="2">
        <v>2.0</v>
      </c>
      <c r="M798" s="4">
        <v>12325.0</v>
      </c>
      <c r="N798" s="2" t="s">
        <v>30</v>
      </c>
      <c r="O798" s="2">
        <v>70.0</v>
      </c>
      <c r="P798" s="2" t="s">
        <v>31</v>
      </c>
      <c r="Q798" s="2" t="s">
        <v>32</v>
      </c>
      <c r="R798" s="2">
        <v>30.0</v>
      </c>
      <c r="U798" s="2" t="b">
        <v>0</v>
      </c>
      <c r="V798" s="5">
        <v>0.0063</v>
      </c>
      <c r="W798" s="5">
        <v>0.0062</v>
      </c>
      <c r="X798" s="5">
        <v>3.9E-5</v>
      </c>
      <c r="Y798" s="2">
        <v>38.39563863</v>
      </c>
      <c r="AA798" s="2" t="s">
        <v>33</v>
      </c>
    </row>
    <row r="799">
      <c r="A799" s="2">
        <v>2207.0</v>
      </c>
      <c r="B799" s="2" t="s">
        <v>2366</v>
      </c>
      <c r="C799" s="2" t="s">
        <v>7</v>
      </c>
      <c r="D799" s="2" t="s">
        <v>2367</v>
      </c>
      <c r="E799" s="2" t="s">
        <v>2368</v>
      </c>
      <c r="F799" s="6">
        <v>45810.708333333336</v>
      </c>
      <c r="G799" s="2">
        <v>45136.0</v>
      </c>
      <c r="H799" s="2">
        <v>45136.0</v>
      </c>
      <c r="I799" s="2">
        <v>37740.0</v>
      </c>
      <c r="J799" s="2">
        <v>265.0</v>
      </c>
      <c r="K799" s="2">
        <v>221.0</v>
      </c>
      <c r="L799" s="2">
        <v>4.0</v>
      </c>
      <c r="M799" s="4">
        <v>16094.0</v>
      </c>
      <c r="N799" s="2" t="s">
        <v>36</v>
      </c>
      <c r="O799" s="2">
        <v>71.0</v>
      </c>
      <c r="P799" s="2" t="s">
        <v>31</v>
      </c>
      <c r="Q799" s="2" t="s">
        <v>32</v>
      </c>
      <c r="R799" s="2">
        <v>50.0</v>
      </c>
      <c r="T799" s="2" t="s">
        <v>47</v>
      </c>
      <c r="U799" s="2" t="b">
        <v>0</v>
      </c>
      <c r="V799" s="5">
        <v>0.0059</v>
      </c>
      <c r="W799" s="5">
        <v>0.0181</v>
      </c>
      <c r="X799" s="5">
        <v>1.06E-4</v>
      </c>
      <c r="Y799" s="2">
        <v>72.82352941</v>
      </c>
      <c r="AA799" s="2" t="s">
        <v>33</v>
      </c>
    </row>
    <row r="800">
      <c r="A800" s="2">
        <v>2206.0</v>
      </c>
      <c r="B800" s="2" t="s">
        <v>2369</v>
      </c>
      <c r="C800" s="2" t="s">
        <v>7</v>
      </c>
      <c r="D800" s="2" t="s">
        <v>2370</v>
      </c>
      <c r="E800" s="2" t="s">
        <v>2371</v>
      </c>
      <c r="F800" s="6">
        <v>45810.708333333336</v>
      </c>
      <c r="G800" s="2">
        <v>58981.0</v>
      </c>
      <c r="H800" s="2">
        <v>58981.0</v>
      </c>
      <c r="I800" s="2">
        <v>51191.0</v>
      </c>
      <c r="J800" s="2">
        <v>385.0</v>
      </c>
      <c r="K800" s="2">
        <v>315.0</v>
      </c>
      <c r="L800" s="2">
        <v>6.0</v>
      </c>
      <c r="M800" s="4">
        <v>22475.0</v>
      </c>
      <c r="N800" s="2" t="s">
        <v>30</v>
      </c>
      <c r="O800" s="2">
        <v>70.0</v>
      </c>
      <c r="P800" s="2" t="s">
        <v>31</v>
      </c>
      <c r="Q800" s="2" t="s">
        <v>32</v>
      </c>
      <c r="R800" s="2">
        <v>43.0</v>
      </c>
      <c r="T800" s="2" t="s">
        <v>47</v>
      </c>
      <c r="U800" s="2" t="b">
        <v>0</v>
      </c>
      <c r="V800" s="5">
        <v>0.0062</v>
      </c>
      <c r="W800" s="5">
        <v>0.019</v>
      </c>
      <c r="X800" s="5">
        <v>1.17E-4</v>
      </c>
      <c r="Y800" s="2">
        <v>71.34920635</v>
      </c>
      <c r="AA800" s="2" t="s">
        <v>33</v>
      </c>
    </row>
    <row r="801">
      <c r="A801" s="2">
        <v>2209.0</v>
      </c>
      <c r="B801" s="2" t="s">
        <v>2372</v>
      </c>
      <c r="C801" s="2" t="s">
        <v>7</v>
      </c>
      <c r="D801" s="2" t="s">
        <v>2373</v>
      </c>
      <c r="E801" s="2" t="s">
        <v>2374</v>
      </c>
      <c r="F801" s="6">
        <v>45811.458333333336</v>
      </c>
      <c r="G801" s="2">
        <v>45155.0</v>
      </c>
      <c r="H801" s="2">
        <v>45155.0</v>
      </c>
      <c r="I801" s="2">
        <v>37526.0</v>
      </c>
      <c r="J801" s="2">
        <v>286.0</v>
      </c>
      <c r="K801" s="2">
        <v>224.0</v>
      </c>
      <c r="L801" s="2">
        <v>4.0</v>
      </c>
      <c r="M801" s="4">
        <v>11325.0</v>
      </c>
      <c r="N801" s="2" t="s">
        <v>36</v>
      </c>
      <c r="O801" s="2">
        <v>71.0</v>
      </c>
      <c r="P801" s="2" t="s">
        <v>31</v>
      </c>
      <c r="Q801" s="2" t="s">
        <v>32</v>
      </c>
      <c r="R801" s="2">
        <v>41.0</v>
      </c>
      <c r="T801" s="2" t="s">
        <v>47</v>
      </c>
      <c r="U801" s="2" t="b">
        <v>0</v>
      </c>
      <c r="V801" s="5">
        <v>0.006</v>
      </c>
      <c r="W801" s="5">
        <v>0.0179</v>
      </c>
      <c r="X801" s="5">
        <v>1.07E-4</v>
      </c>
      <c r="Y801" s="2">
        <v>50.55803571</v>
      </c>
      <c r="AA801" s="2" t="s">
        <v>33</v>
      </c>
    </row>
    <row r="802">
      <c r="A802" s="2">
        <v>2208.0</v>
      </c>
      <c r="B802" s="2" t="s">
        <v>2375</v>
      </c>
      <c r="C802" s="2" t="s">
        <v>7</v>
      </c>
      <c r="D802" s="2" t="s">
        <v>2376</v>
      </c>
      <c r="E802" s="2" t="s">
        <v>2377</v>
      </c>
      <c r="F802" s="6">
        <v>45811.458333333336</v>
      </c>
      <c r="G802" s="2">
        <v>59028.0</v>
      </c>
      <c r="H802" s="2">
        <v>59028.0</v>
      </c>
      <c r="I802" s="2">
        <v>51023.0</v>
      </c>
      <c r="J802" s="2">
        <v>426.0</v>
      </c>
      <c r="K802" s="2">
        <v>372.0</v>
      </c>
      <c r="L802" s="2">
        <v>4.0</v>
      </c>
      <c r="M802" s="4">
        <v>10920.0</v>
      </c>
      <c r="N802" s="2" t="s">
        <v>30</v>
      </c>
      <c r="O802" s="2">
        <v>70.0</v>
      </c>
      <c r="P802" s="2" t="s">
        <v>31</v>
      </c>
      <c r="Q802" s="2" t="s">
        <v>32</v>
      </c>
      <c r="R802" s="2">
        <v>52.0</v>
      </c>
      <c r="U802" s="2" t="b">
        <v>0</v>
      </c>
      <c r="V802" s="5">
        <v>0.0073</v>
      </c>
      <c r="W802" s="5">
        <v>0.0108</v>
      </c>
      <c r="X802" s="5">
        <v>7.8E-5</v>
      </c>
      <c r="Y802" s="2">
        <v>29.35483871</v>
      </c>
      <c r="AA802" s="2" t="s">
        <v>33</v>
      </c>
    </row>
    <row r="803">
      <c r="A803" s="2">
        <v>2211.0</v>
      </c>
      <c r="B803" s="2" t="s">
        <v>2378</v>
      </c>
      <c r="C803" s="2" t="s">
        <v>7</v>
      </c>
      <c r="D803" s="2" t="s">
        <v>2379</v>
      </c>
      <c r="E803" s="2" t="s">
        <v>2380</v>
      </c>
      <c r="F803" s="6">
        <v>45812.5</v>
      </c>
      <c r="G803" s="2">
        <v>58983.0</v>
      </c>
      <c r="H803" s="2">
        <v>58983.0</v>
      </c>
      <c r="I803" s="2">
        <v>51291.0</v>
      </c>
      <c r="J803" s="2">
        <v>402.0</v>
      </c>
      <c r="K803" s="2">
        <v>319.0</v>
      </c>
      <c r="L803" s="2">
        <v>5.0</v>
      </c>
      <c r="M803" s="4">
        <v>22185.0</v>
      </c>
      <c r="N803" s="2" t="s">
        <v>30</v>
      </c>
      <c r="O803" s="2">
        <v>70.0</v>
      </c>
      <c r="P803" s="2" t="s">
        <v>31</v>
      </c>
      <c r="Q803" s="2" t="s">
        <v>32</v>
      </c>
      <c r="R803" s="2">
        <v>42.0</v>
      </c>
      <c r="T803" s="2" t="s">
        <v>47</v>
      </c>
      <c r="U803" s="2" t="b">
        <v>0</v>
      </c>
      <c r="V803" s="5">
        <v>0.0062</v>
      </c>
      <c r="W803" s="5">
        <v>0.0157</v>
      </c>
      <c r="X803" s="5">
        <v>9.7E-5</v>
      </c>
      <c r="Y803" s="2">
        <v>69.54545455</v>
      </c>
      <c r="AA803" s="2" t="s">
        <v>33</v>
      </c>
    </row>
    <row r="804">
      <c r="A804" s="2">
        <v>2212.0</v>
      </c>
      <c r="B804" s="2" t="s">
        <v>2381</v>
      </c>
      <c r="C804" s="2" t="s">
        <v>7</v>
      </c>
      <c r="D804" s="2" t="s">
        <v>2382</v>
      </c>
      <c r="E804" s="2" t="s">
        <v>2383</v>
      </c>
      <c r="F804" s="6">
        <v>45812.50208333333</v>
      </c>
      <c r="G804" s="2">
        <v>45105.0</v>
      </c>
      <c r="H804" s="2">
        <v>45105.0</v>
      </c>
      <c r="I804" s="2">
        <v>37694.0</v>
      </c>
      <c r="J804" s="2">
        <v>325.0</v>
      </c>
      <c r="K804" s="2">
        <v>265.0</v>
      </c>
      <c r="L804" s="2">
        <v>7.0</v>
      </c>
      <c r="M804" s="4">
        <v>13627.0</v>
      </c>
      <c r="N804" s="2" t="s">
        <v>36</v>
      </c>
      <c r="O804" s="2">
        <v>71.0</v>
      </c>
      <c r="P804" s="2" t="s">
        <v>31</v>
      </c>
      <c r="Q804" s="2" t="s">
        <v>32</v>
      </c>
      <c r="R804" s="2">
        <v>38.0</v>
      </c>
      <c r="U804" s="2" t="b">
        <v>0</v>
      </c>
      <c r="V804" s="5">
        <v>0.007</v>
      </c>
      <c r="W804" s="5">
        <v>0.0264</v>
      </c>
      <c r="X804" s="5">
        <v>1.86E-4</v>
      </c>
      <c r="Y804" s="2">
        <v>51.42264151</v>
      </c>
      <c r="AA804" s="2" t="s">
        <v>33</v>
      </c>
    </row>
    <row r="805">
      <c r="A805" s="2">
        <v>2214.0</v>
      </c>
      <c r="B805" s="2" t="s">
        <v>2384</v>
      </c>
      <c r="C805" s="2" t="s">
        <v>7</v>
      </c>
      <c r="D805" s="2" t="s">
        <v>2385</v>
      </c>
      <c r="E805" s="2" t="s">
        <v>2386</v>
      </c>
      <c r="F805" s="6">
        <v>45812.625</v>
      </c>
      <c r="G805" s="2">
        <v>45068.0</v>
      </c>
      <c r="H805" s="2">
        <v>45068.0</v>
      </c>
      <c r="I805" s="2">
        <v>37880.0</v>
      </c>
      <c r="J805" s="2">
        <v>289.0</v>
      </c>
      <c r="K805" s="2">
        <v>225.0</v>
      </c>
      <c r="L805" s="2">
        <v>3.0</v>
      </c>
      <c r="M805" s="4">
        <v>4394.0</v>
      </c>
      <c r="N805" s="2" t="s">
        <v>36</v>
      </c>
      <c r="O805" s="2">
        <v>71.0</v>
      </c>
      <c r="P805" s="2" t="s">
        <v>31</v>
      </c>
      <c r="Q805" s="2" t="s">
        <v>32</v>
      </c>
      <c r="R805" s="2">
        <v>37.0</v>
      </c>
      <c r="U805" s="2" t="b">
        <v>0</v>
      </c>
      <c r="V805" s="5">
        <v>0.0059</v>
      </c>
      <c r="W805" s="5">
        <v>0.0133</v>
      </c>
      <c r="X805" s="5">
        <v>7.9E-5</v>
      </c>
      <c r="Y805" s="2">
        <v>19.52888889</v>
      </c>
      <c r="AA805" s="2" t="s">
        <v>33</v>
      </c>
    </row>
    <row r="806">
      <c r="A806" s="2">
        <v>2213.0</v>
      </c>
      <c r="B806" s="2" t="s">
        <v>2387</v>
      </c>
      <c r="C806" s="2" t="s">
        <v>7</v>
      </c>
      <c r="D806" s="2" t="s">
        <v>2388</v>
      </c>
      <c r="E806" s="2" t="s">
        <v>2389</v>
      </c>
      <c r="F806" s="6">
        <v>45812.625</v>
      </c>
      <c r="G806" s="2">
        <v>50255.0</v>
      </c>
      <c r="H806" s="2">
        <v>50255.0</v>
      </c>
      <c r="I806" s="2">
        <v>43878.0</v>
      </c>
      <c r="J806" s="2">
        <v>224.0</v>
      </c>
      <c r="K806" s="2">
        <v>186.0</v>
      </c>
      <c r="L806" s="2">
        <v>2.0</v>
      </c>
      <c r="M806" s="4">
        <v>3688.0</v>
      </c>
      <c r="N806" s="2" t="s">
        <v>30</v>
      </c>
      <c r="O806" s="2">
        <v>70.0</v>
      </c>
      <c r="P806" s="2" t="s">
        <v>31</v>
      </c>
      <c r="Q806" s="2" t="s">
        <v>32</v>
      </c>
      <c r="R806" s="2">
        <v>24.0</v>
      </c>
      <c r="T806" s="2" t="s">
        <v>47</v>
      </c>
      <c r="U806" s="2" t="b">
        <v>0</v>
      </c>
      <c r="V806" s="5">
        <v>0.0042</v>
      </c>
      <c r="W806" s="5">
        <v>0.0108</v>
      </c>
      <c r="X806" s="5">
        <v>4.6E-5</v>
      </c>
      <c r="Y806" s="2">
        <v>19.82795699</v>
      </c>
      <c r="Z806" s="2">
        <v>4655.0</v>
      </c>
      <c r="AA806" s="2" t="s">
        <v>33</v>
      </c>
    </row>
    <row r="807">
      <c r="A807" s="2">
        <v>2216.0</v>
      </c>
      <c r="B807" s="2" t="s">
        <v>2390</v>
      </c>
      <c r="C807" s="2" t="s">
        <v>7</v>
      </c>
      <c r="D807" s="2" t="s">
        <v>2391</v>
      </c>
      <c r="E807" s="2" t="s">
        <v>2392</v>
      </c>
      <c r="F807" s="6">
        <v>45812.708333333336</v>
      </c>
      <c r="G807" s="2">
        <v>45076.0</v>
      </c>
      <c r="H807" s="2">
        <v>45076.0</v>
      </c>
      <c r="I807" s="2">
        <v>37885.0</v>
      </c>
      <c r="J807" s="2">
        <v>360.0</v>
      </c>
      <c r="K807" s="2">
        <v>285.0</v>
      </c>
      <c r="L807" s="2">
        <v>5.0</v>
      </c>
      <c r="M807" s="4">
        <v>15642.0</v>
      </c>
      <c r="N807" s="2" t="s">
        <v>36</v>
      </c>
      <c r="O807" s="2">
        <v>71.0</v>
      </c>
      <c r="P807" s="2" t="s">
        <v>189</v>
      </c>
      <c r="Q807" s="2" t="s">
        <v>32</v>
      </c>
      <c r="R807" s="2">
        <v>37.0</v>
      </c>
      <c r="T807" s="2" t="s">
        <v>58</v>
      </c>
      <c r="U807" s="2" t="b">
        <v>1</v>
      </c>
      <c r="V807" s="5">
        <v>0.0075</v>
      </c>
      <c r="W807" s="5">
        <v>0.0175</v>
      </c>
      <c r="X807" s="5">
        <v>1.32E-4</v>
      </c>
      <c r="Y807" s="2">
        <v>54.88421053</v>
      </c>
      <c r="AA807" s="2" t="s">
        <v>33</v>
      </c>
    </row>
    <row r="808">
      <c r="A808" s="2">
        <v>2215.0</v>
      </c>
      <c r="B808" s="2" t="s">
        <v>2393</v>
      </c>
      <c r="C808" s="2" t="s">
        <v>7</v>
      </c>
      <c r="D808" s="2" t="s">
        <v>2394</v>
      </c>
      <c r="E808" s="2" t="s">
        <v>2395</v>
      </c>
      <c r="F808" s="6">
        <v>45812.708333333336</v>
      </c>
      <c r="G808" s="2">
        <v>58969.0</v>
      </c>
      <c r="H808" s="2">
        <v>58969.0</v>
      </c>
      <c r="I808" s="2">
        <v>51355.0</v>
      </c>
      <c r="J808" s="2">
        <v>493.0</v>
      </c>
      <c r="K808" s="2">
        <v>408.0</v>
      </c>
      <c r="L808" s="2">
        <v>5.0</v>
      </c>
      <c r="M808" s="4">
        <v>22884.0</v>
      </c>
      <c r="N808" s="2" t="s">
        <v>30</v>
      </c>
      <c r="O808" s="2">
        <v>70.0</v>
      </c>
      <c r="P808" s="2" t="s">
        <v>31</v>
      </c>
      <c r="Q808" s="2" t="s">
        <v>32</v>
      </c>
      <c r="R808" s="2">
        <v>37.0</v>
      </c>
      <c r="T808" s="2" t="s">
        <v>2396</v>
      </c>
      <c r="U808" s="2" t="b">
        <v>0</v>
      </c>
      <c r="V808" s="5">
        <v>0.0079</v>
      </c>
      <c r="W808" s="5">
        <v>0.0123</v>
      </c>
      <c r="X808" s="5">
        <v>9.7E-5</v>
      </c>
      <c r="Y808" s="2">
        <v>56.08823529</v>
      </c>
      <c r="Z808" s="2">
        <v>4263.0</v>
      </c>
      <c r="AA808" s="2" t="s">
        <v>33</v>
      </c>
    </row>
    <row r="809">
      <c r="A809" s="2">
        <v>2218.0</v>
      </c>
      <c r="B809" s="2" t="s">
        <v>2397</v>
      </c>
      <c r="C809" s="2" t="s">
        <v>7</v>
      </c>
      <c r="D809" s="2" t="s">
        <v>2398</v>
      </c>
      <c r="F809" s="6">
        <v>45813.50277777778</v>
      </c>
      <c r="G809" s="2">
        <v>49757.0</v>
      </c>
      <c r="H809" s="2">
        <v>49757.0</v>
      </c>
      <c r="I809" s="2">
        <v>43050.0</v>
      </c>
      <c r="J809" s="2">
        <v>398.0</v>
      </c>
      <c r="K809" s="2">
        <v>317.0</v>
      </c>
      <c r="L809" s="2">
        <v>5.0</v>
      </c>
      <c r="M809" s="4">
        <v>8351.0</v>
      </c>
      <c r="N809" s="2" t="s">
        <v>2399</v>
      </c>
      <c r="O809" s="2">
        <v>218.0</v>
      </c>
      <c r="P809" s="2" t="s">
        <v>31</v>
      </c>
      <c r="Q809" s="2" t="s">
        <v>32</v>
      </c>
      <c r="R809" s="2">
        <v>37.0</v>
      </c>
      <c r="U809" s="2" t="b">
        <v>0</v>
      </c>
      <c r="V809" s="5">
        <v>0.0074</v>
      </c>
      <c r="W809" s="5">
        <v>0.0158</v>
      </c>
      <c r="X809" s="5">
        <v>1.16E-4</v>
      </c>
      <c r="Y809" s="2">
        <v>26.34384858</v>
      </c>
      <c r="AA809" s="2" t="s">
        <v>33</v>
      </c>
    </row>
    <row r="810">
      <c r="A810" s="2">
        <v>2219.0</v>
      </c>
      <c r="B810" s="2" t="s">
        <v>2400</v>
      </c>
      <c r="C810" s="2" t="s">
        <v>7</v>
      </c>
      <c r="D810" s="2" t="s">
        <v>2401</v>
      </c>
      <c r="F810" s="6">
        <v>45813.50486111111</v>
      </c>
      <c r="G810" s="2">
        <v>44559.0</v>
      </c>
      <c r="H810" s="2">
        <v>44559.0</v>
      </c>
      <c r="I810" s="2">
        <v>37100.0</v>
      </c>
      <c r="J810" s="2">
        <v>416.0</v>
      </c>
      <c r="K810" s="2">
        <v>340.0</v>
      </c>
      <c r="L810" s="2">
        <v>5.0</v>
      </c>
      <c r="M810" s="4">
        <v>14983.0</v>
      </c>
      <c r="N810" s="2" t="s">
        <v>2399</v>
      </c>
      <c r="O810" s="2">
        <v>218.0</v>
      </c>
      <c r="P810" s="2" t="s">
        <v>31</v>
      </c>
      <c r="Q810" s="2" t="s">
        <v>32</v>
      </c>
      <c r="R810" s="2">
        <v>39.0</v>
      </c>
      <c r="T810" s="2" t="s">
        <v>47</v>
      </c>
      <c r="U810" s="2" t="b">
        <v>0</v>
      </c>
      <c r="V810" s="5">
        <v>0.0092</v>
      </c>
      <c r="W810" s="5">
        <v>0.0147</v>
      </c>
      <c r="X810" s="5">
        <v>1.35E-4</v>
      </c>
      <c r="Y810" s="2">
        <v>44.06764706</v>
      </c>
      <c r="AA810" s="2" t="s">
        <v>33</v>
      </c>
    </row>
    <row r="811">
      <c r="A811" s="2">
        <v>2224.0</v>
      </c>
      <c r="B811" s="2" t="s">
        <v>2402</v>
      </c>
      <c r="C811" s="2" t="s">
        <v>7</v>
      </c>
      <c r="D811" s="2" t="s">
        <v>2403</v>
      </c>
      <c r="E811" s="2" t="s">
        <v>2404</v>
      </c>
      <c r="F811" s="6">
        <v>45813.625</v>
      </c>
      <c r="G811" s="2">
        <v>45169.0</v>
      </c>
      <c r="H811" s="2">
        <v>45169.0</v>
      </c>
      <c r="I811" s="2">
        <v>37849.0</v>
      </c>
      <c r="J811" s="2">
        <v>251.0</v>
      </c>
      <c r="K811" s="2">
        <v>194.0</v>
      </c>
      <c r="L811" s="2">
        <v>3.0</v>
      </c>
      <c r="M811" s="4">
        <v>21388.0</v>
      </c>
      <c r="N811" s="2" t="s">
        <v>36</v>
      </c>
      <c r="O811" s="2">
        <v>71.0</v>
      </c>
      <c r="P811" s="2" t="s">
        <v>31</v>
      </c>
      <c r="Q811" s="2" t="s">
        <v>32</v>
      </c>
      <c r="R811" s="2">
        <v>33.0</v>
      </c>
      <c r="U811" s="2" t="b">
        <v>1</v>
      </c>
      <c r="V811" s="5">
        <v>0.0051</v>
      </c>
      <c r="W811" s="5">
        <v>0.0155</v>
      </c>
      <c r="X811" s="5">
        <v>7.9E-5</v>
      </c>
      <c r="Y811" s="2">
        <v>110.2474227</v>
      </c>
      <c r="AA811" s="2" t="s">
        <v>33</v>
      </c>
    </row>
    <row r="812">
      <c r="A812" s="2">
        <v>2223.0</v>
      </c>
      <c r="B812" s="2" t="s">
        <v>2405</v>
      </c>
      <c r="C812" s="2" t="s">
        <v>7</v>
      </c>
      <c r="D812" s="2" t="s">
        <v>2406</v>
      </c>
      <c r="E812" s="2" t="s">
        <v>2407</v>
      </c>
      <c r="F812" s="6">
        <v>45813.625</v>
      </c>
      <c r="G812" s="2">
        <v>59112.0</v>
      </c>
      <c r="H812" s="2">
        <v>59112.0</v>
      </c>
      <c r="I812" s="2">
        <v>51409.0</v>
      </c>
      <c r="J812" s="2">
        <v>321.0</v>
      </c>
      <c r="K812" s="2">
        <v>263.0</v>
      </c>
      <c r="L812" s="2">
        <v>3.0</v>
      </c>
      <c r="M812" s="4">
        <v>6868.0</v>
      </c>
      <c r="N812" s="2" t="s">
        <v>30</v>
      </c>
      <c r="O812" s="2">
        <v>70.0</v>
      </c>
      <c r="P812" s="2" t="s">
        <v>31</v>
      </c>
      <c r="Q812" s="2" t="s">
        <v>32</v>
      </c>
      <c r="R812" s="2">
        <v>29.0</v>
      </c>
      <c r="T812" s="2" t="s">
        <v>58</v>
      </c>
      <c r="U812" s="2" t="b">
        <v>0</v>
      </c>
      <c r="V812" s="5">
        <v>0.0051</v>
      </c>
      <c r="W812" s="5">
        <v>0.0114</v>
      </c>
      <c r="X812" s="5">
        <v>5.8E-5</v>
      </c>
      <c r="Y812" s="2">
        <v>26.11406844</v>
      </c>
      <c r="Z812" s="2">
        <v>3649.0</v>
      </c>
      <c r="AA812" s="2" t="s">
        <v>33</v>
      </c>
    </row>
    <row r="813">
      <c r="A813" s="2">
        <v>2226.0</v>
      </c>
      <c r="B813" s="2" t="s">
        <v>2408</v>
      </c>
      <c r="C813" s="2" t="s">
        <v>7</v>
      </c>
      <c r="D813" s="2" t="s">
        <v>2409</v>
      </c>
      <c r="E813" s="2" t="s">
        <v>2410</v>
      </c>
      <c r="F813" s="6">
        <v>45813.708333333336</v>
      </c>
      <c r="G813" s="2">
        <v>45185.0</v>
      </c>
      <c r="H813" s="2">
        <v>45185.0</v>
      </c>
      <c r="I813" s="2">
        <v>37854.0</v>
      </c>
      <c r="J813" s="2">
        <v>300.0</v>
      </c>
      <c r="K813" s="2">
        <v>247.0</v>
      </c>
      <c r="L813" s="2">
        <v>5.0</v>
      </c>
      <c r="M813" s="4">
        <v>11038.0</v>
      </c>
      <c r="N813" s="2" t="s">
        <v>36</v>
      </c>
      <c r="O813" s="2">
        <v>71.0</v>
      </c>
      <c r="P813" s="2" t="s">
        <v>31</v>
      </c>
      <c r="Q813" s="2" t="s">
        <v>32</v>
      </c>
      <c r="R813" s="2">
        <v>28.0</v>
      </c>
      <c r="U813" s="2" t="b">
        <v>0</v>
      </c>
      <c r="V813" s="5">
        <v>0.0065</v>
      </c>
      <c r="W813" s="5">
        <v>0.0202</v>
      </c>
      <c r="X813" s="5">
        <v>1.32E-4</v>
      </c>
      <c r="Y813" s="2">
        <v>44.68825911</v>
      </c>
      <c r="AA813" s="2" t="s">
        <v>33</v>
      </c>
    </row>
    <row r="814">
      <c r="A814" s="2">
        <v>2225.0</v>
      </c>
      <c r="B814" s="2" t="s">
        <v>2411</v>
      </c>
      <c r="C814" s="2" t="s">
        <v>7</v>
      </c>
      <c r="D814" s="2" t="s">
        <v>2412</v>
      </c>
      <c r="E814" s="2" t="s">
        <v>2413</v>
      </c>
      <c r="F814" s="6">
        <v>45813.708333333336</v>
      </c>
      <c r="G814" s="2">
        <v>59110.0</v>
      </c>
      <c r="H814" s="2">
        <v>59110.0</v>
      </c>
      <c r="I814" s="2">
        <v>51400.0</v>
      </c>
      <c r="J814" s="2">
        <v>334.0</v>
      </c>
      <c r="K814" s="2">
        <v>283.0</v>
      </c>
      <c r="L814" s="2">
        <v>3.0</v>
      </c>
      <c r="M814" s="4">
        <v>4830.0</v>
      </c>
      <c r="N814" s="2" t="s">
        <v>30</v>
      </c>
      <c r="O814" s="2">
        <v>70.0</v>
      </c>
      <c r="P814" s="2" t="s">
        <v>31</v>
      </c>
      <c r="Q814" s="2" t="s">
        <v>32</v>
      </c>
      <c r="R814" s="2">
        <v>27.0</v>
      </c>
      <c r="U814" s="2" t="b">
        <v>0</v>
      </c>
      <c r="V814" s="5">
        <v>0.0055</v>
      </c>
      <c r="W814" s="5">
        <v>0.0106</v>
      </c>
      <c r="X814" s="5">
        <v>5.8E-5</v>
      </c>
      <c r="Y814" s="2">
        <v>17.06713781</v>
      </c>
      <c r="Z814" s="2" t="s">
        <v>1215</v>
      </c>
      <c r="AA814" s="2" t="s">
        <v>33</v>
      </c>
    </row>
    <row r="815">
      <c r="A815" s="2">
        <v>2227.0</v>
      </c>
      <c r="B815" s="2" t="s">
        <v>2414</v>
      </c>
      <c r="C815" s="2" t="s">
        <v>7</v>
      </c>
      <c r="D815" s="2" t="s">
        <v>2415</v>
      </c>
      <c r="E815" s="2" t="s">
        <v>2416</v>
      </c>
      <c r="F815" s="6">
        <v>45814.51944444444</v>
      </c>
      <c r="G815" s="2">
        <v>59149.0</v>
      </c>
      <c r="H815" s="2">
        <v>59149.0</v>
      </c>
      <c r="I815" s="2">
        <v>51327.0</v>
      </c>
      <c r="J815" s="2">
        <v>377.0</v>
      </c>
      <c r="K815" s="2">
        <v>305.0</v>
      </c>
      <c r="L815" s="2">
        <v>2.0</v>
      </c>
      <c r="M815" s="4">
        <v>2708.0</v>
      </c>
      <c r="N815" s="2" t="s">
        <v>30</v>
      </c>
      <c r="O815" s="2">
        <v>70.0</v>
      </c>
      <c r="P815" s="2" t="s">
        <v>31</v>
      </c>
      <c r="Q815" s="2" t="s">
        <v>32</v>
      </c>
      <c r="R815" s="2">
        <v>35.0</v>
      </c>
      <c r="U815" s="2" t="b">
        <v>0</v>
      </c>
      <c r="V815" s="5">
        <v>0.0059</v>
      </c>
      <c r="W815" s="5">
        <v>0.0066</v>
      </c>
      <c r="X815" s="5">
        <v>3.9E-5</v>
      </c>
      <c r="Y815" s="2">
        <v>8.878688525</v>
      </c>
      <c r="AA815" s="2" t="s">
        <v>33</v>
      </c>
    </row>
    <row r="816">
      <c r="A816" s="2">
        <v>2228.0</v>
      </c>
      <c r="B816" s="2" t="s">
        <v>2417</v>
      </c>
      <c r="C816" s="2" t="s">
        <v>7</v>
      </c>
      <c r="D816" s="2" t="s">
        <v>2418</v>
      </c>
      <c r="E816" s="2" t="s">
        <v>2419</v>
      </c>
      <c r="F816" s="6">
        <v>45814.52013888889</v>
      </c>
      <c r="G816" s="2">
        <v>45198.0</v>
      </c>
      <c r="H816" s="2">
        <v>45198.0</v>
      </c>
      <c r="I816" s="2">
        <v>37787.0</v>
      </c>
      <c r="J816" s="2">
        <v>277.0</v>
      </c>
      <c r="K816" s="2">
        <v>221.0</v>
      </c>
      <c r="L816" s="2">
        <v>5.0</v>
      </c>
      <c r="M816" s="4">
        <v>15932.0</v>
      </c>
      <c r="N816" s="2" t="s">
        <v>36</v>
      </c>
      <c r="O816" s="2">
        <v>71.0</v>
      </c>
      <c r="P816" s="2" t="s">
        <v>31</v>
      </c>
      <c r="Q816" s="2" t="s">
        <v>32</v>
      </c>
      <c r="R816" s="2">
        <v>31.0</v>
      </c>
      <c r="U816" s="2" t="b">
        <v>0</v>
      </c>
      <c r="V816" s="5">
        <v>0.0058</v>
      </c>
      <c r="W816" s="5">
        <v>0.0226</v>
      </c>
      <c r="X816" s="5">
        <v>1.32E-4</v>
      </c>
      <c r="Y816" s="2">
        <v>72.09049774</v>
      </c>
      <c r="AA816" s="2" t="s">
        <v>33</v>
      </c>
    </row>
    <row r="817">
      <c r="A817" s="2">
        <v>2235.0</v>
      </c>
      <c r="B817" s="2" t="s">
        <v>2420</v>
      </c>
      <c r="C817" s="2" t="s">
        <v>7</v>
      </c>
      <c r="D817" s="2" t="s">
        <v>2421</v>
      </c>
      <c r="E817" s="2" t="s">
        <v>2422</v>
      </c>
      <c r="F817" s="6">
        <v>45814.638194444444</v>
      </c>
      <c r="G817" s="2">
        <v>59158.0</v>
      </c>
      <c r="H817" s="2">
        <v>59158.0</v>
      </c>
      <c r="I817" s="2">
        <v>51408.0</v>
      </c>
      <c r="J817" s="2">
        <v>423.0</v>
      </c>
      <c r="K817" s="2">
        <v>346.0</v>
      </c>
      <c r="L817" s="2">
        <v>6.0</v>
      </c>
      <c r="M817" s="4">
        <v>12484.0</v>
      </c>
      <c r="N817" s="2" t="s">
        <v>30</v>
      </c>
      <c r="O817" s="2">
        <v>70.0</v>
      </c>
      <c r="P817" s="2" t="s">
        <v>31</v>
      </c>
      <c r="Q817" s="2" t="s">
        <v>32</v>
      </c>
      <c r="R817" s="2">
        <v>43.0</v>
      </c>
      <c r="T817" s="7" t="str">
        <f>IFERROR(__xludf.DUMMYFUNCTION("AI(""has offer Come X Pay X"",D817)"),"Come 2 Pay 1")</f>
        <v>Come 2 Pay 1</v>
      </c>
      <c r="U817" s="2" t="b">
        <v>0</v>
      </c>
      <c r="V817" s="5">
        <v>0.0067</v>
      </c>
      <c r="W817" s="5">
        <v>0.0173</v>
      </c>
      <c r="X817" s="5">
        <v>1.17E-4</v>
      </c>
      <c r="Y817" s="2">
        <v>36.08092486</v>
      </c>
      <c r="Z817" s="2">
        <v>894.0</v>
      </c>
      <c r="AA817" s="2" t="s">
        <v>33</v>
      </c>
    </row>
    <row r="818">
      <c r="A818" s="2">
        <v>2236.0</v>
      </c>
      <c r="B818" s="2" t="s">
        <v>2423</v>
      </c>
      <c r="C818" s="2" t="s">
        <v>7</v>
      </c>
      <c r="D818" s="2" t="s">
        <v>2424</v>
      </c>
      <c r="E818" s="2" t="s">
        <v>2425</v>
      </c>
      <c r="F818" s="6">
        <v>45814.646527777775</v>
      </c>
      <c r="G818" s="2">
        <v>45163.0</v>
      </c>
      <c r="H818" s="2">
        <v>45163.0</v>
      </c>
      <c r="I818" s="2">
        <v>37723.0</v>
      </c>
      <c r="J818" s="2">
        <v>304.0</v>
      </c>
      <c r="K818" s="2">
        <v>246.0</v>
      </c>
      <c r="L818" s="2">
        <v>8.0</v>
      </c>
      <c r="M818" s="4">
        <v>27556.0</v>
      </c>
      <c r="N818" s="2" t="s">
        <v>36</v>
      </c>
      <c r="O818" s="2">
        <v>71.0</v>
      </c>
      <c r="P818" s="2" t="s">
        <v>31</v>
      </c>
      <c r="Q818" s="2" t="s">
        <v>32</v>
      </c>
      <c r="R818" s="2">
        <v>43.0</v>
      </c>
      <c r="T818" s="2" t="s">
        <v>47</v>
      </c>
      <c r="U818" s="2" t="b">
        <v>0</v>
      </c>
      <c r="V818" s="5">
        <v>0.0065</v>
      </c>
      <c r="W818" s="5">
        <v>0.0325</v>
      </c>
      <c r="X818" s="5">
        <v>2.12E-4</v>
      </c>
      <c r="Y818" s="2">
        <v>112.0162602</v>
      </c>
      <c r="AA818" s="2" t="s">
        <v>33</v>
      </c>
    </row>
    <row r="819">
      <c r="A819" s="2">
        <v>2238.0</v>
      </c>
      <c r="B819" s="2" t="s">
        <v>2426</v>
      </c>
      <c r="C819" s="2" t="s">
        <v>7</v>
      </c>
      <c r="D819" s="2" t="s">
        <v>2427</v>
      </c>
      <c r="E819" s="2" t="s">
        <v>2428</v>
      </c>
      <c r="F819" s="6">
        <v>45814.708333333336</v>
      </c>
      <c r="G819" s="2">
        <v>45166.0</v>
      </c>
      <c r="H819" s="2">
        <v>45166.0</v>
      </c>
      <c r="I819" s="2">
        <v>37920.0</v>
      </c>
      <c r="J819" s="2">
        <v>216.0</v>
      </c>
      <c r="K819" s="2">
        <v>172.0</v>
      </c>
      <c r="L819" s="2">
        <v>5.0</v>
      </c>
      <c r="M819" s="4">
        <v>9440.0</v>
      </c>
      <c r="N819" s="2" t="s">
        <v>36</v>
      </c>
      <c r="O819" s="2">
        <v>71.0</v>
      </c>
      <c r="P819" s="2" t="s">
        <v>31</v>
      </c>
      <c r="Q819" s="2" t="s">
        <v>32</v>
      </c>
      <c r="R819" s="2">
        <v>42.0</v>
      </c>
      <c r="T819" s="2" t="s">
        <v>47</v>
      </c>
      <c r="U819" s="2" t="b">
        <v>0</v>
      </c>
      <c r="V819" s="5">
        <v>0.0045</v>
      </c>
      <c r="W819" s="5">
        <v>0.0291</v>
      </c>
      <c r="X819" s="5">
        <v>1.32E-4</v>
      </c>
      <c r="Y819" s="2">
        <v>54.88372093</v>
      </c>
      <c r="AA819" s="2" t="s">
        <v>33</v>
      </c>
    </row>
    <row r="820">
      <c r="A820" s="2">
        <v>2237.0</v>
      </c>
      <c r="B820" s="2" t="s">
        <v>2429</v>
      </c>
      <c r="C820" s="2" t="s">
        <v>7</v>
      </c>
      <c r="D820" s="2" t="s">
        <v>2430</v>
      </c>
      <c r="E820" s="2" t="s">
        <v>2431</v>
      </c>
      <c r="F820" s="6">
        <v>45814.708333333336</v>
      </c>
      <c r="G820" s="2">
        <v>59179.0</v>
      </c>
      <c r="H820" s="2">
        <v>59179.0</v>
      </c>
      <c r="I820" s="2">
        <v>51487.0</v>
      </c>
      <c r="J820" s="2">
        <v>283.0</v>
      </c>
      <c r="K820" s="2">
        <v>228.0</v>
      </c>
      <c r="L820" s="2">
        <v>3.0</v>
      </c>
      <c r="M820" s="4">
        <v>6819.0</v>
      </c>
      <c r="N820" s="2" t="s">
        <v>30</v>
      </c>
      <c r="O820" s="2">
        <v>70.0</v>
      </c>
      <c r="P820" s="2" t="s">
        <v>31</v>
      </c>
      <c r="Q820" s="2" t="s">
        <v>32</v>
      </c>
      <c r="R820" s="2">
        <v>39.0</v>
      </c>
      <c r="T820" s="2" t="s">
        <v>47</v>
      </c>
      <c r="U820" s="2" t="b">
        <v>0</v>
      </c>
      <c r="V820" s="5">
        <v>0.0044</v>
      </c>
      <c r="W820" s="5">
        <v>0.0132</v>
      </c>
      <c r="X820" s="5">
        <v>5.8E-5</v>
      </c>
      <c r="Y820" s="2">
        <v>29.90789474</v>
      </c>
      <c r="Z820" s="2">
        <v>4141.0</v>
      </c>
      <c r="AA820" s="2" t="s">
        <v>33</v>
      </c>
    </row>
    <row r="821">
      <c r="A821" s="2">
        <v>2240.0</v>
      </c>
      <c r="B821" s="2" t="s">
        <v>2432</v>
      </c>
      <c r="C821" s="2" t="s">
        <v>7</v>
      </c>
      <c r="D821" s="2" t="s">
        <v>2433</v>
      </c>
      <c r="E821" s="2" t="s">
        <v>2434</v>
      </c>
      <c r="F821" s="6">
        <v>45815.458333333336</v>
      </c>
      <c r="G821" s="2">
        <v>45209.0</v>
      </c>
      <c r="H821" s="2">
        <v>45209.0</v>
      </c>
      <c r="I821" s="2">
        <v>37545.0</v>
      </c>
      <c r="J821" s="2">
        <v>216.0</v>
      </c>
      <c r="K821" s="2">
        <v>180.0</v>
      </c>
      <c r="L821" s="2">
        <v>2.0</v>
      </c>
      <c r="M821" s="4">
        <v>19792.0</v>
      </c>
      <c r="N821" s="2" t="s">
        <v>36</v>
      </c>
      <c r="O821" s="2">
        <v>71.0</v>
      </c>
      <c r="P821" s="2" t="s">
        <v>31</v>
      </c>
      <c r="Q821" s="2" t="s">
        <v>32</v>
      </c>
      <c r="R821" s="2">
        <v>38.0</v>
      </c>
      <c r="T821" s="2" t="s">
        <v>47</v>
      </c>
      <c r="U821" s="2" t="b">
        <v>0</v>
      </c>
      <c r="V821" s="5">
        <v>0.0048</v>
      </c>
      <c r="W821" s="5">
        <v>0.0111</v>
      </c>
      <c r="X821" s="5">
        <v>5.3E-5</v>
      </c>
      <c r="Y821" s="2">
        <v>109.9555556</v>
      </c>
      <c r="AA821" s="2" t="s">
        <v>33</v>
      </c>
    </row>
    <row r="822">
      <c r="A822" s="2">
        <v>2239.0</v>
      </c>
      <c r="B822" s="2" t="s">
        <v>2435</v>
      </c>
      <c r="C822" s="2" t="s">
        <v>7</v>
      </c>
      <c r="D822" s="2" t="s">
        <v>2436</v>
      </c>
      <c r="E822" s="2" t="s">
        <v>2437</v>
      </c>
      <c r="F822" s="6">
        <v>45815.458333333336</v>
      </c>
      <c r="G822" s="2">
        <v>59279.0</v>
      </c>
      <c r="H822" s="2">
        <v>59279.0</v>
      </c>
      <c r="I822" s="2">
        <v>51196.0</v>
      </c>
      <c r="J822" s="2">
        <v>248.0</v>
      </c>
      <c r="K822" s="2">
        <v>211.0</v>
      </c>
      <c r="L822" s="2">
        <v>4.0</v>
      </c>
      <c r="M822" s="4">
        <v>5083.0</v>
      </c>
      <c r="N822" s="2" t="s">
        <v>30</v>
      </c>
      <c r="O822" s="2">
        <v>70.0</v>
      </c>
      <c r="P822" s="2" t="s">
        <v>31</v>
      </c>
      <c r="Q822" s="2" t="s">
        <v>32</v>
      </c>
      <c r="R822" s="2">
        <v>38.0</v>
      </c>
      <c r="U822" s="2" t="b">
        <v>0</v>
      </c>
      <c r="V822" s="5">
        <v>0.0041</v>
      </c>
      <c r="W822" s="5">
        <v>0.019</v>
      </c>
      <c r="X822" s="5">
        <v>7.8E-5</v>
      </c>
      <c r="Y822" s="2">
        <v>24.09004739</v>
      </c>
      <c r="Z822" s="2" t="s">
        <v>307</v>
      </c>
      <c r="AA822" s="2" t="s">
        <v>33</v>
      </c>
    </row>
    <row r="823">
      <c r="A823" s="2">
        <v>2242.0</v>
      </c>
      <c r="B823" s="2" t="s">
        <v>2438</v>
      </c>
      <c r="C823" s="2" t="s">
        <v>7</v>
      </c>
      <c r="D823" s="2" t="s">
        <v>2439</v>
      </c>
      <c r="E823" s="2" t="s">
        <v>2440</v>
      </c>
      <c r="F823" s="6">
        <v>45815.625</v>
      </c>
      <c r="G823" s="2">
        <v>45236.0</v>
      </c>
      <c r="H823" s="2">
        <v>45236.0</v>
      </c>
      <c r="I823" s="2">
        <v>37910.0</v>
      </c>
      <c r="J823" s="2">
        <v>270.0</v>
      </c>
      <c r="K823" s="2">
        <v>223.0</v>
      </c>
      <c r="L823" s="2">
        <v>1.0</v>
      </c>
      <c r="M823" s="4">
        <v>1868.0</v>
      </c>
      <c r="N823" s="2" t="s">
        <v>36</v>
      </c>
      <c r="O823" s="2">
        <v>71.0</v>
      </c>
      <c r="P823" s="2" t="s">
        <v>31</v>
      </c>
      <c r="Q823" s="2" t="s">
        <v>32</v>
      </c>
      <c r="R823" s="2">
        <v>29.0</v>
      </c>
      <c r="U823" s="2" t="b">
        <v>1</v>
      </c>
      <c r="V823" s="5">
        <v>0.0059</v>
      </c>
      <c r="W823" s="5">
        <v>0.0045</v>
      </c>
      <c r="X823" s="5">
        <v>2.6E-5</v>
      </c>
      <c r="Y823" s="2">
        <v>8.376681614</v>
      </c>
      <c r="AA823" s="2" t="s">
        <v>33</v>
      </c>
    </row>
    <row r="824">
      <c r="A824" s="2">
        <v>2241.0</v>
      </c>
      <c r="B824" s="2" t="s">
        <v>2441</v>
      </c>
      <c r="C824" s="2" t="s">
        <v>7</v>
      </c>
      <c r="D824" s="2" t="s">
        <v>2442</v>
      </c>
      <c r="E824" s="2" t="s">
        <v>2443</v>
      </c>
      <c r="F824" s="6">
        <v>45815.625</v>
      </c>
      <c r="G824" s="2">
        <v>59331.0</v>
      </c>
      <c r="H824" s="2">
        <v>59331.0</v>
      </c>
      <c r="I824" s="2">
        <v>51520.0</v>
      </c>
      <c r="J824" s="2">
        <v>389.0</v>
      </c>
      <c r="K824" s="2">
        <v>336.0</v>
      </c>
      <c r="L824" s="2">
        <v>7.0</v>
      </c>
      <c r="M824" s="4">
        <v>21993.0</v>
      </c>
      <c r="N824" s="2" t="s">
        <v>30</v>
      </c>
      <c r="O824" s="2">
        <v>70.0</v>
      </c>
      <c r="P824" s="2" t="s">
        <v>31</v>
      </c>
      <c r="Q824" s="2" t="s">
        <v>32</v>
      </c>
      <c r="R824" s="2">
        <v>34.0</v>
      </c>
      <c r="T824" s="2" t="s">
        <v>58</v>
      </c>
      <c r="U824" s="2" t="b">
        <v>0</v>
      </c>
      <c r="V824" s="5">
        <v>0.0065</v>
      </c>
      <c r="W824" s="5">
        <v>0.0208</v>
      </c>
      <c r="X824" s="5">
        <v>1.36E-4</v>
      </c>
      <c r="Y824" s="2">
        <v>65.45535714</v>
      </c>
      <c r="Z824" s="2">
        <v>712.0</v>
      </c>
      <c r="AA824" s="2" t="s">
        <v>33</v>
      </c>
    </row>
    <row r="825">
      <c r="A825" s="2">
        <v>2244.0</v>
      </c>
      <c r="B825" s="2" t="s">
        <v>2444</v>
      </c>
      <c r="C825" s="2" t="s">
        <v>7</v>
      </c>
      <c r="D825" s="2" t="s">
        <v>2445</v>
      </c>
      <c r="E825" s="2" t="s">
        <v>2446</v>
      </c>
      <c r="F825" s="6">
        <v>45815.708333333336</v>
      </c>
      <c r="G825" s="2">
        <v>45249.0</v>
      </c>
      <c r="H825" s="2">
        <v>45249.0</v>
      </c>
      <c r="I825" s="2">
        <v>37922.0</v>
      </c>
      <c r="J825" s="2">
        <v>324.0</v>
      </c>
      <c r="K825" s="2">
        <v>252.0</v>
      </c>
      <c r="L825" s="2">
        <v>5.0</v>
      </c>
      <c r="M825" s="4">
        <v>19718.0</v>
      </c>
      <c r="N825" s="2" t="s">
        <v>36</v>
      </c>
      <c r="O825" s="2">
        <v>71.0</v>
      </c>
      <c r="P825" s="2" t="s">
        <v>31</v>
      </c>
      <c r="Q825" s="2" t="s">
        <v>32</v>
      </c>
      <c r="R825" s="2">
        <v>34.0</v>
      </c>
      <c r="U825" s="2" t="b">
        <v>0</v>
      </c>
      <c r="V825" s="5">
        <v>0.0066</v>
      </c>
      <c r="W825" s="5">
        <v>0.0198</v>
      </c>
      <c r="X825" s="5">
        <v>1.32E-4</v>
      </c>
      <c r="Y825" s="2">
        <v>78.24603175</v>
      </c>
      <c r="AA825" s="2" t="s">
        <v>33</v>
      </c>
    </row>
    <row r="826">
      <c r="A826" s="2">
        <v>2243.0</v>
      </c>
      <c r="B826" s="2" t="s">
        <v>2447</v>
      </c>
      <c r="C826" s="2" t="s">
        <v>7</v>
      </c>
      <c r="D826" s="2" t="s">
        <v>2448</v>
      </c>
      <c r="E826" s="2" t="s">
        <v>2449</v>
      </c>
      <c r="F826" s="6">
        <v>45815.708333333336</v>
      </c>
      <c r="G826" s="2">
        <v>59387.0</v>
      </c>
      <c r="H826" s="2">
        <v>59387.0</v>
      </c>
      <c r="I826" s="2">
        <v>51604.0</v>
      </c>
      <c r="J826" s="2">
        <v>346.0</v>
      </c>
      <c r="K826" s="2">
        <v>278.0</v>
      </c>
      <c r="L826" s="2">
        <v>5.0</v>
      </c>
      <c r="M826" s="4">
        <v>22398.0</v>
      </c>
      <c r="N826" s="2" t="s">
        <v>30</v>
      </c>
      <c r="O826" s="2">
        <v>70.0</v>
      </c>
      <c r="P826" s="2" t="s">
        <v>31</v>
      </c>
      <c r="Q826" s="2" t="s">
        <v>32</v>
      </c>
      <c r="R826" s="2">
        <v>34.0</v>
      </c>
      <c r="U826" s="2" t="b">
        <v>0</v>
      </c>
      <c r="V826" s="5">
        <v>0.0054</v>
      </c>
      <c r="W826" s="5">
        <v>0.018</v>
      </c>
      <c r="X826" s="5">
        <v>9.7E-5</v>
      </c>
      <c r="Y826" s="2">
        <v>80.56834532</v>
      </c>
      <c r="Z826" s="2">
        <v>4655.0</v>
      </c>
      <c r="AA826" s="2" t="s">
        <v>33</v>
      </c>
    </row>
    <row r="827">
      <c r="A827" s="2">
        <v>2246.0</v>
      </c>
      <c r="B827" s="2" t="s">
        <v>2450</v>
      </c>
      <c r="C827" s="2" t="s">
        <v>7</v>
      </c>
      <c r="D827" s="2" t="s">
        <v>2451</v>
      </c>
      <c r="E827" s="2" t="e">
        <v>#N/A</v>
      </c>
      <c r="F827" s="6">
        <v>45816.458333333336</v>
      </c>
      <c r="G827" s="2">
        <v>45280.0</v>
      </c>
      <c r="H827" s="2">
        <v>45280.0</v>
      </c>
      <c r="I827" s="2">
        <v>37633.0</v>
      </c>
      <c r="J827" s="2">
        <v>270.0</v>
      </c>
      <c r="K827" s="2">
        <v>208.0</v>
      </c>
      <c r="L827" s="2">
        <v>2.0</v>
      </c>
      <c r="M827" s="4">
        <v>4735.0</v>
      </c>
      <c r="N827" s="2" t="s">
        <v>36</v>
      </c>
      <c r="O827" s="2">
        <v>71.0</v>
      </c>
      <c r="P827" s="2" t="s">
        <v>31</v>
      </c>
      <c r="Q827" s="2" t="s">
        <v>32</v>
      </c>
      <c r="R827" s="2">
        <v>37.0</v>
      </c>
      <c r="T827" s="2" t="s">
        <v>58</v>
      </c>
      <c r="U827" s="2" t="b">
        <v>0</v>
      </c>
      <c r="V827" s="5">
        <v>0.0055</v>
      </c>
      <c r="W827" s="5">
        <v>0.0096</v>
      </c>
      <c r="X827" s="5">
        <v>5.3E-5</v>
      </c>
      <c r="Y827" s="2">
        <v>22.76442308</v>
      </c>
      <c r="AA827" s="2" t="s">
        <v>33</v>
      </c>
    </row>
    <row r="828">
      <c r="A828" s="2">
        <v>2245.0</v>
      </c>
      <c r="B828" s="2" t="s">
        <v>2452</v>
      </c>
      <c r="C828" s="2" t="s">
        <v>7</v>
      </c>
      <c r="D828" s="2" t="s">
        <v>2453</v>
      </c>
      <c r="E828" s="2" t="e">
        <v>#N/A</v>
      </c>
      <c r="F828" s="6">
        <v>45816.458333333336</v>
      </c>
      <c r="G828" s="2">
        <v>59417.0</v>
      </c>
      <c r="H828" s="2">
        <v>59417.0</v>
      </c>
      <c r="I828" s="2">
        <v>51294.0</v>
      </c>
      <c r="J828" s="2">
        <v>253.0</v>
      </c>
      <c r="K828" s="2">
        <v>210.0</v>
      </c>
      <c r="L828" s="2">
        <v>3.0</v>
      </c>
      <c r="M828" s="4">
        <v>1211.0</v>
      </c>
      <c r="N828" s="2" t="s">
        <v>30</v>
      </c>
      <c r="O828" s="2">
        <v>70.0</v>
      </c>
      <c r="P828" s="2" t="s">
        <v>31</v>
      </c>
      <c r="Q828" s="2" t="s">
        <v>32</v>
      </c>
      <c r="R828" s="2">
        <v>41.0</v>
      </c>
      <c r="T828" s="2" t="s">
        <v>47</v>
      </c>
      <c r="U828" s="2" t="b">
        <v>0</v>
      </c>
      <c r="V828" s="5">
        <v>0.0041</v>
      </c>
      <c r="W828" s="5">
        <v>0.0143</v>
      </c>
      <c r="X828" s="5">
        <v>5.8E-5</v>
      </c>
      <c r="Y828" s="2">
        <v>5.766666667</v>
      </c>
      <c r="AA828" s="2" t="s">
        <v>33</v>
      </c>
    </row>
    <row r="829">
      <c r="A829" s="2">
        <v>2251.0</v>
      </c>
      <c r="B829" s="2" t="s">
        <v>2454</v>
      </c>
      <c r="C829" s="2" t="s">
        <v>7</v>
      </c>
      <c r="D829" s="2" t="s">
        <v>2455</v>
      </c>
      <c r="E829" s="2" t="s">
        <v>2456</v>
      </c>
      <c r="F829" s="6">
        <v>45816.625</v>
      </c>
      <c r="G829" s="2">
        <v>45305.0</v>
      </c>
      <c r="H829" s="2">
        <v>45305.0</v>
      </c>
      <c r="I829" s="2">
        <v>37990.0</v>
      </c>
      <c r="J829" s="2">
        <v>291.0</v>
      </c>
      <c r="K829" s="2">
        <v>234.0</v>
      </c>
      <c r="L829" s="2">
        <v>6.0</v>
      </c>
      <c r="M829" s="4">
        <v>13652.0</v>
      </c>
      <c r="N829" s="2" t="s">
        <v>36</v>
      </c>
      <c r="O829" s="2">
        <v>71.0</v>
      </c>
      <c r="P829" s="2" t="s">
        <v>31</v>
      </c>
      <c r="Q829" s="2" t="s">
        <v>32</v>
      </c>
      <c r="R829" s="2">
        <v>34.0</v>
      </c>
      <c r="U829" s="2" t="b">
        <v>0</v>
      </c>
      <c r="V829" s="5">
        <v>0.0062</v>
      </c>
      <c r="W829" s="5">
        <v>0.0256</v>
      </c>
      <c r="X829" s="5">
        <v>1.58E-4</v>
      </c>
      <c r="Y829" s="2">
        <v>58.34188034</v>
      </c>
      <c r="AA829" s="2" t="s">
        <v>33</v>
      </c>
    </row>
    <row r="830">
      <c r="A830" s="2">
        <v>2247.0</v>
      </c>
      <c r="B830" s="2" t="s">
        <v>2457</v>
      </c>
      <c r="C830" s="2" t="s">
        <v>7</v>
      </c>
      <c r="D830" s="2" t="s">
        <v>2458</v>
      </c>
      <c r="E830" s="2" t="s">
        <v>2459</v>
      </c>
      <c r="F830" s="6">
        <v>45816.625</v>
      </c>
      <c r="G830" s="2">
        <v>59458.0</v>
      </c>
      <c r="H830" s="2">
        <v>59458.0</v>
      </c>
      <c r="I830" s="2">
        <v>51638.0</v>
      </c>
      <c r="J830" s="2">
        <v>280.0</v>
      </c>
      <c r="K830" s="2">
        <v>230.0</v>
      </c>
      <c r="L830" s="2">
        <v>2.0</v>
      </c>
      <c r="M830" s="4">
        <v>16518.0</v>
      </c>
      <c r="N830" s="2" t="s">
        <v>30</v>
      </c>
      <c r="O830" s="2">
        <v>70.0</v>
      </c>
      <c r="P830" s="2" t="s">
        <v>31</v>
      </c>
      <c r="Q830" s="2" t="s">
        <v>32</v>
      </c>
      <c r="R830" s="2">
        <v>32.0</v>
      </c>
      <c r="T830" s="2" t="s">
        <v>47</v>
      </c>
      <c r="U830" s="2" t="b">
        <v>0</v>
      </c>
      <c r="V830" s="5">
        <v>0.0045</v>
      </c>
      <c r="W830" s="5">
        <v>0.0087</v>
      </c>
      <c r="X830" s="5">
        <v>3.9E-5</v>
      </c>
      <c r="Y830" s="2">
        <v>71.8173913</v>
      </c>
      <c r="Z830" s="2">
        <v>2190.0</v>
      </c>
      <c r="AA830" s="2" t="s">
        <v>33</v>
      </c>
    </row>
    <row r="831">
      <c r="A831" s="2">
        <v>2253.0</v>
      </c>
      <c r="B831" s="2" t="s">
        <v>2460</v>
      </c>
      <c r="C831" s="2" t="s">
        <v>7</v>
      </c>
      <c r="D831" s="2" t="s">
        <v>2461</v>
      </c>
      <c r="E831" s="2" t="s">
        <v>2462</v>
      </c>
      <c r="F831" s="6">
        <v>45816.708333333336</v>
      </c>
      <c r="G831" s="2">
        <v>45323.0</v>
      </c>
      <c r="H831" s="2">
        <v>45323.0</v>
      </c>
      <c r="I831" s="2">
        <v>38016.0</v>
      </c>
      <c r="J831" s="2">
        <v>431.0</v>
      </c>
      <c r="K831" s="2">
        <v>350.0</v>
      </c>
      <c r="L831" s="2">
        <v>7.0</v>
      </c>
      <c r="M831" s="4">
        <v>27515.0</v>
      </c>
      <c r="N831" s="2" t="s">
        <v>36</v>
      </c>
      <c r="O831" s="2">
        <v>71.0</v>
      </c>
      <c r="P831" s="2" t="s">
        <v>31</v>
      </c>
      <c r="Q831" s="2" t="s">
        <v>32</v>
      </c>
      <c r="R831" s="2">
        <v>34.0</v>
      </c>
      <c r="T831" s="2" t="s">
        <v>58</v>
      </c>
      <c r="U831" s="2" t="b">
        <v>0</v>
      </c>
      <c r="V831" s="5">
        <v>0.0092</v>
      </c>
      <c r="W831" s="5">
        <v>0.02</v>
      </c>
      <c r="X831" s="5">
        <v>1.84E-4</v>
      </c>
      <c r="Y831" s="2">
        <v>78.61428571</v>
      </c>
      <c r="AA831" s="2" t="s">
        <v>33</v>
      </c>
    </row>
    <row r="832">
      <c r="A832" s="2">
        <v>2252.0</v>
      </c>
      <c r="B832" s="2" t="s">
        <v>2463</v>
      </c>
      <c r="C832" s="2" t="s">
        <v>7</v>
      </c>
      <c r="D832" s="2" t="s">
        <v>2464</v>
      </c>
      <c r="E832" s="2" t="s">
        <v>2465</v>
      </c>
      <c r="F832" s="6">
        <v>45816.708333333336</v>
      </c>
      <c r="G832" s="2">
        <v>59509.0</v>
      </c>
      <c r="H832" s="2">
        <v>59509.0</v>
      </c>
      <c r="I832" s="2">
        <v>51670.0</v>
      </c>
      <c r="J832" s="2">
        <v>572.0</v>
      </c>
      <c r="K832" s="2">
        <v>469.0</v>
      </c>
      <c r="L832" s="2">
        <v>13.0</v>
      </c>
      <c r="M832" s="4">
        <v>30417.0</v>
      </c>
      <c r="N832" s="2" t="s">
        <v>30</v>
      </c>
      <c r="O832" s="2">
        <v>70.0</v>
      </c>
      <c r="P832" s="2" t="s">
        <v>31</v>
      </c>
      <c r="Q832" s="2" t="s">
        <v>32</v>
      </c>
      <c r="R832" s="2">
        <v>27.0</v>
      </c>
      <c r="T832" s="2" t="s">
        <v>405</v>
      </c>
      <c r="U832" s="2" t="b">
        <v>0</v>
      </c>
      <c r="V832" s="5">
        <v>0.0091</v>
      </c>
      <c r="W832" s="5">
        <v>0.0277</v>
      </c>
      <c r="X832" s="5">
        <v>2.52E-4</v>
      </c>
      <c r="Y832" s="2">
        <v>64.85501066</v>
      </c>
      <c r="AA832" s="2" t="s">
        <v>33</v>
      </c>
    </row>
    <row r="833">
      <c r="A833" s="2">
        <v>2257.0</v>
      </c>
      <c r="B833" s="2" t="s">
        <v>2466</v>
      </c>
      <c r="C833" s="2" t="s">
        <v>7</v>
      </c>
      <c r="D833" s="2" t="s">
        <v>2467</v>
      </c>
      <c r="E833" s="2" t="s">
        <v>2468</v>
      </c>
      <c r="F833" s="6">
        <v>45817.45694444444</v>
      </c>
      <c r="G833" s="2">
        <v>59506.0</v>
      </c>
      <c r="H833" s="2">
        <v>59506.0</v>
      </c>
      <c r="I833" s="2">
        <v>51549.0</v>
      </c>
      <c r="J833" s="2">
        <v>331.0</v>
      </c>
      <c r="K833" s="2">
        <v>276.0</v>
      </c>
      <c r="L833" s="2">
        <v>4.0</v>
      </c>
      <c r="M833" s="4">
        <v>13560.0</v>
      </c>
      <c r="N833" s="2" t="s">
        <v>30</v>
      </c>
      <c r="O833" s="2">
        <v>70.0</v>
      </c>
      <c r="P833" s="2" t="s">
        <v>31</v>
      </c>
      <c r="Q833" s="2" t="s">
        <v>32</v>
      </c>
      <c r="R833" s="2">
        <v>33.0</v>
      </c>
      <c r="U833" s="2" t="b">
        <v>0</v>
      </c>
      <c r="V833" s="5">
        <v>0.0054</v>
      </c>
      <c r="W833" s="5">
        <v>0.0145</v>
      </c>
      <c r="X833" s="5">
        <v>7.8E-5</v>
      </c>
      <c r="Y833" s="2">
        <v>49.13043478</v>
      </c>
      <c r="AA833" s="2" t="s">
        <v>33</v>
      </c>
    </row>
    <row r="834">
      <c r="A834" s="2">
        <v>2258.0</v>
      </c>
      <c r="B834" s="2" t="s">
        <v>2469</v>
      </c>
      <c r="C834" s="2" t="s">
        <v>7</v>
      </c>
      <c r="D834" s="2" t="s">
        <v>2470</v>
      </c>
      <c r="E834" s="2" t="s">
        <v>2471</v>
      </c>
      <c r="F834" s="6">
        <v>45817.46041666667</v>
      </c>
      <c r="G834" s="2">
        <v>45303.0</v>
      </c>
      <c r="H834" s="2">
        <v>45303.0</v>
      </c>
      <c r="I834" s="2">
        <v>37807.0</v>
      </c>
      <c r="J834" s="2">
        <v>307.0</v>
      </c>
      <c r="K834" s="2">
        <v>237.0</v>
      </c>
      <c r="L834" s="2">
        <v>6.0</v>
      </c>
      <c r="M834" s="4">
        <v>26802.0</v>
      </c>
      <c r="N834" s="2" t="s">
        <v>36</v>
      </c>
      <c r="O834" s="2">
        <v>71.0</v>
      </c>
      <c r="P834" s="2" t="s">
        <v>31</v>
      </c>
      <c r="Q834" s="2" t="s">
        <v>32</v>
      </c>
      <c r="R834" s="2">
        <v>36.0</v>
      </c>
      <c r="T834" s="2" t="s">
        <v>47</v>
      </c>
      <c r="U834" s="2" t="b">
        <v>0</v>
      </c>
      <c r="V834" s="5">
        <v>0.0063</v>
      </c>
      <c r="W834" s="5">
        <v>0.0253</v>
      </c>
      <c r="X834" s="5">
        <v>1.59E-4</v>
      </c>
      <c r="Y834" s="2">
        <v>113.0886076</v>
      </c>
      <c r="AA834" s="2" t="s">
        <v>33</v>
      </c>
    </row>
    <row r="835">
      <c r="A835" s="2">
        <v>2260.0</v>
      </c>
      <c r="B835" s="2" t="s">
        <v>2472</v>
      </c>
      <c r="C835" s="2" t="s">
        <v>7</v>
      </c>
      <c r="D835" s="2" t="s">
        <v>2473</v>
      </c>
      <c r="E835" s="2" t="s">
        <v>2474</v>
      </c>
      <c r="F835" s="6">
        <v>45817.625</v>
      </c>
      <c r="G835" s="2">
        <v>45294.0</v>
      </c>
      <c r="H835" s="2">
        <v>45294.0</v>
      </c>
      <c r="I835" s="2">
        <v>38061.0</v>
      </c>
      <c r="J835" s="2">
        <v>229.0</v>
      </c>
      <c r="K835" s="2">
        <v>186.0</v>
      </c>
      <c r="L835" s="2">
        <v>2.0</v>
      </c>
      <c r="M835" s="4">
        <v>1396.0</v>
      </c>
      <c r="N835" s="2" t="s">
        <v>36</v>
      </c>
      <c r="O835" s="2">
        <v>71.0</v>
      </c>
      <c r="P835" s="2" t="s">
        <v>31</v>
      </c>
      <c r="Q835" s="2" t="s">
        <v>32</v>
      </c>
      <c r="R835" s="2">
        <v>46.0</v>
      </c>
      <c r="T835" s="2" t="s">
        <v>47</v>
      </c>
      <c r="U835" s="2" t="b">
        <v>0</v>
      </c>
      <c r="V835" s="5">
        <v>0.0049</v>
      </c>
      <c r="W835" s="5">
        <v>0.0108</v>
      </c>
      <c r="X835" s="5">
        <v>5.3E-5</v>
      </c>
      <c r="Y835" s="2">
        <v>7.505376344</v>
      </c>
      <c r="AA835" s="2" t="s">
        <v>33</v>
      </c>
    </row>
    <row r="836">
      <c r="A836" s="2">
        <v>2259.0</v>
      </c>
      <c r="B836" s="2" t="s">
        <v>2475</v>
      </c>
      <c r="C836" s="2" t="s">
        <v>7</v>
      </c>
      <c r="D836" s="2" t="s">
        <v>2476</v>
      </c>
      <c r="E836" s="2" t="s">
        <v>2477</v>
      </c>
      <c r="F836" s="6">
        <v>45817.625</v>
      </c>
      <c r="G836" s="2">
        <v>59522.0</v>
      </c>
      <c r="H836" s="2">
        <v>59522.0</v>
      </c>
      <c r="I836" s="2">
        <v>51644.0</v>
      </c>
      <c r="J836" s="2">
        <v>316.0</v>
      </c>
      <c r="K836" s="2">
        <v>264.0</v>
      </c>
      <c r="L836" s="2">
        <v>4.0</v>
      </c>
      <c r="M836" s="4">
        <v>5892.0</v>
      </c>
      <c r="N836" s="2" t="s">
        <v>30</v>
      </c>
      <c r="O836" s="2">
        <v>70.0</v>
      </c>
      <c r="P836" s="2" t="s">
        <v>31</v>
      </c>
      <c r="Q836" s="2" t="s">
        <v>32</v>
      </c>
      <c r="R836" s="2">
        <v>37.0</v>
      </c>
      <c r="T836" s="2" t="s">
        <v>47</v>
      </c>
      <c r="U836" s="2" t="b">
        <v>0</v>
      </c>
      <c r="V836" s="5">
        <v>0.0051</v>
      </c>
      <c r="W836" s="5">
        <v>0.0152</v>
      </c>
      <c r="X836" s="5">
        <v>7.7E-5</v>
      </c>
      <c r="Y836" s="2">
        <v>22.31818182</v>
      </c>
      <c r="AA836" s="2" t="s">
        <v>33</v>
      </c>
    </row>
    <row r="837">
      <c r="A837" s="2">
        <v>2261.0</v>
      </c>
      <c r="B837" s="2" t="s">
        <v>2478</v>
      </c>
      <c r="C837" s="2" t="s">
        <v>7</v>
      </c>
      <c r="D837" s="2" t="s">
        <v>2479</v>
      </c>
      <c r="E837" s="2" t="s">
        <v>2480</v>
      </c>
      <c r="F837" s="6">
        <v>45818.48888888889</v>
      </c>
      <c r="G837" s="2">
        <v>59360.0</v>
      </c>
      <c r="H837" s="2">
        <v>59360.0</v>
      </c>
      <c r="I837" s="2">
        <v>51575.0</v>
      </c>
      <c r="J837" s="2">
        <v>282.0</v>
      </c>
      <c r="K837" s="2">
        <v>228.0</v>
      </c>
      <c r="L837" s="2">
        <v>0.0</v>
      </c>
      <c r="M837" s="2">
        <v>0.0</v>
      </c>
      <c r="N837" s="2" t="s">
        <v>30</v>
      </c>
      <c r="O837" s="2">
        <v>70.0</v>
      </c>
      <c r="P837" s="2" t="s">
        <v>31</v>
      </c>
      <c r="Q837" s="2" t="s">
        <v>32</v>
      </c>
      <c r="R837" s="2">
        <v>31.0</v>
      </c>
      <c r="T837" s="7" t="str">
        <f>IFERROR(__xludf.DUMMYFUNCTION("AI(""has offer Come X Pay X"",D837)"),"Yes")</f>
        <v>Yes</v>
      </c>
      <c r="U837" s="2" t="b">
        <v>0</v>
      </c>
      <c r="V837" s="5">
        <v>0.0044</v>
      </c>
      <c r="W837" s="5">
        <v>0.0</v>
      </c>
      <c r="X837" s="5">
        <v>0.0</v>
      </c>
      <c r="Y837" s="2">
        <v>0.0</v>
      </c>
      <c r="Z837" s="2">
        <v>4486.0</v>
      </c>
      <c r="AA837" s="2" t="s">
        <v>33</v>
      </c>
    </row>
    <row r="838">
      <c r="A838" s="2">
        <v>2265.0</v>
      </c>
      <c r="B838" s="2" t="s">
        <v>2481</v>
      </c>
      <c r="C838" s="2" t="s">
        <v>7</v>
      </c>
      <c r="D838" s="2" t="s">
        <v>2482</v>
      </c>
      <c r="E838" s="2" t="s">
        <v>2483</v>
      </c>
      <c r="F838" s="6">
        <v>45818.493055555555</v>
      </c>
      <c r="G838" s="2">
        <v>45248.0</v>
      </c>
      <c r="H838" s="2">
        <v>45248.0</v>
      </c>
      <c r="I838" s="2">
        <v>37935.0</v>
      </c>
      <c r="J838" s="2">
        <v>238.0</v>
      </c>
      <c r="K838" s="2">
        <v>181.0</v>
      </c>
      <c r="L838" s="2">
        <v>1.0</v>
      </c>
      <c r="M838" s="2">
        <v>819.0</v>
      </c>
      <c r="N838" s="2" t="s">
        <v>36</v>
      </c>
      <c r="O838" s="2">
        <v>71.0</v>
      </c>
      <c r="P838" s="2" t="s">
        <v>31</v>
      </c>
      <c r="Q838" s="2" t="s">
        <v>32</v>
      </c>
      <c r="R838" s="2">
        <v>35.0</v>
      </c>
      <c r="T838" s="2" t="s">
        <v>47</v>
      </c>
      <c r="U838" s="2" t="b">
        <v>0</v>
      </c>
      <c r="V838" s="5">
        <v>0.0048</v>
      </c>
      <c r="W838" s="5">
        <v>0.0055</v>
      </c>
      <c r="X838" s="5">
        <v>2.6E-5</v>
      </c>
      <c r="Y838" s="2">
        <v>4.524861878</v>
      </c>
      <c r="AA838" s="2" t="s">
        <v>33</v>
      </c>
    </row>
    <row r="839">
      <c r="A839" s="2">
        <v>2266.0</v>
      </c>
      <c r="B839" s="2" t="s">
        <v>2484</v>
      </c>
      <c r="C839" s="2" t="s">
        <v>7</v>
      </c>
      <c r="D839" s="2" t="s">
        <v>2485</v>
      </c>
      <c r="E839" s="2" t="s">
        <v>2486</v>
      </c>
      <c r="F839" s="6">
        <v>45818.62847222222</v>
      </c>
      <c r="G839" s="2">
        <v>59356.0</v>
      </c>
      <c r="H839" s="2">
        <v>59356.0</v>
      </c>
      <c r="I839" s="2">
        <v>51726.0</v>
      </c>
      <c r="J839" s="2">
        <v>354.0</v>
      </c>
      <c r="K839" s="2">
        <v>301.0</v>
      </c>
      <c r="L839" s="2">
        <v>4.0</v>
      </c>
      <c r="M839" s="4">
        <v>6990.0</v>
      </c>
      <c r="N839" s="2" t="s">
        <v>30</v>
      </c>
      <c r="O839" s="2">
        <v>70.0</v>
      </c>
      <c r="P839" s="2" t="s">
        <v>31</v>
      </c>
      <c r="Q839" s="2" t="s">
        <v>32</v>
      </c>
      <c r="R839" s="2">
        <v>41.0</v>
      </c>
      <c r="T839" s="2" t="s">
        <v>47</v>
      </c>
      <c r="U839" s="2" t="b">
        <v>0</v>
      </c>
      <c r="V839" s="5">
        <v>0.0058</v>
      </c>
      <c r="W839" s="5">
        <v>0.0133</v>
      </c>
      <c r="X839" s="5">
        <v>7.7E-5</v>
      </c>
      <c r="Y839" s="2">
        <v>23.22259136</v>
      </c>
      <c r="Z839" s="2">
        <v>4254.0</v>
      </c>
      <c r="AA839" s="2" t="s">
        <v>33</v>
      </c>
    </row>
    <row r="840">
      <c r="A840" s="2">
        <v>2267.0</v>
      </c>
      <c r="B840" s="2" t="s">
        <v>2487</v>
      </c>
      <c r="C840" s="2" t="s">
        <v>7</v>
      </c>
      <c r="D840" s="2" t="s">
        <v>2488</v>
      </c>
      <c r="E840" s="2" t="s">
        <v>2489</v>
      </c>
      <c r="F840" s="6">
        <v>45818.631944444445</v>
      </c>
      <c r="G840" s="2">
        <v>45242.0</v>
      </c>
      <c r="H840" s="2">
        <v>45242.0</v>
      </c>
      <c r="I840" s="2">
        <v>38120.0</v>
      </c>
      <c r="J840" s="2">
        <v>271.0</v>
      </c>
      <c r="K840" s="2">
        <v>222.0</v>
      </c>
      <c r="L840" s="2">
        <v>7.0</v>
      </c>
      <c r="M840" s="4">
        <v>20107.0</v>
      </c>
      <c r="N840" s="2" t="s">
        <v>36</v>
      </c>
      <c r="O840" s="2">
        <v>71.0</v>
      </c>
      <c r="P840" s="2" t="s">
        <v>31</v>
      </c>
      <c r="Q840" s="2" t="s">
        <v>32</v>
      </c>
      <c r="R840" s="2">
        <v>35.0</v>
      </c>
      <c r="T840" s="2" t="s">
        <v>47</v>
      </c>
      <c r="U840" s="2" t="b">
        <v>0</v>
      </c>
      <c r="V840" s="5">
        <v>0.0058</v>
      </c>
      <c r="W840" s="5">
        <v>0.0315</v>
      </c>
      <c r="X840" s="5">
        <v>1.84E-4</v>
      </c>
      <c r="Y840" s="2">
        <v>90.57207207</v>
      </c>
      <c r="AA840" s="2" t="s">
        <v>33</v>
      </c>
    </row>
    <row r="841">
      <c r="A841" s="2">
        <v>2269.0</v>
      </c>
      <c r="B841" s="2" t="s">
        <v>2490</v>
      </c>
      <c r="C841" s="2" t="s">
        <v>7</v>
      </c>
      <c r="D841" s="2" t="s">
        <v>2491</v>
      </c>
      <c r="E841" s="2" t="s">
        <v>2492</v>
      </c>
      <c r="F841" s="6">
        <v>45818.708333333336</v>
      </c>
      <c r="G841" s="2">
        <v>45262.0</v>
      </c>
      <c r="H841" s="2">
        <v>45262.0</v>
      </c>
      <c r="I841" s="2">
        <v>38143.0</v>
      </c>
      <c r="J841" s="2">
        <v>254.0</v>
      </c>
      <c r="K841" s="2">
        <v>198.0</v>
      </c>
      <c r="L841" s="2">
        <v>1.0</v>
      </c>
      <c r="M841" s="4">
        <v>7000.0</v>
      </c>
      <c r="N841" s="2" t="s">
        <v>36</v>
      </c>
      <c r="O841" s="2">
        <v>71.0</v>
      </c>
      <c r="P841" s="2" t="s">
        <v>31</v>
      </c>
      <c r="Q841" s="2" t="s">
        <v>32</v>
      </c>
      <c r="R841" s="2">
        <v>31.0</v>
      </c>
      <c r="U841" s="2" t="b">
        <v>0</v>
      </c>
      <c r="V841" s="5">
        <v>0.0052</v>
      </c>
      <c r="W841" s="5">
        <v>0.0051</v>
      </c>
      <c r="X841" s="5">
        <v>2.6E-5</v>
      </c>
      <c r="Y841" s="2">
        <v>35.35353535</v>
      </c>
      <c r="AA841" s="2" t="s">
        <v>33</v>
      </c>
    </row>
    <row r="842">
      <c r="A842" s="2">
        <v>2268.0</v>
      </c>
      <c r="B842" s="2" t="s">
        <v>2493</v>
      </c>
      <c r="C842" s="2" t="s">
        <v>7</v>
      </c>
      <c r="D842" s="2" t="s">
        <v>2494</v>
      </c>
      <c r="E842" s="2" t="s">
        <v>2495</v>
      </c>
      <c r="F842" s="6">
        <v>45818.708333333336</v>
      </c>
      <c r="G842" s="2">
        <v>59366.0</v>
      </c>
      <c r="H842" s="2">
        <v>59366.0</v>
      </c>
      <c r="I842" s="2">
        <v>51658.0</v>
      </c>
      <c r="J842" s="2">
        <v>358.0</v>
      </c>
      <c r="K842" s="2">
        <v>279.0</v>
      </c>
      <c r="L842" s="2">
        <v>5.0</v>
      </c>
      <c r="M842" s="4">
        <v>38603.0</v>
      </c>
      <c r="N842" s="2" t="s">
        <v>30</v>
      </c>
      <c r="O842" s="2">
        <v>70.0</v>
      </c>
      <c r="P842" s="2" t="s">
        <v>31</v>
      </c>
      <c r="Q842" s="2" t="s">
        <v>32</v>
      </c>
      <c r="R842" s="2">
        <v>30.0</v>
      </c>
      <c r="T842" s="2" t="s">
        <v>162</v>
      </c>
      <c r="U842" s="2" t="b">
        <v>0</v>
      </c>
      <c r="V842" s="5">
        <v>0.0054</v>
      </c>
      <c r="W842" s="5">
        <v>0.0179</v>
      </c>
      <c r="X842" s="5">
        <v>9.7E-5</v>
      </c>
      <c r="Y842" s="2">
        <v>138.3620072</v>
      </c>
      <c r="Z842" s="2">
        <v>5428.0</v>
      </c>
      <c r="AA842" s="2" t="s">
        <v>33</v>
      </c>
    </row>
    <row r="843">
      <c r="A843" s="2">
        <v>2262.0</v>
      </c>
      <c r="B843" s="2" t="s">
        <v>2496</v>
      </c>
      <c r="C843" s="2" t="s">
        <v>7</v>
      </c>
      <c r="D843" s="2" t="s">
        <v>170</v>
      </c>
      <c r="E843" s="2" t="s">
        <v>288</v>
      </c>
      <c r="F843" s="6">
        <v>45819.48888888889</v>
      </c>
      <c r="G843" s="2">
        <v>59440.0</v>
      </c>
      <c r="H843" s="2">
        <v>59440.0</v>
      </c>
      <c r="I843" s="2">
        <v>51595.0</v>
      </c>
      <c r="J843" s="2">
        <v>252.0</v>
      </c>
      <c r="K843" s="2">
        <v>207.0</v>
      </c>
      <c r="L843" s="2">
        <v>4.0</v>
      </c>
      <c r="M843" s="4">
        <v>11190.0</v>
      </c>
      <c r="N843" s="2" t="s">
        <v>30</v>
      </c>
      <c r="O843" s="2">
        <v>70.0</v>
      </c>
      <c r="P843" s="2" t="s">
        <v>31</v>
      </c>
      <c r="Q843" s="2" t="s">
        <v>32</v>
      </c>
      <c r="R843" s="2">
        <v>27.0</v>
      </c>
      <c r="T843" s="2" t="s">
        <v>47</v>
      </c>
      <c r="U843" s="2" t="b">
        <v>0</v>
      </c>
      <c r="V843" s="5">
        <v>0.004</v>
      </c>
      <c r="W843" s="5">
        <v>0.0193</v>
      </c>
      <c r="X843" s="5">
        <v>7.8E-5</v>
      </c>
      <c r="Y843" s="2">
        <v>54.05797101</v>
      </c>
      <c r="AA843" s="2" t="s">
        <v>33</v>
      </c>
    </row>
    <row r="844">
      <c r="A844" s="2">
        <v>2270.0</v>
      </c>
      <c r="B844" s="2" t="s">
        <v>2497</v>
      </c>
      <c r="C844" s="2" t="s">
        <v>7</v>
      </c>
      <c r="D844" s="2" t="s">
        <v>170</v>
      </c>
      <c r="E844" s="2" t="s">
        <v>290</v>
      </c>
      <c r="F844" s="6">
        <v>45819.490277777775</v>
      </c>
      <c r="G844" s="2">
        <v>45326.0</v>
      </c>
      <c r="H844" s="2">
        <v>45326.0</v>
      </c>
      <c r="I844" s="2">
        <v>37985.0</v>
      </c>
      <c r="J844" s="2">
        <v>315.0</v>
      </c>
      <c r="K844" s="2">
        <v>248.0</v>
      </c>
      <c r="L844" s="2">
        <v>3.0</v>
      </c>
      <c r="M844" s="4">
        <v>4567.0</v>
      </c>
      <c r="N844" s="2" t="s">
        <v>36</v>
      </c>
      <c r="O844" s="2">
        <v>71.0</v>
      </c>
      <c r="P844" s="2" t="s">
        <v>31</v>
      </c>
      <c r="Q844" s="2" t="s">
        <v>32</v>
      </c>
      <c r="R844" s="2">
        <v>27.0</v>
      </c>
      <c r="T844" s="2" t="s">
        <v>47</v>
      </c>
      <c r="U844" s="2" t="b">
        <v>0</v>
      </c>
      <c r="V844" s="5">
        <v>0.0065</v>
      </c>
      <c r="W844" s="5">
        <v>0.0121</v>
      </c>
      <c r="X844" s="5">
        <v>7.9E-5</v>
      </c>
      <c r="Y844" s="2">
        <v>18.41532258</v>
      </c>
      <c r="AA844" s="2" t="s">
        <v>33</v>
      </c>
    </row>
    <row r="845">
      <c r="A845" s="2">
        <v>2271.0</v>
      </c>
      <c r="B845" s="2" t="s">
        <v>2498</v>
      </c>
      <c r="C845" s="2" t="s">
        <v>7</v>
      </c>
      <c r="D845" s="2" t="s">
        <v>2499</v>
      </c>
      <c r="E845" s="2" t="s">
        <v>2500</v>
      </c>
      <c r="F845" s="6">
        <v>45819.649305555555</v>
      </c>
      <c r="G845" s="2">
        <v>59445.0</v>
      </c>
      <c r="H845" s="2">
        <v>59445.0</v>
      </c>
      <c r="I845" s="2">
        <v>51672.0</v>
      </c>
      <c r="J845" s="2">
        <v>324.0</v>
      </c>
      <c r="K845" s="2">
        <v>282.0</v>
      </c>
      <c r="L845" s="2">
        <v>5.0</v>
      </c>
      <c r="M845" s="4">
        <v>48185.0</v>
      </c>
      <c r="N845" s="2" t="s">
        <v>30</v>
      </c>
      <c r="O845" s="2">
        <v>70.0</v>
      </c>
      <c r="P845" s="2" t="s">
        <v>31</v>
      </c>
      <c r="Q845" s="2" t="s">
        <v>32</v>
      </c>
      <c r="R845" s="2">
        <v>24.0</v>
      </c>
      <c r="T845" s="2" t="s">
        <v>47</v>
      </c>
      <c r="U845" s="2" t="b">
        <v>0</v>
      </c>
      <c r="V845" s="5">
        <v>0.0055</v>
      </c>
      <c r="W845" s="5">
        <v>0.0177</v>
      </c>
      <c r="X845" s="5">
        <v>9.7E-5</v>
      </c>
      <c r="Y845" s="2">
        <v>170.8687943</v>
      </c>
      <c r="AA845" s="2" t="s">
        <v>33</v>
      </c>
    </row>
    <row r="846">
      <c r="A846" s="2">
        <v>2272.0</v>
      </c>
      <c r="B846" s="2" t="s">
        <v>2501</v>
      </c>
      <c r="C846" s="2" t="s">
        <v>7</v>
      </c>
      <c r="D846" s="2" t="s">
        <v>2502</v>
      </c>
      <c r="E846" s="2" t="s">
        <v>2503</v>
      </c>
      <c r="F846" s="6">
        <v>45819.65069444444</v>
      </c>
      <c r="G846" s="2">
        <v>45327.0</v>
      </c>
      <c r="H846" s="2">
        <v>45327.0</v>
      </c>
      <c r="I846" s="2">
        <v>38188.0</v>
      </c>
      <c r="J846" s="2">
        <v>221.0</v>
      </c>
      <c r="K846" s="2">
        <v>187.0</v>
      </c>
      <c r="L846" s="2">
        <v>9.0</v>
      </c>
      <c r="M846" s="4">
        <v>38667.0</v>
      </c>
      <c r="N846" s="2" t="s">
        <v>36</v>
      </c>
      <c r="O846" s="2">
        <v>71.0</v>
      </c>
      <c r="P846" s="2" t="s">
        <v>31</v>
      </c>
      <c r="Q846" s="2" t="s">
        <v>32</v>
      </c>
      <c r="R846" s="2">
        <v>28.0</v>
      </c>
      <c r="T846" s="2" t="s">
        <v>47</v>
      </c>
      <c r="U846" s="2" t="b">
        <v>0</v>
      </c>
      <c r="V846" s="5">
        <v>0.0049</v>
      </c>
      <c r="W846" s="5">
        <v>0.0481</v>
      </c>
      <c r="X846" s="5">
        <v>2.36E-4</v>
      </c>
      <c r="Y846" s="2">
        <v>206.7754011</v>
      </c>
      <c r="AA846" s="2" t="s">
        <v>33</v>
      </c>
    </row>
    <row r="847">
      <c r="A847" s="2">
        <v>2274.0</v>
      </c>
      <c r="B847" s="2" t="s">
        <v>2504</v>
      </c>
      <c r="C847" s="2" t="s">
        <v>7</v>
      </c>
      <c r="D847" s="2" t="s">
        <v>2505</v>
      </c>
      <c r="E847" s="2" t="s">
        <v>2506</v>
      </c>
      <c r="F847" s="6">
        <v>45819.708333333336</v>
      </c>
      <c r="G847" s="2">
        <v>45333.0</v>
      </c>
      <c r="H847" s="2">
        <v>45333.0</v>
      </c>
      <c r="I847" s="2">
        <v>38142.0</v>
      </c>
      <c r="J847" s="2">
        <v>405.0</v>
      </c>
      <c r="K847" s="2">
        <v>333.0</v>
      </c>
      <c r="L847" s="2">
        <v>10.0</v>
      </c>
      <c r="M847" s="4">
        <v>30605.0</v>
      </c>
      <c r="N847" s="2" t="s">
        <v>36</v>
      </c>
      <c r="O847" s="2">
        <v>71.0</v>
      </c>
      <c r="P847" s="2" t="s">
        <v>31</v>
      </c>
      <c r="Q847" s="2" t="s">
        <v>32</v>
      </c>
      <c r="R847" s="2">
        <v>41.0</v>
      </c>
      <c r="T847" s="2" t="s">
        <v>1185</v>
      </c>
      <c r="U847" s="2" t="b">
        <v>1</v>
      </c>
      <c r="V847" s="5">
        <v>0.0087</v>
      </c>
      <c r="W847" s="5">
        <v>0.03</v>
      </c>
      <c r="X847" s="5">
        <v>2.62E-4</v>
      </c>
      <c r="Y847" s="2">
        <v>91.90690691</v>
      </c>
      <c r="AA847" s="2" t="s">
        <v>33</v>
      </c>
    </row>
    <row r="848">
      <c r="A848" s="2">
        <v>2273.0</v>
      </c>
      <c r="B848" s="2" t="s">
        <v>2507</v>
      </c>
      <c r="C848" s="2" t="s">
        <v>7</v>
      </c>
      <c r="D848" s="2" t="s">
        <v>2508</v>
      </c>
      <c r="E848" s="2" t="s">
        <v>2509</v>
      </c>
      <c r="F848" s="6">
        <v>45819.708333333336</v>
      </c>
      <c r="G848" s="2">
        <v>45229.0</v>
      </c>
      <c r="H848" s="2">
        <v>45229.0</v>
      </c>
      <c r="I848" s="2">
        <v>39194.0</v>
      </c>
      <c r="J848" s="2">
        <v>375.0</v>
      </c>
      <c r="K848" s="2">
        <v>307.0</v>
      </c>
      <c r="L848" s="2">
        <v>3.0</v>
      </c>
      <c r="M848" s="4">
        <v>4694.0</v>
      </c>
      <c r="N848" s="2" t="s">
        <v>30</v>
      </c>
      <c r="O848" s="2">
        <v>70.0</v>
      </c>
      <c r="P848" s="2" t="s">
        <v>31</v>
      </c>
      <c r="Q848" s="2" t="s">
        <v>32</v>
      </c>
      <c r="R848" s="2">
        <v>41.0</v>
      </c>
      <c r="U848" s="2" t="b">
        <v>0</v>
      </c>
      <c r="V848" s="5">
        <v>0.0078</v>
      </c>
      <c r="W848" s="5">
        <v>0.0098</v>
      </c>
      <c r="X848" s="5">
        <v>7.7E-5</v>
      </c>
      <c r="Y848" s="2">
        <v>15.28990228</v>
      </c>
      <c r="Z848" s="2">
        <v>2675.0</v>
      </c>
      <c r="AA848" s="2" t="s">
        <v>33</v>
      </c>
    </row>
    <row r="849">
      <c r="A849" s="2">
        <v>2279.0</v>
      </c>
      <c r="B849" s="2" t="s">
        <v>2510</v>
      </c>
      <c r="C849" s="2" t="s">
        <v>7</v>
      </c>
      <c r="D849" s="2" t="s">
        <v>2511</v>
      </c>
      <c r="E849" s="2" t="s">
        <v>2512</v>
      </c>
      <c r="F849" s="6">
        <v>45820.46527777778</v>
      </c>
      <c r="G849" s="2">
        <v>45488.0</v>
      </c>
      <c r="H849" s="2">
        <v>45488.0</v>
      </c>
      <c r="I849" s="2">
        <v>37995.0</v>
      </c>
      <c r="J849" s="2">
        <v>281.0</v>
      </c>
      <c r="K849" s="2">
        <v>236.0</v>
      </c>
      <c r="L849" s="2">
        <v>2.0</v>
      </c>
      <c r="M849" s="4">
        <v>9385.0</v>
      </c>
      <c r="N849" s="2" t="s">
        <v>36</v>
      </c>
      <c r="O849" s="2">
        <v>71.0</v>
      </c>
      <c r="P849" s="2" t="s">
        <v>31</v>
      </c>
      <c r="Q849" s="2" t="s">
        <v>32</v>
      </c>
      <c r="R849" s="2">
        <v>35.0</v>
      </c>
      <c r="T849" s="7" t="str">
        <f>IFERROR(__xludf.DUMMYFUNCTION("AI(""has offer Come X Pay X"",D849)"),"No")</f>
        <v>No</v>
      </c>
      <c r="U849" s="2" t="b">
        <v>0</v>
      </c>
      <c r="V849" s="5">
        <v>0.0062</v>
      </c>
      <c r="W849" s="5">
        <v>0.0085</v>
      </c>
      <c r="X849" s="5">
        <v>5.3E-5</v>
      </c>
      <c r="Y849" s="2">
        <v>39.76694915</v>
      </c>
      <c r="AA849" s="2" t="s">
        <v>33</v>
      </c>
    </row>
    <row r="850">
      <c r="A850" s="2">
        <v>2278.0</v>
      </c>
      <c r="B850" s="2" t="s">
        <v>2513</v>
      </c>
      <c r="C850" s="2" t="s">
        <v>7</v>
      </c>
      <c r="D850" s="2" t="s">
        <v>2514</v>
      </c>
      <c r="E850" s="2" t="s">
        <v>2515</v>
      </c>
      <c r="F850" s="6">
        <v>45820.46527777778</v>
      </c>
      <c r="G850" s="2">
        <v>59662.0</v>
      </c>
      <c r="H850" s="2">
        <v>59662.0</v>
      </c>
      <c r="I850" s="2">
        <v>51684.0</v>
      </c>
      <c r="J850" s="2">
        <v>491.0</v>
      </c>
      <c r="K850" s="2">
        <v>414.0</v>
      </c>
      <c r="L850" s="2">
        <v>5.0</v>
      </c>
      <c r="M850" s="4">
        <v>15232.0</v>
      </c>
      <c r="N850" s="2" t="s">
        <v>30</v>
      </c>
      <c r="O850" s="2">
        <v>70.0</v>
      </c>
      <c r="P850" s="2" t="s">
        <v>31</v>
      </c>
      <c r="Q850" s="2" t="s">
        <v>32</v>
      </c>
      <c r="R850" s="2">
        <v>42.0</v>
      </c>
      <c r="U850" s="2" t="b">
        <v>0</v>
      </c>
      <c r="V850" s="5">
        <v>0.008</v>
      </c>
      <c r="W850" s="5">
        <v>0.0121</v>
      </c>
      <c r="X850" s="5">
        <v>9.7E-5</v>
      </c>
      <c r="Y850" s="2">
        <v>36.79227053</v>
      </c>
      <c r="Z850" s="2">
        <v>3569.0</v>
      </c>
      <c r="AA850" s="2" t="s">
        <v>33</v>
      </c>
    </row>
    <row r="851">
      <c r="A851" s="2">
        <v>2281.0</v>
      </c>
      <c r="B851" s="2" t="s">
        <v>2516</v>
      </c>
      <c r="C851" s="2" t="s">
        <v>7</v>
      </c>
      <c r="D851" s="2" t="s">
        <v>2517</v>
      </c>
      <c r="E851" s="2" t="s">
        <v>2518</v>
      </c>
      <c r="F851" s="6">
        <v>45820.625</v>
      </c>
      <c r="G851" s="2">
        <v>45499.0</v>
      </c>
      <c r="H851" s="2">
        <v>45499.0</v>
      </c>
      <c r="I851" s="2">
        <v>38167.0</v>
      </c>
      <c r="J851" s="2">
        <v>261.0</v>
      </c>
      <c r="K851" s="2">
        <v>210.0</v>
      </c>
      <c r="L851" s="2">
        <v>5.0</v>
      </c>
      <c r="M851" s="4">
        <v>13446.0</v>
      </c>
      <c r="N851" s="2" t="s">
        <v>36</v>
      </c>
      <c r="O851" s="2">
        <v>71.0</v>
      </c>
      <c r="P851" s="2" t="s">
        <v>31</v>
      </c>
      <c r="Q851" s="2" t="s">
        <v>32</v>
      </c>
      <c r="R851" s="2">
        <v>44.0</v>
      </c>
      <c r="U851" s="2" t="b">
        <v>0</v>
      </c>
      <c r="V851" s="5">
        <v>0.0055</v>
      </c>
      <c r="W851" s="5">
        <v>0.0238</v>
      </c>
      <c r="X851" s="5">
        <v>1.31E-4</v>
      </c>
      <c r="Y851" s="2">
        <v>64.02857143</v>
      </c>
      <c r="AA851" s="2" t="s">
        <v>33</v>
      </c>
    </row>
    <row r="852">
      <c r="A852" s="2">
        <v>2280.0</v>
      </c>
      <c r="B852" s="2" t="s">
        <v>2519</v>
      </c>
      <c r="C852" s="2" t="s">
        <v>7</v>
      </c>
      <c r="D852" s="2" t="s">
        <v>2520</v>
      </c>
      <c r="E852" s="2" t="s">
        <v>2521</v>
      </c>
      <c r="F852" s="6">
        <v>45820.625</v>
      </c>
      <c r="G852" s="2">
        <v>59680.0</v>
      </c>
      <c r="H852" s="2">
        <v>59680.0</v>
      </c>
      <c r="I852" s="2">
        <v>51838.0</v>
      </c>
      <c r="J852" s="2">
        <v>326.0</v>
      </c>
      <c r="K852" s="2">
        <v>256.0</v>
      </c>
      <c r="L852" s="2">
        <v>4.0</v>
      </c>
      <c r="M852" s="4">
        <v>3764.0</v>
      </c>
      <c r="N852" s="2" t="s">
        <v>30</v>
      </c>
      <c r="O852" s="2">
        <v>70.0</v>
      </c>
      <c r="P852" s="2" t="s">
        <v>31</v>
      </c>
      <c r="Q852" s="2" t="s">
        <v>32</v>
      </c>
      <c r="R852" s="2">
        <v>35.0</v>
      </c>
      <c r="U852" s="2" t="b">
        <v>0</v>
      </c>
      <c r="V852" s="5">
        <v>0.0049</v>
      </c>
      <c r="W852" s="5">
        <v>0.0156</v>
      </c>
      <c r="X852" s="5">
        <v>7.7E-5</v>
      </c>
      <c r="Y852" s="2">
        <v>14.703125</v>
      </c>
      <c r="Z852" s="2">
        <v>4195.0</v>
      </c>
      <c r="AA852" s="2" t="s">
        <v>33</v>
      </c>
    </row>
    <row r="853">
      <c r="A853" s="2">
        <v>2283.0</v>
      </c>
      <c r="B853" s="2" t="s">
        <v>2522</v>
      </c>
      <c r="C853" s="2" t="s">
        <v>7</v>
      </c>
      <c r="D853" s="2" t="s">
        <v>2523</v>
      </c>
      <c r="E853" s="2" t="s">
        <v>2524</v>
      </c>
      <c r="F853" s="6">
        <v>45820.708333333336</v>
      </c>
      <c r="G853" s="2">
        <v>45513.0</v>
      </c>
      <c r="H853" s="2">
        <v>45513.0</v>
      </c>
      <c r="I853" s="2">
        <v>38209.0</v>
      </c>
      <c r="J853" s="2">
        <v>281.0</v>
      </c>
      <c r="K853" s="2">
        <v>219.0</v>
      </c>
      <c r="L853" s="2">
        <v>4.0</v>
      </c>
      <c r="M853" s="4">
        <v>9746.0</v>
      </c>
      <c r="N853" s="2" t="s">
        <v>36</v>
      </c>
      <c r="O853" s="2">
        <v>71.0</v>
      </c>
      <c r="P853" s="2" t="s">
        <v>31</v>
      </c>
      <c r="Q853" s="2" t="s">
        <v>32</v>
      </c>
      <c r="R853" s="2">
        <v>25.0</v>
      </c>
      <c r="U853" s="2" t="b">
        <v>0</v>
      </c>
      <c r="V853" s="5">
        <v>0.0057</v>
      </c>
      <c r="W853" s="5">
        <v>0.0183</v>
      </c>
      <c r="X853" s="5">
        <v>1.05E-4</v>
      </c>
      <c r="Y853" s="2">
        <v>44.50228311</v>
      </c>
      <c r="AA853" s="2" t="s">
        <v>33</v>
      </c>
    </row>
    <row r="854">
      <c r="A854" s="2">
        <v>2282.0</v>
      </c>
      <c r="B854" s="2" t="s">
        <v>2525</v>
      </c>
      <c r="C854" s="2" t="s">
        <v>7</v>
      </c>
      <c r="D854" s="2" t="s">
        <v>2526</v>
      </c>
      <c r="E854" s="2" t="s">
        <v>2527</v>
      </c>
      <c r="F854" s="6">
        <v>45820.708333333336</v>
      </c>
      <c r="G854" s="2">
        <v>59705.0</v>
      </c>
      <c r="H854" s="2">
        <v>59705.0</v>
      </c>
      <c r="I854" s="2">
        <v>51789.0</v>
      </c>
      <c r="J854" s="2">
        <v>401.0</v>
      </c>
      <c r="K854" s="2">
        <v>326.0</v>
      </c>
      <c r="L854" s="2">
        <v>7.0</v>
      </c>
      <c r="M854" s="4">
        <v>11945.0</v>
      </c>
      <c r="N854" s="2" t="s">
        <v>30</v>
      </c>
      <c r="O854" s="2">
        <v>70.0</v>
      </c>
      <c r="P854" s="2" t="s">
        <v>31</v>
      </c>
      <c r="Q854" s="2" t="s">
        <v>32</v>
      </c>
      <c r="R854" s="2">
        <v>24.0</v>
      </c>
      <c r="T854" s="2" t="s">
        <v>47</v>
      </c>
      <c r="U854" s="2" t="b">
        <v>0</v>
      </c>
      <c r="V854" s="5">
        <v>0.0063</v>
      </c>
      <c r="W854" s="5">
        <v>0.0215</v>
      </c>
      <c r="X854" s="5">
        <v>1.35E-4</v>
      </c>
      <c r="Y854" s="2">
        <v>36.64110429</v>
      </c>
      <c r="Z854" s="2">
        <v>5753.0</v>
      </c>
      <c r="AA854" s="2" t="s">
        <v>33</v>
      </c>
    </row>
    <row r="855">
      <c r="A855" s="2">
        <v>2284.0</v>
      </c>
      <c r="B855" s="2" t="s">
        <v>2528</v>
      </c>
      <c r="C855" s="2" t="s">
        <v>7</v>
      </c>
      <c r="D855" s="2" t="s">
        <v>2529</v>
      </c>
      <c r="E855" s="2" t="s">
        <v>2530</v>
      </c>
      <c r="F855" s="6">
        <v>45821.46875</v>
      </c>
      <c r="G855" s="2">
        <v>59682.0</v>
      </c>
      <c r="H855" s="2">
        <v>59682.0</v>
      </c>
      <c r="I855" s="2">
        <v>51684.0</v>
      </c>
      <c r="J855" s="2">
        <v>607.0</v>
      </c>
      <c r="K855" s="2">
        <v>479.0</v>
      </c>
      <c r="L855" s="2">
        <v>10.0</v>
      </c>
      <c r="M855" s="4">
        <v>19229.0</v>
      </c>
      <c r="N855" s="2" t="s">
        <v>30</v>
      </c>
      <c r="O855" s="2">
        <v>70.0</v>
      </c>
      <c r="P855" s="2" t="s">
        <v>31</v>
      </c>
      <c r="Q855" s="2" t="s">
        <v>32</v>
      </c>
      <c r="R855" s="2">
        <v>41.0</v>
      </c>
      <c r="T855" s="2" t="s">
        <v>58</v>
      </c>
      <c r="U855" s="2" t="b">
        <v>0</v>
      </c>
      <c r="V855" s="5">
        <v>0.0093</v>
      </c>
      <c r="W855" s="5">
        <v>0.0209</v>
      </c>
      <c r="X855" s="5">
        <v>1.93E-4</v>
      </c>
      <c r="Y855" s="2">
        <v>40.1440501</v>
      </c>
      <c r="Z855" s="2">
        <v>3949.0</v>
      </c>
      <c r="AA855" s="2" t="s">
        <v>33</v>
      </c>
    </row>
    <row r="856">
      <c r="A856" s="2">
        <v>2285.0</v>
      </c>
      <c r="B856" s="2" t="s">
        <v>2531</v>
      </c>
      <c r="C856" s="2" t="s">
        <v>7</v>
      </c>
      <c r="D856" s="2" t="s">
        <v>2532</v>
      </c>
      <c r="E856" s="2" t="s">
        <v>2533</v>
      </c>
      <c r="F856" s="6">
        <v>45821.475694444445</v>
      </c>
      <c r="G856" s="2">
        <v>45496.0</v>
      </c>
      <c r="H856" s="2">
        <v>45496.0</v>
      </c>
      <c r="I856" s="2">
        <v>37996.0</v>
      </c>
      <c r="J856" s="2">
        <v>338.0</v>
      </c>
      <c r="K856" s="2">
        <v>273.0</v>
      </c>
      <c r="L856" s="2">
        <v>10.0</v>
      </c>
      <c r="M856" s="4">
        <v>17718.0</v>
      </c>
      <c r="N856" s="2" t="s">
        <v>36</v>
      </c>
      <c r="O856" s="2">
        <v>71.0</v>
      </c>
      <c r="P856" s="2" t="s">
        <v>31</v>
      </c>
      <c r="Q856" s="2" t="s">
        <v>32</v>
      </c>
      <c r="R856" s="2">
        <v>34.0</v>
      </c>
      <c r="T856" s="2" t="s">
        <v>58</v>
      </c>
      <c r="U856" s="2" t="b">
        <v>1</v>
      </c>
      <c r="V856" s="5">
        <v>0.0072</v>
      </c>
      <c r="W856" s="5">
        <v>0.0366</v>
      </c>
      <c r="X856" s="5">
        <v>2.63E-4</v>
      </c>
      <c r="Y856" s="2">
        <v>64.9010989</v>
      </c>
      <c r="AA856" s="2" t="s">
        <v>33</v>
      </c>
    </row>
    <row r="857">
      <c r="A857" s="2">
        <v>2286.0</v>
      </c>
      <c r="B857" s="2" t="s">
        <v>2534</v>
      </c>
      <c r="C857" s="2" t="s">
        <v>7</v>
      </c>
      <c r="D857" s="2" t="s">
        <v>2535</v>
      </c>
      <c r="E857" s="2" t="s">
        <v>2536</v>
      </c>
      <c r="F857" s="6">
        <v>45821.62708333333</v>
      </c>
      <c r="G857" s="2">
        <v>59688.0</v>
      </c>
      <c r="H857" s="2">
        <v>59688.0</v>
      </c>
      <c r="I857" s="2">
        <v>51776.0</v>
      </c>
      <c r="J857" s="2">
        <v>326.0</v>
      </c>
      <c r="K857" s="2">
        <v>265.0</v>
      </c>
      <c r="L857" s="2">
        <v>5.0</v>
      </c>
      <c r="M857" s="4">
        <v>11200.0</v>
      </c>
      <c r="N857" s="2" t="s">
        <v>30</v>
      </c>
      <c r="O857" s="2">
        <v>70.0</v>
      </c>
      <c r="P857" s="2" t="s">
        <v>31</v>
      </c>
      <c r="Q857" s="2" t="s">
        <v>32</v>
      </c>
      <c r="R857" s="2">
        <v>44.0</v>
      </c>
      <c r="T857" s="2" t="s">
        <v>162</v>
      </c>
      <c r="U857" s="2" t="b">
        <v>0</v>
      </c>
      <c r="V857" s="5">
        <v>0.0051</v>
      </c>
      <c r="W857" s="5">
        <v>0.0189</v>
      </c>
      <c r="X857" s="5">
        <v>9.7E-5</v>
      </c>
      <c r="Y857" s="2">
        <v>42.26415094</v>
      </c>
      <c r="Z857" s="2">
        <v>5531.0</v>
      </c>
      <c r="AA857" s="2" t="s">
        <v>33</v>
      </c>
    </row>
    <row r="858">
      <c r="A858" s="2">
        <v>2287.0</v>
      </c>
      <c r="B858" s="2" t="s">
        <v>2537</v>
      </c>
      <c r="C858" s="2" t="s">
        <v>7</v>
      </c>
      <c r="D858" s="2" t="s">
        <v>2538</v>
      </c>
      <c r="E858" s="2" t="s">
        <v>2539</v>
      </c>
      <c r="F858" s="6">
        <v>45821.62986111111</v>
      </c>
      <c r="G858" s="2">
        <v>45505.0</v>
      </c>
      <c r="H858" s="2">
        <v>45505.0</v>
      </c>
      <c r="I858" s="2">
        <v>38200.0</v>
      </c>
      <c r="J858" s="2">
        <v>216.0</v>
      </c>
      <c r="K858" s="2">
        <v>174.0</v>
      </c>
      <c r="L858" s="2">
        <v>0.0</v>
      </c>
      <c r="M858" s="2">
        <v>0.0</v>
      </c>
      <c r="N858" s="2" t="s">
        <v>36</v>
      </c>
      <c r="O858" s="2">
        <v>71.0</v>
      </c>
      <c r="P858" s="2" t="s">
        <v>31</v>
      </c>
      <c r="Q858" s="2" t="s">
        <v>32</v>
      </c>
      <c r="R858" s="2">
        <v>44.0</v>
      </c>
      <c r="T858" s="2" t="s">
        <v>47</v>
      </c>
      <c r="U858" s="2" t="b">
        <v>0</v>
      </c>
      <c r="V858" s="5">
        <v>0.0046</v>
      </c>
      <c r="W858" s="5">
        <v>0.0</v>
      </c>
      <c r="X858" s="5">
        <v>0.0</v>
      </c>
      <c r="Y858" s="2">
        <v>0.0</v>
      </c>
      <c r="AA858" s="2" t="s">
        <v>33</v>
      </c>
    </row>
    <row r="859">
      <c r="A859" s="2">
        <v>2289.0</v>
      </c>
      <c r="B859" s="2" t="s">
        <v>2540</v>
      </c>
      <c r="C859" s="2" t="s">
        <v>7</v>
      </c>
      <c r="D859" s="2" t="s">
        <v>2541</v>
      </c>
      <c r="E859" s="2" t="s">
        <v>2542</v>
      </c>
      <c r="F859" s="6">
        <v>45821.708333333336</v>
      </c>
      <c r="G859" s="2">
        <v>45512.0</v>
      </c>
      <c r="H859" s="2">
        <v>45512.0</v>
      </c>
      <c r="I859" s="2">
        <v>38163.0</v>
      </c>
      <c r="J859" s="2">
        <v>243.0</v>
      </c>
      <c r="K859" s="2">
        <v>195.0</v>
      </c>
      <c r="L859" s="2">
        <v>2.0</v>
      </c>
      <c r="M859" s="4">
        <v>5541.0</v>
      </c>
      <c r="N859" s="2" t="s">
        <v>36</v>
      </c>
      <c r="O859" s="2">
        <v>71.0</v>
      </c>
      <c r="P859" s="2" t="s">
        <v>31</v>
      </c>
      <c r="Q859" s="2" t="s">
        <v>32</v>
      </c>
      <c r="R859" s="2">
        <v>35.0</v>
      </c>
      <c r="U859" s="2" t="b">
        <v>0</v>
      </c>
      <c r="V859" s="5">
        <v>0.0051</v>
      </c>
      <c r="W859" s="5">
        <v>0.0103</v>
      </c>
      <c r="X859" s="5">
        <v>5.2E-5</v>
      </c>
      <c r="Y859" s="2">
        <v>28.41538462</v>
      </c>
      <c r="AA859" s="2" t="s">
        <v>33</v>
      </c>
    </row>
    <row r="860">
      <c r="A860" s="2">
        <v>2288.0</v>
      </c>
      <c r="B860" s="2" t="s">
        <v>2543</v>
      </c>
      <c r="C860" s="2" t="s">
        <v>7</v>
      </c>
      <c r="D860" s="2" t="s">
        <v>2544</v>
      </c>
      <c r="E860" s="2" t="s">
        <v>2545</v>
      </c>
      <c r="F860" s="6">
        <v>45821.708333333336</v>
      </c>
      <c r="G860" s="2">
        <v>59706.0</v>
      </c>
      <c r="H860" s="2">
        <v>59706.0</v>
      </c>
      <c r="I860" s="2">
        <v>51829.0</v>
      </c>
      <c r="J860" s="2">
        <v>257.0</v>
      </c>
      <c r="K860" s="2">
        <v>197.0</v>
      </c>
      <c r="L860" s="2">
        <v>1.0</v>
      </c>
      <c r="M860" s="4">
        <v>2990.0</v>
      </c>
      <c r="N860" s="2" t="s">
        <v>30</v>
      </c>
      <c r="O860" s="2">
        <v>70.0</v>
      </c>
      <c r="P860" s="2" t="s">
        <v>31</v>
      </c>
      <c r="Q860" s="2" t="s">
        <v>32</v>
      </c>
      <c r="R860" s="2">
        <v>29.0</v>
      </c>
      <c r="T860" s="7" t="str">
        <f>IFERROR(__xludf.DUMMYFUNCTION("AI(""has offer Come X Pay X"",D860)"),"X Money digital payment platform")</f>
        <v>X Money digital payment platform</v>
      </c>
      <c r="U860" s="2" t="b">
        <v>0</v>
      </c>
      <c r="V860" s="5">
        <v>0.0038</v>
      </c>
      <c r="W860" s="5">
        <v>0.0051</v>
      </c>
      <c r="X860" s="5">
        <v>1.9E-5</v>
      </c>
      <c r="Y860" s="2">
        <v>15.17766497</v>
      </c>
      <c r="AA860" s="2" t="s">
        <v>33</v>
      </c>
    </row>
    <row r="861">
      <c r="A861" s="2">
        <v>2291.0</v>
      </c>
      <c r="B861" s="2" t="s">
        <v>2546</v>
      </c>
      <c r="C861" s="2" t="s">
        <v>7</v>
      </c>
      <c r="D861" s="2" t="s">
        <v>2547</v>
      </c>
      <c r="E861" s="2" t="s">
        <v>2548</v>
      </c>
      <c r="F861" s="6">
        <v>45822.458333333336</v>
      </c>
      <c r="G861" s="2">
        <v>45541.0</v>
      </c>
      <c r="H861" s="2">
        <v>45541.0</v>
      </c>
      <c r="I861" s="2">
        <v>37829.0</v>
      </c>
      <c r="J861" s="2">
        <v>268.0</v>
      </c>
      <c r="K861" s="2">
        <v>219.0</v>
      </c>
      <c r="L861" s="2">
        <v>9.0</v>
      </c>
      <c r="M861" s="4">
        <v>30639.0</v>
      </c>
      <c r="N861" s="2" t="s">
        <v>36</v>
      </c>
      <c r="O861" s="2">
        <v>71.0</v>
      </c>
      <c r="P861" s="2" t="s">
        <v>31</v>
      </c>
      <c r="Q861" s="2" t="s">
        <v>32</v>
      </c>
      <c r="R861" s="2">
        <v>31.0</v>
      </c>
      <c r="U861" s="2" t="b">
        <v>0</v>
      </c>
      <c r="V861" s="5">
        <v>0.0058</v>
      </c>
      <c r="W861" s="5">
        <v>0.0411</v>
      </c>
      <c r="X861" s="5">
        <v>2.38E-4</v>
      </c>
      <c r="Y861" s="2">
        <v>139.9041096</v>
      </c>
      <c r="AA861" s="2" t="s">
        <v>33</v>
      </c>
    </row>
    <row r="862">
      <c r="A862" s="2">
        <v>2290.0</v>
      </c>
      <c r="B862" s="2" t="s">
        <v>2549</v>
      </c>
      <c r="C862" s="2" t="s">
        <v>7</v>
      </c>
      <c r="D862" s="2" t="s">
        <v>2550</v>
      </c>
      <c r="E862" s="2" t="s">
        <v>2551</v>
      </c>
      <c r="F862" s="6">
        <v>45822.458333333336</v>
      </c>
      <c r="G862" s="2">
        <v>59779.0</v>
      </c>
      <c r="H862" s="2">
        <v>59779.0</v>
      </c>
      <c r="I862" s="2">
        <v>51558.0</v>
      </c>
      <c r="J862" s="2">
        <v>372.0</v>
      </c>
      <c r="K862" s="2">
        <v>299.0</v>
      </c>
      <c r="L862" s="2">
        <v>1.0</v>
      </c>
      <c r="M862" s="2">
        <v>798.0</v>
      </c>
      <c r="N862" s="2" t="s">
        <v>30</v>
      </c>
      <c r="O862" s="2">
        <v>70.0</v>
      </c>
      <c r="P862" s="2" t="s">
        <v>31</v>
      </c>
      <c r="Q862" s="2" t="s">
        <v>32</v>
      </c>
      <c r="R862" s="2">
        <v>37.0</v>
      </c>
      <c r="T862" s="2" t="s">
        <v>47</v>
      </c>
      <c r="U862" s="2" t="b">
        <v>0</v>
      </c>
      <c r="V862" s="5">
        <v>0.0058</v>
      </c>
      <c r="W862" s="5">
        <v>0.0033</v>
      </c>
      <c r="X862" s="5">
        <v>1.9E-5</v>
      </c>
      <c r="Y862" s="2">
        <v>2.668896321</v>
      </c>
      <c r="Z862" s="2" t="s">
        <v>122</v>
      </c>
      <c r="AA862" s="2" t="s">
        <v>33</v>
      </c>
    </row>
    <row r="863">
      <c r="A863" s="2">
        <v>2293.0</v>
      </c>
      <c r="B863" s="2" t="s">
        <v>2552</v>
      </c>
      <c r="C863" s="2" t="s">
        <v>7</v>
      </c>
      <c r="D863" s="2" t="s">
        <v>2553</v>
      </c>
      <c r="E863" s="2" t="s">
        <v>2554</v>
      </c>
      <c r="F863" s="6">
        <v>45822.625</v>
      </c>
      <c r="G863" s="2">
        <v>45564.0</v>
      </c>
      <c r="H863" s="2">
        <v>45564.0</v>
      </c>
      <c r="I863" s="2">
        <v>38195.0</v>
      </c>
      <c r="J863" s="2">
        <v>293.0</v>
      </c>
      <c r="K863" s="2">
        <v>230.0</v>
      </c>
      <c r="L863" s="2">
        <v>4.0</v>
      </c>
      <c r="M863" s="4">
        <v>23349.0</v>
      </c>
      <c r="N863" s="2" t="s">
        <v>36</v>
      </c>
      <c r="O863" s="2">
        <v>71.0</v>
      </c>
      <c r="P863" s="2" t="s">
        <v>31</v>
      </c>
      <c r="Q863" s="2" t="s">
        <v>32</v>
      </c>
      <c r="R863" s="2">
        <v>30.0</v>
      </c>
      <c r="U863" s="2" t="b">
        <v>0</v>
      </c>
      <c r="V863" s="5">
        <v>0.006</v>
      </c>
      <c r="W863" s="5">
        <v>0.0174</v>
      </c>
      <c r="X863" s="5">
        <v>1.05E-4</v>
      </c>
      <c r="Y863" s="2">
        <v>101.5173913</v>
      </c>
      <c r="AA863" s="2" t="s">
        <v>33</v>
      </c>
    </row>
    <row r="864">
      <c r="A864" s="2">
        <v>2292.0</v>
      </c>
      <c r="B864" s="2" t="s">
        <v>2555</v>
      </c>
      <c r="C864" s="2" t="s">
        <v>7</v>
      </c>
      <c r="D864" s="2" t="s">
        <v>2556</v>
      </c>
      <c r="E864" s="2" t="s">
        <v>2557</v>
      </c>
      <c r="F864" s="6">
        <v>45822.625</v>
      </c>
      <c r="G864" s="2">
        <v>59833.0</v>
      </c>
      <c r="H864" s="2">
        <v>59833.0</v>
      </c>
      <c r="I864" s="2">
        <v>51907.0</v>
      </c>
      <c r="J864" s="2">
        <v>324.0</v>
      </c>
      <c r="K864" s="2">
        <v>253.0</v>
      </c>
      <c r="L864" s="2">
        <v>3.0</v>
      </c>
      <c r="M864" s="4">
        <v>11060.0</v>
      </c>
      <c r="N864" s="2" t="s">
        <v>30</v>
      </c>
      <c r="O864" s="2">
        <v>70.0</v>
      </c>
      <c r="P864" s="2" t="s">
        <v>31</v>
      </c>
      <c r="Q864" s="2" t="s">
        <v>32</v>
      </c>
      <c r="R864" s="2">
        <v>25.0</v>
      </c>
      <c r="U864" s="2" t="b">
        <v>0</v>
      </c>
      <c r="V864" s="5">
        <v>0.0049</v>
      </c>
      <c r="W864" s="5">
        <v>0.0119</v>
      </c>
      <c r="X864" s="5">
        <v>5.8E-5</v>
      </c>
      <c r="Y864" s="2">
        <v>43.71541502</v>
      </c>
      <c r="Z864" s="2">
        <v>2536.0</v>
      </c>
      <c r="AA864" s="2" t="s">
        <v>33</v>
      </c>
    </row>
    <row r="865">
      <c r="A865" s="2">
        <v>2295.0</v>
      </c>
      <c r="B865" s="2" t="s">
        <v>2558</v>
      </c>
      <c r="C865" s="2" t="s">
        <v>7</v>
      </c>
      <c r="D865" s="2" t="s">
        <v>2559</v>
      </c>
      <c r="E865" s="2" t="s">
        <v>2560</v>
      </c>
      <c r="F865" s="6">
        <v>45822.708333333336</v>
      </c>
      <c r="G865" s="2">
        <v>45571.0</v>
      </c>
      <c r="H865" s="2">
        <v>45571.0</v>
      </c>
      <c r="I865" s="2">
        <v>38188.0</v>
      </c>
      <c r="J865" s="2">
        <v>302.0</v>
      </c>
      <c r="K865" s="2">
        <v>240.0</v>
      </c>
      <c r="L865" s="2">
        <v>7.0</v>
      </c>
      <c r="M865" s="4">
        <v>14465.0</v>
      </c>
      <c r="N865" s="2" t="s">
        <v>36</v>
      </c>
      <c r="O865" s="2">
        <v>71.0</v>
      </c>
      <c r="P865" s="2" t="s">
        <v>31</v>
      </c>
      <c r="Q865" s="2" t="s">
        <v>32</v>
      </c>
      <c r="R865" s="2">
        <v>27.0</v>
      </c>
      <c r="T865" s="2" t="s">
        <v>47</v>
      </c>
      <c r="U865" s="2" t="b">
        <v>0</v>
      </c>
      <c r="V865" s="5">
        <v>0.0063</v>
      </c>
      <c r="W865" s="5">
        <v>0.0292</v>
      </c>
      <c r="X865" s="5">
        <v>1.83E-4</v>
      </c>
      <c r="Y865" s="2">
        <v>60.27083333</v>
      </c>
      <c r="AA865" s="2" t="s">
        <v>33</v>
      </c>
    </row>
    <row r="866">
      <c r="A866" s="2">
        <v>2294.0</v>
      </c>
      <c r="B866" s="2" t="s">
        <v>2561</v>
      </c>
      <c r="C866" s="2" t="s">
        <v>7</v>
      </c>
      <c r="D866" s="2" t="s">
        <v>2562</v>
      </c>
      <c r="E866" s="2" t="s">
        <v>2563</v>
      </c>
      <c r="F866" s="6">
        <v>45822.708333333336</v>
      </c>
      <c r="G866" s="2">
        <v>59854.0</v>
      </c>
      <c r="H866" s="2">
        <v>59854.0</v>
      </c>
      <c r="I866" s="2">
        <v>51852.0</v>
      </c>
      <c r="J866" s="2">
        <v>352.0</v>
      </c>
      <c r="K866" s="2">
        <v>286.0</v>
      </c>
      <c r="L866" s="2">
        <v>7.0</v>
      </c>
      <c r="M866" s="4">
        <v>11329.0</v>
      </c>
      <c r="N866" s="2" t="s">
        <v>30</v>
      </c>
      <c r="O866" s="2">
        <v>70.0</v>
      </c>
      <c r="P866" s="2" t="s">
        <v>31</v>
      </c>
      <c r="Q866" s="2" t="s">
        <v>32</v>
      </c>
      <c r="R866" s="2">
        <v>29.0</v>
      </c>
      <c r="T866" s="2" t="s">
        <v>2564</v>
      </c>
      <c r="U866" s="2" t="b">
        <v>0</v>
      </c>
      <c r="V866" s="5">
        <v>0.0055</v>
      </c>
      <c r="W866" s="5">
        <v>0.0245</v>
      </c>
      <c r="X866" s="5">
        <v>1.35E-4</v>
      </c>
      <c r="Y866" s="2">
        <v>39.61188811</v>
      </c>
      <c r="Z866" s="2">
        <v>5976.0</v>
      </c>
      <c r="AA866" s="2" t="s">
        <v>33</v>
      </c>
    </row>
    <row r="867">
      <c r="A867" s="2">
        <v>2297.0</v>
      </c>
      <c r="B867" s="2" t="s">
        <v>2565</v>
      </c>
      <c r="C867" s="2" t="s">
        <v>7</v>
      </c>
      <c r="D867" s="2" t="s">
        <v>2566</v>
      </c>
      <c r="E867" s="2" t="s">
        <v>2567</v>
      </c>
      <c r="F867" s="6">
        <v>45823.458333333336</v>
      </c>
      <c r="G867" s="2">
        <v>45578.0</v>
      </c>
      <c r="H867" s="2">
        <v>45578.0</v>
      </c>
      <c r="I867" s="2">
        <v>37938.0</v>
      </c>
      <c r="J867" s="2">
        <v>274.0</v>
      </c>
      <c r="K867" s="2">
        <v>214.0</v>
      </c>
      <c r="L867" s="2">
        <v>5.0</v>
      </c>
      <c r="M867" s="4">
        <v>21146.0</v>
      </c>
      <c r="N867" s="2" t="s">
        <v>36</v>
      </c>
      <c r="O867" s="2">
        <v>71.0</v>
      </c>
      <c r="P867" s="2" t="s">
        <v>31</v>
      </c>
      <c r="Q867" s="2" t="s">
        <v>32</v>
      </c>
      <c r="R867" s="2">
        <v>27.0</v>
      </c>
      <c r="T867" s="2" t="s">
        <v>143</v>
      </c>
      <c r="U867" s="2" t="b">
        <v>1</v>
      </c>
      <c r="V867" s="5">
        <v>0.0056</v>
      </c>
      <c r="W867" s="5">
        <v>0.0234</v>
      </c>
      <c r="X867" s="5">
        <v>1.32E-4</v>
      </c>
      <c r="Y867" s="2">
        <v>98.81308411</v>
      </c>
      <c r="AA867" s="2" t="s">
        <v>33</v>
      </c>
    </row>
    <row r="868">
      <c r="A868" s="2">
        <v>2296.0</v>
      </c>
      <c r="B868" s="2" t="s">
        <v>2568</v>
      </c>
      <c r="C868" s="2" t="s">
        <v>7</v>
      </c>
      <c r="D868" s="2" t="s">
        <v>2569</v>
      </c>
      <c r="E868" s="2" t="s">
        <v>2570</v>
      </c>
      <c r="F868" s="6">
        <v>45823.458333333336</v>
      </c>
      <c r="G868" s="2">
        <v>59799.0</v>
      </c>
      <c r="H868" s="2">
        <v>59799.0</v>
      </c>
      <c r="I868" s="2">
        <v>51622.0</v>
      </c>
      <c r="J868" s="2">
        <v>358.0</v>
      </c>
      <c r="K868" s="2">
        <v>282.0</v>
      </c>
      <c r="L868" s="2">
        <v>5.0</v>
      </c>
      <c r="M868" s="4">
        <v>9730.0</v>
      </c>
      <c r="N868" s="2" t="s">
        <v>30</v>
      </c>
      <c r="O868" s="2">
        <v>70.0</v>
      </c>
      <c r="P868" s="2" t="s">
        <v>31</v>
      </c>
      <c r="Q868" s="2" t="s">
        <v>32</v>
      </c>
      <c r="R868" s="2">
        <v>23.0</v>
      </c>
      <c r="U868" s="2" t="b">
        <v>0</v>
      </c>
      <c r="V868" s="5">
        <v>0.0055</v>
      </c>
      <c r="W868" s="5">
        <v>0.0177</v>
      </c>
      <c r="X868" s="5">
        <v>9.7E-5</v>
      </c>
      <c r="Y868" s="2">
        <v>34.5035461</v>
      </c>
      <c r="Z868" s="2">
        <v>5685.0</v>
      </c>
      <c r="AA868" s="2" t="s">
        <v>33</v>
      </c>
    </row>
    <row r="869">
      <c r="A869" s="2">
        <v>2299.0</v>
      </c>
      <c r="B869" s="2" t="s">
        <v>2571</v>
      </c>
      <c r="C869" s="2" t="s">
        <v>7</v>
      </c>
      <c r="D869" s="2" t="s">
        <v>2572</v>
      </c>
      <c r="E869" s="2" t="s">
        <v>2573</v>
      </c>
      <c r="F869" s="6">
        <v>45823.625</v>
      </c>
      <c r="G869" s="2">
        <v>45577.0</v>
      </c>
      <c r="H869" s="2">
        <v>45577.0</v>
      </c>
      <c r="I869" s="2">
        <v>38192.0</v>
      </c>
      <c r="J869" s="2">
        <v>246.0</v>
      </c>
      <c r="K869" s="2">
        <v>183.0</v>
      </c>
      <c r="L869" s="2">
        <v>2.0</v>
      </c>
      <c r="M869" s="4">
        <v>3470.0</v>
      </c>
      <c r="N869" s="2" t="s">
        <v>36</v>
      </c>
      <c r="O869" s="2">
        <v>71.0</v>
      </c>
      <c r="P869" s="2" t="s">
        <v>31</v>
      </c>
      <c r="Q869" s="2" t="s">
        <v>32</v>
      </c>
      <c r="R869" s="2">
        <v>37.0</v>
      </c>
      <c r="U869" s="2" t="b">
        <v>1</v>
      </c>
      <c r="V869" s="5">
        <v>0.0048</v>
      </c>
      <c r="W869" s="5">
        <v>0.0109</v>
      </c>
      <c r="X869" s="5">
        <v>5.2E-5</v>
      </c>
      <c r="Y869" s="2">
        <v>18.96174863</v>
      </c>
      <c r="AA869" s="2" t="s">
        <v>33</v>
      </c>
    </row>
    <row r="870">
      <c r="A870" s="2">
        <v>2298.0</v>
      </c>
      <c r="B870" s="2" t="s">
        <v>2574</v>
      </c>
      <c r="C870" s="2" t="s">
        <v>7</v>
      </c>
      <c r="D870" s="2" t="s">
        <v>2575</v>
      </c>
      <c r="E870" s="2" t="s">
        <v>2576</v>
      </c>
      <c r="F870" s="6">
        <v>45823.625</v>
      </c>
      <c r="G870" s="2">
        <v>59815.0</v>
      </c>
      <c r="H870" s="2">
        <v>59815.0</v>
      </c>
      <c r="I870" s="2">
        <v>51924.0</v>
      </c>
      <c r="J870" s="2">
        <v>302.0</v>
      </c>
      <c r="K870" s="2">
        <v>235.0</v>
      </c>
      <c r="L870" s="2">
        <v>1.0</v>
      </c>
      <c r="M870" s="4">
        <v>4996.0</v>
      </c>
      <c r="N870" s="2" t="s">
        <v>30</v>
      </c>
      <c r="O870" s="2">
        <v>70.0</v>
      </c>
      <c r="P870" s="2" t="s">
        <v>31</v>
      </c>
      <c r="Q870" s="2" t="s">
        <v>32</v>
      </c>
      <c r="R870" s="2">
        <v>36.0</v>
      </c>
      <c r="T870" s="2" t="s">
        <v>143</v>
      </c>
      <c r="U870" s="2" t="b">
        <v>0</v>
      </c>
      <c r="V870" s="5">
        <v>0.0045</v>
      </c>
      <c r="W870" s="5">
        <v>0.0043</v>
      </c>
      <c r="X870" s="5">
        <v>1.9E-5</v>
      </c>
      <c r="Y870" s="2">
        <v>21.25957447</v>
      </c>
      <c r="AA870" s="2" t="s">
        <v>33</v>
      </c>
    </row>
    <row r="871">
      <c r="A871" s="2">
        <v>2301.0</v>
      </c>
      <c r="B871" s="2" t="s">
        <v>2577</v>
      </c>
      <c r="C871" s="2" t="s">
        <v>7</v>
      </c>
      <c r="D871" s="2" t="s">
        <v>2578</v>
      </c>
      <c r="E871" s="2" t="s">
        <v>2579</v>
      </c>
      <c r="F871" s="6">
        <v>45823.708333333336</v>
      </c>
      <c r="G871" s="2">
        <v>45573.0</v>
      </c>
      <c r="H871" s="2">
        <v>45573.0</v>
      </c>
      <c r="I871" s="2">
        <v>38239.0</v>
      </c>
      <c r="J871" s="2">
        <v>307.0</v>
      </c>
      <c r="K871" s="2">
        <v>243.0</v>
      </c>
      <c r="L871" s="2">
        <v>5.0</v>
      </c>
      <c r="M871" s="4">
        <v>8477.0</v>
      </c>
      <c r="N871" s="2" t="s">
        <v>36</v>
      </c>
      <c r="O871" s="2">
        <v>71.0</v>
      </c>
      <c r="P871" s="2" t="s">
        <v>31</v>
      </c>
      <c r="Q871" s="2" t="s">
        <v>32</v>
      </c>
      <c r="R871" s="2">
        <v>40.0</v>
      </c>
      <c r="T871" s="2" t="s">
        <v>47</v>
      </c>
      <c r="U871" s="2" t="b">
        <v>0</v>
      </c>
      <c r="V871" s="5">
        <v>0.0064</v>
      </c>
      <c r="W871" s="5">
        <v>0.0206</v>
      </c>
      <c r="X871" s="5">
        <v>1.31E-4</v>
      </c>
      <c r="Y871" s="2">
        <v>34.88477366</v>
      </c>
      <c r="AA871" s="2" t="s">
        <v>33</v>
      </c>
    </row>
    <row r="872">
      <c r="A872" s="2">
        <v>2300.0</v>
      </c>
      <c r="B872" s="2" t="s">
        <v>2580</v>
      </c>
      <c r="C872" s="2" t="s">
        <v>7</v>
      </c>
      <c r="D872" s="2" t="s">
        <v>2581</v>
      </c>
      <c r="E872" s="2" t="s">
        <v>2582</v>
      </c>
      <c r="F872" s="6">
        <v>45823.708333333336</v>
      </c>
      <c r="G872" s="2">
        <v>59835.0</v>
      </c>
      <c r="H872" s="2">
        <v>59835.0</v>
      </c>
      <c r="I872" s="2">
        <v>51920.0</v>
      </c>
      <c r="J872" s="2">
        <v>383.0</v>
      </c>
      <c r="K872" s="2">
        <v>306.0</v>
      </c>
      <c r="L872" s="2">
        <v>5.0</v>
      </c>
      <c r="M872" s="4">
        <v>30112.0</v>
      </c>
      <c r="N872" s="2" t="s">
        <v>30</v>
      </c>
      <c r="O872" s="2">
        <v>70.0</v>
      </c>
      <c r="P872" s="2" t="s">
        <v>31</v>
      </c>
      <c r="Q872" s="2" t="s">
        <v>32</v>
      </c>
      <c r="R872" s="2">
        <v>37.0</v>
      </c>
      <c r="T872" s="2" t="s">
        <v>47</v>
      </c>
      <c r="U872" s="2" t="b">
        <v>0</v>
      </c>
      <c r="V872" s="5">
        <v>0.0059</v>
      </c>
      <c r="W872" s="5">
        <v>0.0163</v>
      </c>
      <c r="X872" s="5">
        <v>9.6E-5</v>
      </c>
      <c r="Y872" s="2">
        <v>98.40522876</v>
      </c>
      <c r="Z872" s="2">
        <v>5978.0</v>
      </c>
      <c r="AA872" s="2" t="s">
        <v>33</v>
      </c>
    </row>
    <row r="873">
      <c r="A873" s="2">
        <v>2305.0</v>
      </c>
      <c r="B873" s="2" t="s">
        <v>2583</v>
      </c>
      <c r="C873" s="2" t="s">
        <v>7</v>
      </c>
      <c r="D873" s="2" t="s">
        <v>2584</v>
      </c>
      <c r="E873" s="2" t="s">
        <v>2585</v>
      </c>
      <c r="F873" s="6">
        <v>45824.504166666666</v>
      </c>
      <c r="G873" s="2">
        <v>59742.0</v>
      </c>
      <c r="H873" s="2">
        <v>59742.0</v>
      </c>
      <c r="I873" s="2">
        <v>51922.0</v>
      </c>
      <c r="J873" s="2">
        <v>395.0</v>
      </c>
      <c r="K873" s="2">
        <v>322.0</v>
      </c>
      <c r="L873" s="2">
        <v>6.0</v>
      </c>
      <c r="M873" s="4">
        <v>21169.0</v>
      </c>
      <c r="N873" s="2" t="s">
        <v>30</v>
      </c>
      <c r="O873" s="2">
        <v>70.0</v>
      </c>
      <c r="P873" s="2" t="s">
        <v>31</v>
      </c>
      <c r="Q873" s="2" t="s">
        <v>32</v>
      </c>
      <c r="R873" s="2">
        <v>23.0</v>
      </c>
      <c r="T873" s="2" t="s">
        <v>405</v>
      </c>
      <c r="U873" s="2" t="b">
        <v>0</v>
      </c>
      <c r="V873" s="5">
        <v>0.0062</v>
      </c>
      <c r="W873" s="5">
        <v>0.0186</v>
      </c>
      <c r="X873" s="5">
        <v>1.16E-4</v>
      </c>
      <c r="Y873" s="2">
        <v>65.74223602</v>
      </c>
      <c r="Z873" s="2">
        <v>4263.0</v>
      </c>
      <c r="AA873" s="2" t="s">
        <v>33</v>
      </c>
    </row>
    <row r="874">
      <c r="A874" s="2">
        <v>2306.0</v>
      </c>
      <c r="B874" s="2" t="s">
        <v>2586</v>
      </c>
      <c r="C874" s="2" t="s">
        <v>7</v>
      </c>
      <c r="D874" s="2" t="s">
        <v>2587</v>
      </c>
      <c r="E874" s="2" t="s">
        <v>2588</v>
      </c>
      <c r="F874" s="6">
        <v>45824.50486111111</v>
      </c>
      <c r="G874" s="2">
        <v>45519.0</v>
      </c>
      <c r="H874" s="2">
        <v>45519.0</v>
      </c>
      <c r="I874" s="2">
        <v>38182.0</v>
      </c>
      <c r="J874" s="2">
        <v>296.0</v>
      </c>
      <c r="K874" s="2">
        <v>240.0</v>
      </c>
      <c r="L874" s="2">
        <v>2.0</v>
      </c>
      <c r="M874" s="4">
        <v>5648.0</v>
      </c>
      <c r="N874" s="2" t="s">
        <v>36</v>
      </c>
      <c r="O874" s="2">
        <v>71.0</v>
      </c>
      <c r="P874" s="2" t="s">
        <v>31</v>
      </c>
      <c r="Q874" s="2" t="s">
        <v>32</v>
      </c>
      <c r="R874" s="2">
        <v>26.0</v>
      </c>
      <c r="U874" s="2" t="b">
        <v>0</v>
      </c>
      <c r="V874" s="5">
        <v>0.0063</v>
      </c>
      <c r="W874" s="5">
        <v>0.0083</v>
      </c>
      <c r="X874" s="5">
        <v>5.2E-5</v>
      </c>
      <c r="Y874" s="2">
        <v>23.53333333</v>
      </c>
      <c r="AA874" s="2" t="s">
        <v>33</v>
      </c>
    </row>
    <row r="875">
      <c r="A875" s="2">
        <v>2308.0</v>
      </c>
      <c r="B875" s="2" t="s">
        <v>2589</v>
      </c>
      <c r="C875" s="2" t="s">
        <v>7</v>
      </c>
      <c r="D875" s="2" t="s">
        <v>2590</v>
      </c>
      <c r="E875" s="2" t="s">
        <v>2591</v>
      </c>
      <c r="F875" s="6">
        <v>45824.625</v>
      </c>
      <c r="G875" s="2">
        <v>45493.0</v>
      </c>
      <c r="H875" s="2">
        <v>45493.0</v>
      </c>
      <c r="I875" s="2">
        <v>38339.0</v>
      </c>
      <c r="J875" s="2">
        <v>281.0</v>
      </c>
      <c r="K875" s="2">
        <v>226.0</v>
      </c>
      <c r="L875" s="2">
        <v>5.0</v>
      </c>
      <c r="M875" s="4">
        <v>9452.0</v>
      </c>
      <c r="N875" s="2" t="s">
        <v>36</v>
      </c>
      <c r="O875" s="2">
        <v>71.0</v>
      </c>
      <c r="P875" s="2" t="s">
        <v>31</v>
      </c>
      <c r="Q875" s="2" t="s">
        <v>32</v>
      </c>
      <c r="R875" s="2">
        <v>36.0</v>
      </c>
      <c r="U875" s="2" t="b">
        <v>0</v>
      </c>
      <c r="V875" s="5">
        <v>0.0059</v>
      </c>
      <c r="W875" s="5">
        <v>0.0221</v>
      </c>
      <c r="X875" s="5">
        <v>1.3E-4</v>
      </c>
      <c r="Y875" s="2">
        <v>41.82300885</v>
      </c>
      <c r="AA875" s="2" t="s">
        <v>33</v>
      </c>
    </row>
    <row r="876">
      <c r="A876" s="2">
        <v>2307.0</v>
      </c>
      <c r="B876" s="2" t="s">
        <v>2592</v>
      </c>
      <c r="C876" s="2" t="s">
        <v>7</v>
      </c>
      <c r="D876" s="2" t="s">
        <v>2593</v>
      </c>
      <c r="E876" s="2" t="s">
        <v>2594</v>
      </c>
      <c r="F876" s="6">
        <v>45824.625</v>
      </c>
      <c r="G876" s="2">
        <v>59741.0</v>
      </c>
      <c r="H876" s="2">
        <v>59741.0</v>
      </c>
      <c r="I876" s="2">
        <v>52039.0</v>
      </c>
      <c r="J876" s="2">
        <v>297.0</v>
      </c>
      <c r="K876" s="2">
        <v>227.0</v>
      </c>
      <c r="L876" s="2">
        <v>2.0</v>
      </c>
      <c r="M876" s="4">
        <v>6595.0</v>
      </c>
      <c r="N876" s="2" t="s">
        <v>30</v>
      </c>
      <c r="O876" s="2">
        <v>70.0</v>
      </c>
      <c r="P876" s="2" t="s">
        <v>31</v>
      </c>
      <c r="Q876" s="2" t="s">
        <v>32</v>
      </c>
      <c r="R876" s="2">
        <v>30.0</v>
      </c>
      <c r="T876" s="7" t="str">
        <f>IFERROR(__xludf.DUMMYFUNCTION("AI(""has offer Come X Pay X"",D876)"),"Yes, a maximum 20% discount")</f>
        <v>Yes, a maximum 20% discount</v>
      </c>
      <c r="U876" s="2" t="b">
        <v>0</v>
      </c>
      <c r="V876" s="5">
        <v>0.0044</v>
      </c>
      <c r="W876" s="5">
        <v>0.0088</v>
      </c>
      <c r="X876" s="5">
        <v>3.8E-5</v>
      </c>
      <c r="Y876" s="2">
        <v>29.05286344</v>
      </c>
      <c r="Z876" s="2">
        <v>1545.0</v>
      </c>
      <c r="AA876" s="2" t="s">
        <v>33</v>
      </c>
    </row>
    <row r="877">
      <c r="A877" s="2">
        <v>2310.0</v>
      </c>
      <c r="B877" s="2" t="s">
        <v>2595</v>
      </c>
      <c r="C877" s="2" t="s">
        <v>7</v>
      </c>
      <c r="D877" s="2" t="s">
        <v>2596</v>
      </c>
      <c r="E877" s="2" t="s">
        <v>2597</v>
      </c>
      <c r="F877" s="6">
        <v>45824.708333333336</v>
      </c>
      <c r="G877" s="2">
        <v>45500.0</v>
      </c>
      <c r="H877" s="2">
        <v>45500.0</v>
      </c>
      <c r="I877" s="2">
        <v>38349.0</v>
      </c>
      <c r="J877" s="2">
        <v>231.0</v>
      </c>
      <c r="K877" s="2">
        <v>180.0</v>
      </c>
      <c r="L877" s="2">
        <v>4.0</v>
      </c>
      <c r="M877" s="4">
        <v>12289.0</v>
      </c>
      <c r="N877" s="2" t="s">
        <v>36</v>
      </c>
      <c r="O877" s="2">
        <v>71.0</v>
      </c>
      <c r="P877" s="2" t="s">
        <v>31</v>
      </c>
      <c r="Q877" s="2" t="s">
        <v>32</v>
      </c>
      <c r="R877" s="2">
        <v>31.0</v>
      </c>
      <c r="T877" s="2" t="s">
        <v>58</v>
      </c>
      <c r="U877" s="2" t="b">
        <v>0</v>
      </c>
      <c r="V877" s="5">
        <v>0.0047</v>
      </c>
      <c r="W877" s="5">
        <v>0.0222</v>
      </c>
      <c r="X877" s="5">
        <v>1.04E-4</v>
      </c>
      <c r="Y877" s="2">
        <v>68.27222222</v>
      </c>
      <c r="AA877" s="2" t="s">
        <v>33</v>
      </c>
    </row>
    <row r="878">
      <c r="A878" s="2">
        <v>2309.0</v>
      </c>
      <c r="B878" s="2" t="s">
        <v>2598</v>
      </c>
      <c r="C878" s="2" t="s">
        <v>7</v>
      </c>
      <c r="D878" s="2" t="s">
        <v>2147</v>
      </c>
      <c r="E878" s="2" t="s">
        <v>2599</v>
      </c>
      <c r="F878" s="6">
        <v>45824.708333333336</v>
      </c>
      <c r="G878" s="2">
        <v>59759.0</v>
      </c>
      <c r="H878" s="2">
        <v>59759.0</v>
      </c>
      <c r="I878" s="2">
        <v>51941.0</v>
      </c>
      <c r="J878" s="2">
        <v>390.0</v>
      </c>
      <c r="K878" s="2">
        <v>318.0</v>
      </c>
      <c r="L878" s="2">
        <v>4.0</v>
      </c>
      <c r="M878" s="4">
        <v>4648.0</v>
      </c>
      <c r="N878" s="2" t="s">
        <v>30</v>
      </c>
      <c r="O878" s="2">
        <v>70.0</v>
      </c>
      <c r="P878" s="2" t="s">
        <v>31</v>
      </c>
      <c r="Q878" s="2" t="s">
        <v>32</v>
      </c>
      <c r="R878" s="2">
        <v>28.0</v>
      </c>
      <c r="T878" s="2" t="s">
        <v>1185</v>
      </c>
      <c r="U878" s="2" t="b">
        <v>0</v>
      </c>
      <c r="V878" s="5">
        <v>0.0061</v>
      </c>
      <c r="W878" s="5">
        <v>0.0126</v>
      </c>
      <c r="X878" s="5">
        <v>7.7E-5</v>
      </c>
      <c r="Y878" s="2">
        <v>14.6163522</v>
      </c>
      <c r="Z878" s="2">
        <v>1728.0</v>
      </c>
      <c r="AA878" s="2" t="s">
        <v>33</v>
      </c>
    </row>
    <row r="879">
      <c r="A879" s="2">
        <v>2311.0</v>
      </c>
      <c r="B879" s="2" t="s">
        <v>2600</v>
      </c>
      <c r="C879" s="2" t="s">
        <v>7</v>
      </c>
      <c r="D879" s="2" t="s">
        <v>2601</v>
      </c>
      <c r="E879" s="2" t="s">
        <v>2602</v>
      </c>
      <c r="F879" s="6">
        <v>45825.53055555555</v>
      </c>
      <c r="G879" s="2">
        <v>59652.0</v>
      </c>
      <c r="H879" s="2">
        <v>59652.0</v>
      </c>
      <c r="I879" s="2">
        <v>52019.0</v>
      </c>
      <c r="J879" s="2">
        <v>333.0</v>
      </c>
      <c r="K879" s="2">
        <v>257.0</v>
      </c>
      <c r="L879" s="2">
        <v>3.0</v>
      </c>
      <c r="M879" s="4">
        <v>4286.0</v>
      </c>
      <c r="N879" s="2" t="s">
        <v>30</v>
      </c>
      <c r="O879" s="2">
        <v>70.0</v>
      </c>
      <c r="P879" s="2" t="s">
        <v>31</v>
      </c>
      <c r="Q879" s="2" t="s">
        <v>32</v>
      </c>
      <c r="R879" s="2">
        <v>34.0</v>
      </c>
      <c r="T879" s="2" t="s">
        <v>47</v>
      </c>
      <c r="U879" s="2" t="b">
        <v>0</v>
      </c>
      <c r="V879" s="5">
        <v>0.0049</v>
      </c>
      <c r="W879" s="5">
        <v>0.0117</v>
      </c>
      <c r="X879" s="5">
        <v>5.8E-5</v>
      </c>
      <c r="Y879" s="2">
        <v>16.6770428</v>
      </c>
      <c r="Z879" s="2">
        <v>5359.0</v>
      </c>
      <c r="AA879" s="2" t="s">
        <v>33</v>
      </c>
    </row>
    <row r="880">
      <c r="A880" s="2">
        <v>2312.0</v>
      </c>
      <c r="B880" s="2" t="s">
        <v>2603</v>
      </c>
      <c r="C880" s="2" t="s">
        <v>7</v>
      </c>
      <c r="D880" s="2" t="s">
        <v>2604</v>
      </c>
      <c r="E880" s="2" t="s">
        <v>2605</v>
      </c>
      <c r="F880" s="6">
        <v>45825.53125</v>
      </c>
      <c r="G880" s="2">
        <v>45462.0</v>
      </c>
      <c r="H880" s="2">
        <v>45462.0</v>
      </c>
      <c r="I880" s="2">
        <v>38249.0</v>
      </c>
      <c r="J880" s="2">
        <v>284.0</v>
      </c>
      <c r="K880" s="2">
        <v>210.0</v>
      </c>
      <c r="L880" s="2">
        <v>2.0</v>
      </c>
      <c r="M880" s="4">
        <v>7994.0</v>
      </c>
      <c r="N880" s="2" t="s">
        <v>36</v>
      </c>
      <c r="O880" s="2">
        <v>71.0</v>
      </c>
      <c r="P880" s="2" t="s">
        <v>31</v>
      </c>
      <c r="Q880" s="2" t="s">
        <v>32</v>
      </c>
      <c r="R880" s="2">
        <v>29.0</v>
      </c>
      <c r="T880" s="2" t="s">
        <v>47</v>
      </c>
      <c r="U880" s="2" t="b">
        <v>0</v>
      </c>
      <c r="V880" s="5">
        <v>0.0055</v>
      </c>
      <c r="W880" s="5">
        <v>0.0095</v>
      </c>
      <c r="X880" s="5">
        <v>5.2E-5</v>
      </c>
      <c r="Y880" s="2">
        <v>38.06666667</v>
      </c>
      <c r="AA880" s="2" t="s">
        <v>33</v>
      </c>
    </row>
    <row r="881">
      <c r="A881" s="2">
        <v>2313.0</v>
      </c>
      <c r="B881" s="2" t="s">
        <v>2606</v>
      </c>
      <c r="C881" s="2" t="s">
        <v>7</v>
      </c>
      <c r="D881" s="2" t="s">
        <v>2607</v>
      </c>
      <c r="E881" s="2" t="s">
        <v>2608</v>
      </c>
      <c r="F881" s="6">
        <v>45825.64722222222</v>
      </c>
      <c r="G881" s="2">
        <v>59654.0</v>
      </c>
      <c r="H881" s="2">
        <v>59654.0</v>
      </c>
      <c r="I881" s="2">
        <v>52032.0</v>
      </c>
      <c r="J881" s="2">
        <v>339.0</v>
      </c>
      <c r="K881" s="2">
        <v>292.0</v>
      </c>
      <c r="L881" s="2">
        <v>3.0</v>
      </c>
      <c r="M881" s="4">
        <v>8800.0</v>
      </c>
      <c r="N881" s="2" t="s">
        <v>30</v>
      </c>
      <c r="O881" s="2">
        <v>70.0</v>
      </c>
      <c r="P881" s="2" t="s">
        <v>31</v>
      </c>
      <c r="Q881" s="2" t="s">
        <v>32</v>
      </c>
      <c r="R881" s="2">
        <v>31.0</v>
      </c>
      <c r="T881" s="7" t="str">
        <f>IFERROR(__xludf.DUMMYFUNCTION("AI(""has offer Come X Pay X"",D881)"),"The offer means that if four people come, they only have to pay for three.")</f>
        <v>The offer means that if four people come, they only have to pay for three.</v>
      </c>
      <c r="U881" s="2" t="b">
        <v>0</v>
      </c>
      <c r="V881" s="5">
        <v>0.0056</v>
      </c>
      <c r="W881" s="5">
        <v>0.0103</v>
      </c>
      <c r="X881" s="5">
        <v>5.8E-5</v>
      </c>
      <c r="Y881" s="2">
        <v>30.1369863</v>
      </c>
      <c r="AA881" s="2" t="s">
        <v>33</v>
      </c>
    </row>
    <row r="882">
      <c r="A882" s="2">
        <v>2314.0</v>
      </c>
      <c r="B882" s="2" t="s">
        <v>2609</v>
      </c>
      <c r="C882" s="2" t="s">
        <v>7</v>
      </c>
      <c r="D882" s="2" t="s">
        <v>2610</v>
      </c>
      <c r="E882" s="2" t="s">
        <v>2611</v>
      </c>
      <c r="F882" s="6">
        <v>45825.65902777778</v>
      </c>
      <c r="G882" s="2">
        <v>45445.0</v>
      </c>
      <c r="H882" s="2">
        <v>45445.0</v>
      </c>
      <c r="I882" s="2">
        <v>38251.0</v>
      </c>
      <c r="J882" s="2">
        <v>215.0</v>
      </c>
      <c r="K882" s="2">
        <v>173.0</v>
      </c>
      <c r="L882" s="2">
        <v>2.0</v>
      </c>
      <c r="M882" s="4">
        <v>21876.0</v>
      </c>
      <c r="N882" s="2" t="s">
        <v>36</v>
      </c>
      <c r="O882" s="2">
        <v>71.0</v>
      </c>
      <c r="P882" s="2" t="s">
        <v>31</v>
      </c>
      <c r="Q882" s="2" t="s">
        <v>32</v>
      </c>
      <c r="R882" s="2">
        <v>34.0</v>
      </c>
      <c r="T882" s="2" t="s">
        <v>2612</v>
      </c>
      <c r="U882" s="2" t="b">
        <v>0</v>
      </c>
      <c r="V882" s="5">
        <v>0.0045</v>
      </c>
      <c r="W882" s="5">
        <v>0.0116</v>
      </c>
      <c r="X882" s="5">
        <v>5.2E-5</v>
      </c>
      <c r="Y882" s="2">
        <v>126.4508671</v>
      </c>
      <c r="AA882" s="2" t="s">
        <v>33</v>
      </c>
    </row>
    <row r="883">
      <c r="A883" s="2">
        <v>2321.0</v>
      </c>
      <c r="B883" s="2" t="s">
        <v>2613</v>
      </c>
      <c r="C883" s="2" t="s">
        <v>7</v>
      </c>
      <c r="D883" s="2" t="s">
        <v>2614</v>
      </c>
      <c r="E883" s="2" t="s">
        <v>2615</v>
      </c>
      <c r="F883" s="6">
        <v>45825.705555555556</v>
      </c>
      <c r="G883" s="2">
        <v>2317.0</v>
      </c>
      <c r="H883" s="2">
        <v>2317.0</v>
      </c>
      <c r="I883" s="2">
        <v>1737.0</v>
      </c>
      <c r="J883" s="2">
        <v>49.0</v>
      </c>
      <c r="K883" s="2">
        <v>43.0</v>
      </c>
      <c r="L883" s="2">
        <v>1.0</v>
      </c>
      <c r="M883" s="4">
        <v>3380.0</v>
      </c>
      <c r="N883" s="2" t="s">
        <v>423</v>
      </c>
      <c r="O883" s="2">
        <v>119.0</v>
      </c>
      <c r="P883" s="2" t="s">
        <v>31</v>
      </c>
      <c r="Q883" s="2" t="s">
        <v>1367</v>
      </c>
      <c r="R883" s="2">
        <v>31.0</v>
      </c>
      <c r="T883" s="2" t="s">
        <v>2616</v>
      </c>
      <c r="U883" s="2" t="b">
        <v>0</v>
      </c>
      <c r="V883" s="5">
        <v>0.0248</v>
      </c>
      <c r="W883" s="5">
        <v>0.0233</v>
      </c>
      <c r="X883" s="5">
        <v>5.76E-4</v>
      </c>
      <c r="Y883" s="2">
        <v>78.60465116</v>
      </c>
      <c r="AA883" s="2" t="s">
        <v>423</v>
      </c>
    </row>
    <row r="884">
      <c r="A884" s="2">
        <v>2316.0</v>
      </c>
      <c r="B884" s="2" t="s">
        <v>2617</v>
      </c>
      <c r="C884" s="2" t="s">
        <v>7</v>
      </c>
      <c r="D884" s="2" t="s">
        <v>2618</v>
      </c>
      <c r="E884" s="2" t="s">
        <v>2619</v>
      </c>
      <c r="F884" s="6">
        <v>45825.708333333336</v>
      </c>
      <c r="G884" s="2">
        <v>45463.0</v>
      </c>
      <c r="H884" s="2">
        <v>45463.0</v>
      </c>
      <c r="I884" s="2">
        <v>38426.0</v>
      </c>
      <c r="J884" s="2">
        <v>256.0</v>
      </c>
      <c r="K884" s="2">
        <v>202.0</v>
      </c>
      <c r="L884" s="2">
        <v>0.0</v>
      </c>
      <c r="M884" s="2">
        <v>0.0</v>
      </c>
      <c r="N884" s="2" t="s">
        <v>36</v>
      </c>
      <c r="O884" s="2">
        <v>71.0</v>
      </c>
      <c r="P884" s="2" t="s">
        <v>31</v>
      </c>
      <c r="Q884" s="2" t="s">
        <v>32</v>
      </c>
      <c r="R884" s="2">
        <v>28.0</v>
      </c>
      <c r="T884" s="2" t="s">
        <v>58</v>
      </c>
      <c r="U884" s="2" t="b">
        <v>0</v>
      </c>
      <c r="V884" s="5">
        <v>0.0053</v>
      </c>
      <c r="W884" s="5">
        <v>0.0</v>
      </c>
      <c r="X884" s="5">
        <v>0.0</v>
      </c>
      <c r="Y884" s="2">
        <v>0.0</v>
      </c>
      <c r="AA884" s="2" t="s">
        <v>33</v>
      </c>
    </row>
    <row r="885">
      <c r="A885" s="2">
        <v>2315.0</v>
      </c>
      <c r="B885" s="2" t="s">
        <v>2620</v>
      </c>
      <c r="C885" s="2" t="s">
        <v>7</v>
      </c>
      <c r="D885" s="2" t="s">
        <v>2621</v>
      </c>
      <c r="E885" s="2" t="s">
        <v>2622</v>
      </c>
      <c r="F885" s="6">
        <v>45825.708333333336</v>
      </c>
      <c r="G885" s="2">
        <v>59662.0</v>
      </c>
      <c r="H885" s="2">
        <v>59662.0</v>
      </c>
      <c r="I885" s="2">
        <v>52059.0</v>
      </c>
      <c r="J885" s="2">
        <v>294.0</v>
      </c>
      <c r="K885" s="2">
        <v>241.0</v>
      </c>
      <c r="L885" s="2">
        <v>2.0</v>
      </c>
      <c r="M885" s="4">
        <v>4716.0</v>
      </c>
      <c r="N885" s="2" t="s">
        <v>30</v>
      </c>
      <c r="O885" s="2">
        <v>70.0</v>
      </c>
      <c r="P885" s="2" t="s">
        <v>31</v>
      </c>
      <c r="Q885" s="2" t="s">
        <v>32</v>
      </c>
      <c r="R885" s="2">
        <v>24.0</v>
      </c>
      <c r="T885" s="2" t="s">
        <v>143</v>
      </c>
      <c r="U885" s="2" t="b">
        <v>0</v>
      </c>
      <c r="V885" s="5">
        <v>0.0046</v>
      </c>
      <c r="W885" s="5">
        <v>0.0083</v>
      </c>
      <c r="X885" s="5">
        <v>3.8E-5</v>
      </c>
      <c r="Y885" s="2">
        <v>19.56846473</v>
      </c>
      <c r="Z885" s="2">
        <v>4975.0</v>
      </c>
      <c r="AA885" s="2" t="s">
        <v>33</v>
      </c>
    </row>
    <row r="886">
      <c r="A886" s="2">
        <v>2322.0</v>
      </c>
      <c r="B886" s="2" t="s">
        <v>2623</v>
      </c>
      <c r="C886" s="2" t="s">
        <v>7</v>
      </c>
      <c r="D886" s="2" t="s">
        <v>170</v>
      </c>
      <c r="E886" s="2" t="s">
        <v>288</v>
      </c>
      <c r="F886" s="6">
        <v>45826.47708333333</v>
      </c>
      <c r="G886" s="2">
        <v>59714.0</v>
      </c>
      <c r="H886" s="2">
        <v>59714.0</v>
      </c>
      <c r="I886" s="2">
        <v>51885.0</v>
      </c>
      <c r="J886" s="2">
        <v>279.0</v>
      </c>
      <c r="K886" s="2">
        <v>232.0</v>
      </c>
      <c r="L886" s="2">
        <v>3.0</v>
      </c>
      <c r="M886" s="4">
        <v>6840.0</v>
      </c>
      <c r="N886" s="2" t="s">
        <v>30</v>
      </c>
      <c r="O886" s="2">
        <v>70.0</v>
      </c>
      <c r="P886" s="2" t="s">
        <v>31</v>
      </c>
      <c r="Q886" s="2" t="s">
        <v>32</v>
      </c>
      <c r="R886" s="2">
        <v>27.0</v>
      </c>
      <c r="T886" s="2" t="s">
        <v>58</v>
      </c>
      <c r="U886" s="2" t="b">
        <v>0</v>
      </c>
      <c r="V886" s="5">
        <v>0.0045</v>
      </c>
      <c r="W886" s="5">
        <v>0.0129</v>
      </c>
      <c r="X886" s="5">
        <v>5.8E-5</v>
      </c>
      <c r="Y886" s="2">
        <v>29.48275862</v>
      </c>
      <c r="AA886" s="2" t="s">
        <v>33</v>
      </c>
    </row>
    <row r="887">
      <c r="A887" s="2">
        <v>2323.0</v>
      </c>
      <c r="B887" s="2" t="s">
        <v>2624</v>
      </c>
      <c r="C887" s="2" t="s">
        <v>7</v>
      </c>
      <c r="D887" s="2" t="s">
        <v>172</v>
      </c>
      <c r="E887" s="2" t="s">
        <v>290</v>
      </c>
      <c r="F887" s="6">
        <v>45826.47777777778</v>
      </c>
      <c r="G887" s="2">
        <v>45525.0</v>
      </c>
      <c r="H887" s="2">
        <v>45525.0</v>
      </c>
      <c r="I887" s="2">
        <v>38219.0</v>
      </c>
      <c r="J887" s="2">
        <v>255.0</v>
      </c>
      <c r="K887" s="2">
        <v>201.0</v>
      </c>
      <c r="L887" s="2">
        <v>7.0</v>
      </c>
      <c r="M887" s="4">
        <v>15452.0</v>
      </c>
      <c r="N887" s="2" t="s">
        <v>36</v>
      </c>
      <c r="O887" s="2">
        <v>71.0</v>
      </c>
      <c r="P887" s="2" t="s">
        <v>31</v>
      </c>
      <c r="Q887" s="2" t="s">
        <v>32</v>
      </c>
      <c r="R887" s="2">
        <v>24.0</v>
      </c>
      <c r="U887" s="2" t="b">
        <v>0</v>
      </c>
      <c r="V887" s="5">
        <v>0.0053</v>
      </c>
      <c r="W887" s="5">
        <v>0.0348</v>
      </c>
      <c r="X887" s="5">
        <v>1.83E-4</v>
      </c>
      <c r="Y887" s="2">
        <v>76.87562189</v>
      </c>
      <c r="AA887" s="2" t="s">
        <v>33</v>
      </c>
    </row>
    <row r="888">
      <c r="A888" s="2">
        <v>2324.0</v>
      </c>
      <c r="B888" s="2" t="s">
        <v>2625</v>
      </c>
      <c r="C888" s="2" t="s">
        <v>7</v>
      </c>
      <c r="D888" s="2" t="s">
        <v>2626</v>
      </c>
      <c r="E888" s="2" t="s">
        <v>2627</v>
      </c>
      <c r="F888" s="6">
        <v>45826.69583333333</v>
      </c>
      <c r="G888" s="2">
        <v>59725.0</v>
      </c>
      <c r="H888" s="2">
        <v>59725.0</v>
      </c>
      <c r="I888" s="2">
        <v>52062.0</v>
      </c>
      <c r="J888" s="2">
        <v>423.0</v>
      </c>
      <c r="K888" s="2">
        <v>353.0</v>
      </c>
      <c r="L888" s="2">
        <v>6.0</v>
      </c>
      <c r="M888" s="4">
        <v>13592.0</v>
      </c>
      <c r="N888" s="2" t="s">
        <v>30</v>
      </c>
      <c r="O888" s="2">
        <v>70.0</v>
      </c>
      <c r="P888" s="2" t="s">
        <v>31</v>
      </c>
      <c r="Q888" s="2" t="s">
        <v>32</v>
      </c>
      <c r="R888" s="2">
        <v>35.0</v>
      </c>
      <c r="T888" s="2" t="s">
        <v>405</v>
      </c>
      <c r="U888" s="2" t="b">
        <v>0</v>
      </c>
      <c r="V888" s="5">
        <v>0.0068</v>
      </c>
      <c r="W888" s="5">
        <v>0.017</v>
      </c>
      <c r="X888" s="5">
        <v>1.15E-4</v>
      </c>
      <c r="Y888" s="2">
        <v>38.50424929</v>
      </c>
      <c r="Z888" s="2">
        <v>222.0</v>
      </c>
      <c r="AA888" s="2" t="s">
        <v>33</v>
      </c>
    </row>
    <row r="889">
      <c r="A889" s="2">
        <v>2325.0</v>
      </c>
      <c r="B889" s="2" t="s">
        <v>2628</v>
      </c>
      <c r="C889" s="2" t="s">
        <v>7</v>
      </c>
      <c r="D889" s="2" t="s">
        <v>2629</v>
      </c>
      <c r="E889" s="2" t="s">
        <v>2630</v>
      </c>
      <c r="F889" s="6">
        <v>45826.697916666664</v>
      </c>
      <c r="G889" s="2">
        <v>45524.0</v>
      </c>
      <c r="H889" s="2">
        <v>45524.0</v>
      </c>
      <c r="I889" s="2">
        <v>38448.0</v>
      </c>
      <c r="J889" s="2">
        <v>305.0</v>
      </c>
      <c r="K889" s="2">
        <v>256.0</v>
      </c>
      <c r="L889" s="2">
        <v>10.0</v>
      </c>
      <c r="M889" s="4">
        <v>41643.0</v>
      </c>
      <c r="N889" s="2" t="s">
        <v>36</v>
      </c>
      <c r="O889" s="2">
        <v>71.0</v>
      </c>
      <c r="P889" s="2" t="s">
        <v>31</v>
      </c>
      <c r="Q889" s="2" t="s">
        <v>32</v>
      </c>
      <c r="R889" s="2">
        <v>35.0</v>
      </c>
      <c r="T889" s="2" t="s">
        <v>58</v>
      </c>
      <c r="U889" s="2" t="b">
        <v>1</v>
      </c>
      <c r="V889" s="5">
        <v>0.0067</v>
      </c>
      <c r="W889" s="5">
        <v>0.0391</v>
      </c>
      <c r="X889" s="5">
        <v>2.6E-4</v>
      </c>
      <c r="Y889" s="2">
        <v>162.6679688</v>
      </c>
      <c r="AA889" s="2" t="s">
        <v>33</v>
      </c>
    </row>
    <row r="890">
      <c r="A890" s="2">
        <v>2328.0</v>
      </c>
      <c r="B890" s="2" t="s">
        <v>2631</v>
      </c>
      <c r="C890" s="2" t="s">
        <v>7</v>
      </c>
      <c r="D890" s="2" t="s">
        <v>2632</v>
      </c>
      <c r="E890" s="2" t="s">
        <v>2633</v>
      </c>
      <c r="F890" s="6">
        <v>45826.791666666664</v>
      </c>
      <c r="G890" s="2">
        <v>45790.0</v>
      </c>
      <c r="H890" s="2">
        <v>45790.0</v>
      </c>
      <c r="I890" s="2">
        <v>38786.0</v>
      </c>
      <c r="J890" s="2">
        <v>294.0</v>
      </c>
      <c r="K890" s="2">
        <v>225.0</v>
      </c>
      <c r="L890" s="2">
        <v>1.0</v>
      </c>
      <c r="M890" s="4">
        <v>2264.0</v>
      </c>
      <c r="N890" s="2" t="s">
        <v>36</v>
      </c>
      <c r="O890" s="2">
        <v>71.0</v>
      </c>
      <c r="P890" s="2" t="s">
        <v>31</v>
      </c>
      <c r="Q890" s="2" t="s">
        <v>32</v>
      </c>
      <c r="R890" s="2">
        <v>40.0</v>
      </c>
      <c r="T890" s="2" t="s">
        <v>47</v>
      </c>
      <c r="U890" s="2" t="b">
        <v>0</v>
      </c>
      <c r="V890" s="5">
        <v>0.0058</v>
      </c>
      <c r="W890" s="5">
        <v>0.0044</v>
      </c>
      <c r="X890" s="5">
        <v>2.6E-5</v>
      </c>
      <c r="Y890" s="2">
        <v>10.06222222</v>
      </c>
      <c r="AA890" s="2" t="s">
        <v>33</v>
      </c>
    </row>
    <row r="891">
      <c r="A891" s="2">
        <v>2326.0</v>
      </c>
      <c r="B891" s="2" t="s">
        <v>2634</v>
      </c>
      <c r="C891" s="2" t="s">
        <v>7</v>
      </c>
      <c r="D891" s="2" t="s">
        <v>2635</v>
      </c>
      <c r="E891" s="2" t="s">
        <v>2636</v>
      </c>
      <c r="F891" s="6">
        <v>45826.791666666664</v>
      </c>
      <c r="G891" s="2">
        <v>60456.0</v>
      </c>
      <c r="H891" s="2">
        <v>60456.0</v>
      </c>
      <c r="I891" s="2">
        <v>53453.0</v>
      </c>
      <c r="J891" s="2">
        <v>410.0</v>
      </c>
      <c r="K891" s="2">
        <v>320.0</v>
      </c>
      <c r="L891" s="2">
        <v>4.0</v>
      </c>
      <c r="M891" s="4">
        <v>14114.0</v>
      </c>
      <c r="N891" s="2" t="s">
        <v>30</v>
      </c>
      <c r="O891" s="2">
        <v>70.0</v>
      </c>
      <c r="P891" s="2" t="s">
        <v>31</v>
      </c>
      <c r="Q891" s="2" t="s">
        <v>32</v>
      </c>
      <c r="R891" s="2">
        <v>42.0</v>
      </c>
      <c r="T891" s="2" t="s">
        <v>47</v>
      </c>
      <c r="U891" s="2" t="b">
        <v>0</v>
      </c>
      <c r="V891" s="5">
        <v>0.006</v>
      </c>
      <c r="W891" s="5">
        <v>0.0125</v>
      </c>
      <c r="X891" s="5">
        <v>7.5E-5</v>
      </c>
      <c r="Y891" s="2">
        <v>44.10625</v>
      </c>
      <c r="Z891" s="2">
        <v>4619.0</v>
      </c>
      <c r="AA891" s="2" t="s">
        <v>33</v>
      </c>
    </row>
    <row r="892">
      <c r="A892" s="2">
        <v>2329.0</v>
      </c>
      <c r="B892" s="2" t="s">
        <v>2637</v>
      </c>
      <c r="C892" s="2" t="s">
        <v>7</v>
      </c>
      <c r="D892" s="2" t="s">
        <v>2638</v>
      </c>
      <c r="E892" s="2" t="s">
        <v>2639</v>
      </c>
      <c r="F892" s="6">
        <v>45827.48611111111</v>
      </c>
      <c r="G892" s="2">
        <v>61867.0</v>
      </c>
      <c r="H892" s="2">
        <v>61867.0</v>
      </c>
      <c r="I892" s="2">
        <v>54562.0</v>
      </c>
      <c r="J892" s="2">
        <v>282.0</v>
      </c>
      <c r="K892" s="2">
        <v>251.0</v>
      </c>
      <c r="L892" s="2">
        <v>2.0</v>
      </c>
      <c r="M892" s="4">
        <v>3928.0</v>
      </c>
      <c r="N892" s="2" t="s">
        <v>30</v>
      </c>
      <c r="O892" s="2">
        <v>70.0</v>
      </c>
      <c r="P892" s="2" t="s">
        <v>31</v>
      </c>
      <c r="Q892" s="2" t="s">
        <v>32</v>
      </c>
      <c r="R892" s="2">
        <v>31.0</v>
      </c>
      <c r="T892" s="2" t="s">
        <v>47</v>
      </c>
      <c r="U892" s="2" t="b">
        <v>0</v>
      </c>
      <c r="V892" s="5">
        <v>0.0046</v>
      </c>
      <c r="W892" s="5">
        <v>0.008</v>
      </c>
      <c r="X892" s="5">
        <v>3.7E-5</v>
      </c>
      <c r="Y892" s="2">
        <v>15.64940239</v>
      </c>
      <c r="Z892" s="2" t="s">
        <v>307</v>
      </c>
      <c r="AA892" s="2" t="s">
        <v>33</v>
      </c>
    </row>
    <row r="893">
      <c r="A893" s="2">
        <v>2330.0</v>
      </c>
      <c r="B893" s="2" t="s">
        <v>2640</v>
      </c>
      <c r="C893" s="2" t="s">
        <v>7</v>
      </c>
      <c r="D893" s="2" t="s">
        <v>2641</v>
      </c>
      <c r="E893" s="2" t="s">
        <v>2642</v>
      </c>
      <c r="F893" s="6">
        <v>45827.489583333336</v>
      </c>
      <c r="G893" s="2">
        <v>46628.0</v>
      </c>
      <c r="H893" s="2">
        <v>46628.0</v>
      </c>
      <c r="I893" s="2">
        <v>39377.0</v>
      </c>
      <c r="J893" s="2">
        <v>228.0</v>
      </c>
      <c r="K893" s="2">
        <v>194.0</v>
      </c>
      <c r="L893" s="2">
        <v>2.0</v>
      </c>
      <c r="M893" s="4">
        <v>2786.0</v>
      </c>
      <c r="N893" s="2" t="s">
        <v>36</v>
      </c>
      <c r="O893" s="2">
        <v>71.0</v>
      </c>
      <c r="P893" s="2" t="s">
        <v>31</v>
      </c>
      <c r="Q893" s="2" t="s">
        <v>32</v>
      </c>
      <c r="R893" s="2">
        <v>48.0</v>
      </c>
      <c r="T893" s="2" t="s">
        <v>47</v>
      </c>
      <c r="U893" s="2" t="b">
        <v>0</v>
      </c>
      <c r="V893" s="5">
        <v>0.0049</v>
      </c>
      <c r="W893" s="5">
        <v>0.0103</v>
      </c>
      <c r="X893" s="5">
        <v>5.1E-5</v>
      </c>
      <c r="Y893" s="2">
        <v>14.36082474</v>
      </c>
      <c r="AA893" s="2" t="s">
        <v>33</v>
      </c>
    </row>
    <row r="894">
      <c r="A894" s="2">
        <v>2332.0</v>
      </c>
      <c r="B894" s="2" t="s">
        <v>2643</v>
      </c>
      <c r="C894" s="2" t="s">
        <v>7</v>
      </c>
      <c r="D894" s="2" t="s">
        <v>2644</v>
      </c>
      <c r="E894" s="2" t="s">
        <v>2645</v>
      </c>
      <c r="F894" s="6">
        <v>45827.625</v>
      </c>
      <c r="G894" s="2">
        <v>46618.0</v>
      </c>
      <c r="H894" s="2">
        <v>46618.0</v>
      </c>
      <c r="I894" s="2">
        <v>39347.0</v>
      </c>
      <c r="J894" s="2">
        <v>286.0</v>
      </c>
      <c r="K894" s="2">
        <v>220.0</v>
      </c>
      <c r="L894" s="2">
        <v>3.0</v>
      </c>
      <c r="M894" s="4">
        <v>3380.0</v>
      </c>
      <c r="N894" s="2" t="s">
        <v>36</v>
      </c>
      <c r="O894" s="2">
        <v>71.0</v>
      </c>
      <c r="P894" s="2" t="s">
        <v>31</v>
      </c>
      <c r="Q894" s="2" t="s">
        <v>32</v>
      </c>
      <c r="R894" s="2">
        <v>28.0</v>
      </c>
      <c r="T894" s="2" t="s">
        <v>58</v>
      </c>
      <c r="U894" s="2" t="b">
        <v>1</v>
      </c>
      <c r="V894" s="5">
        <v>0.0056</v>
      </c>
      <c r="W894" s="5">
        <v>0.0136</v>
      </c>
      <c r="X894" s="5">
        <v>7.6E-5</v>
      </c>
      <c r="Y894" s="2">
        <v>15.36363636</v>
      </c>
      <c r="AA894" s="2" t="s">
        <v>33</v>
      </c>
    </row>
    <row r="895">
      <c r="A895" s="2">
        <v>2331.0</v>
      </c>
      <c r="B895" s="2" t="s">
        <v>2646</v>
      </c>
      <c r="C895" s="2" t="s">
        <v>7</v>
      </c>
      <c r="D895" s="2" t="s">
        <v>2647</v>
      </c>
      <c r="E895" s="2" t="s">
        <v>2648</v>
      </c>
      <c r="F895" s="6">
        <v>45827.625</v>
      </c>
      <c r="G895" s="2">
        <v>61858.0</v>
      </c>
      <c r="H895" s="2">
        <v>61858.0</v>
      </c>
      <c r="I895" s="2">
        <v>53828.0</v>
      </c>
      <c r="J895" s="2">
        <v>319.0</v>
      </c>
      <c r="K895" s="2">
        <v>255.0</v>
      </c>
      <c r="L895" s="2">
        <v>6.0</v>
      </c>
      <c r="M895" s="4">
        <v>12228.0</v>
      </c>
      <c r="N895" s="2" t="s">
        <v>30</v>
      </c>
      <c r="O895" s="2">
        <v>70.0</v>
      </c>
      <c r="P895" s="2" t="s">
        <v>31</v>
      </c>
      <c r="Q895" s="2" t="s">
        <v>32</v>
      </c>
      <c r="R895" s="2">
        <v>28.0</v>
      </c>
      <c r="U895" s="2" t="b">
        <v>0</v>
      </c>
      <c r="V895" s="5">
        <v>0.0047</v>
      </c>
      <c r="W895" s="5">
        <v>0.0235</v>
      </c>
      <c r="X895" s="5">
        <v>1.11E-4</v>
      </c>
      <c r="Y895" s="2">
        <v>47.95294118</v>
      </c>
      <c r="Z895" s="2">
        <v>4763.0</v>
      </c>
      <c r="AA895" s="2" t="s">
        <v>33</v>
      </c>
    </row>
    <row r="896">
      <c r="A896" s="2">
        <v>2334.0</v>
      </c>
      <c r="B896" s="2" t="s">
        <v>2649</v>
      </c>
      <c r="C896" s="2" t="s">
        <v>7</v>
      </c>
      <c r="D896" s="2" t="s">
        <v>2650</v>
      </c>
      <c r="E896" s="2" t="s">
        <v>2651</v>
      </c>
      <c r="F896" s="6">
        <v>45827.708333333336</v>
      </c>
      <c r="G896" s="2">
        <v>46640.0</v>
      </c>
      <c r="H896" s="2">
        <v>46640.0</v>
      </c>
      <c r="I896" s="2">
        <v>39353.0</v>
      </c>
      <c r="J896" s="2">
        <v>298.0</v>
      </c>
      <c r="K896" s="2">
        <v>237.0</v>
      </c>
      <c r="L896" s="2">
        <v>3.0</v>
      </c>
      <c r="M896" s="4">
        <v>7256.0</v>
      </c>
      <c r="N896" s="2" t="s">
        <v>36</v>
      </c>
      <c r="O896" s="2">
        <v>71.0</v>
      </c>
      <c r="P896" s="2" t="s">
        <v>31</v>
      </c>
      <c r="Q896" s="2" t="s">
        <v>32</v>
      </c>
      <c r="R896" s="2">
        <v>50.0</v>
      </c>
      <c r="T896" s="2" t="s">
        <v>2652</v>
      </c>
      <c r="U896" s="2" t="b">
        <v>0</v>
      </c>
      <c r="V896" s="5">
        <v>0.006</v>
      </c>
      <c r="W896" s="5">
        <v>0.0127</v>
      </c>
      <c r="X896" s="5">
        <v>7.6E-5</v>
      </c>
      <c r="Y896" s="2">
        <v>30.61603376</v>
      </c>
      <c r="AA896" s="2" t="s">
        <v>33</v>
      </c>
    </row>
    <row r="897">
      <c r="A897" s="2">
        <v>2333.0</v>
      </c>
      <c r="B897" s="2" t="s">
        <v>2653</v>
      </c>
      <c r="C897" s="2" t="s">
        <v>7</v>
      </c>
      <c r="D897" s="2" t="s">
        <v>2654</v>
      </c>
      <c r="E897" s="2" t="s">
        <v>2655</v>
      </c>
      <c r="F897" s="6">
        <v>45827.708333333336</v>
      </c>
      <c r="G897" s="2">
        <v>61877.0</v>
      </c>
      <c r="H897" s="2">
        <v>61877.0</v>
      </c>
      <c r="I897" s="2">
        <v>53945.0</v>
      </c>
      <c r="J897" s="2">
        <v>378.0</v>
      </c>
      <c r="K897" s="2">
        <v>310.0</v>
      </c>
      <c r="L897" s="2">
        <v>4.0</v>
      </c>
      <c r="M897" s="4">
        <v>6076.0</v>
      </c>
      <c r="N897" s="2" t="s">
        <v>30</v>
      </c>
      <c r="O897" s="2">
        <v>70.0</v>
      </c>
      <c r="P897" s="2" t="s">
        <v>31</v>
      </c>
      <c r="Q897" s="2" t="s">
        <v>32</v>
      </c>
      <c r="R897" s="2">
        <v>33.0</v>
      </c>
      <c r="U897" s="2" t="b">
        <v>0</v>
      </c>
      <c r="V897" s="5">
        <v>0.0057</v>
      </c>
      <c r="W897" s="5">
        <v>0.0129</v>
      </c>
      <c r="X897" s="5">
        <v>7.4E-5</v>
      </c>
      <c r="Y897" s="2">
        <v>19.6</v>
      </c>
      <c r="AA897" s="2" t="s">
        <v>33</v>
      </c>
    </row>
    <row r="898">
      <c r="A898" s="2">
        <v>2317.0</v>
      </c>
      <c r="B898" s="2" t="s">
        <v>2656</v>
      </c>
      <c r="C898" s="2" t="s">
        <v>7</v>
      </c>
      <c r="D898" s="2" t="s">
        <v>2657</v>
      </c>
      <c r="E898" s="2" t="s">
        <v>2658</v>
      </c>
      <c r="F898" s="6">
        <v>45827.711805555555</v>
      </c>
      <c r="G898" s="2">
        <v>2815.0</v>
      </c>
      <c r="H898" s="2">
        <v>2815.0</v>
      </c>
      <c r="I898" s="2">
        <v>2490.0</v>
      </c>
      <c r="J898" s="2">
        <v>45.0</v>
      </c>
      <c r="K898" s="2">
        <v>36.0</v>
      </c>
      <c r="L898" s="2">
        <v>0.0</v>
      </c>
      <c r="M898" s="2">
        <v>0.0</v>
      </c>
      <c r="N898" s="2" t="s">
        <v>423</v>
      </c>
      <c r="O898" s="2">
        <v>119.0</v>
      </c>
      <c r="P898" s="2" t="s">
        <v>31</v>
      </c>
      <c r="Q898" s="2" t="s">
        <v>1367</v>
      </c>
      <c r="R898" s="2">
        <v>31.0</v>
      </c>
      <c r="U898" s="2" t="b">
        <v>0</v>
      </c>
      <c r="V898" s="5">
        <v>0.0145</v>
      </c>
      <c r="W898" s="5">
        <v>0.0</v>
      </c>
      <c r="X898" s="5">
        <v>0.0</v>
      </c>
      <c r="Y898" s="2">
        <v>0.0</v>
      </c>
      <c r="AA898" s="2" t="s">
        <v>423</v>
      </c>
    </row>
    <row r="899">
      <c r="A899" s="2">
        <v>2335.0</v>
      </c>
      <c r="B899" s="2" t="s">
        <v>2659</v>
      </c>
      <c r="C899" s="2" t="s">
        <v>7</v>
      </c>
      <c r="D899" s="2" t="s">
        <v>2660</v>
      </c>
      <c r="E899" s="2" t="s">
        <v>2661</v>
      </c>
      <c r="F899" s="6">
        <v>45828.504166666666</v>
      </c>
      <c r="G899" s="2">
        <v>61699.0</v>
      </c>
      <c r="H899" s="2">
        <v>61699.0</v>
      </c>
      <c r="I899" s="2">
        <v>53783.0</v>
      </c>
      <c r="J899" s="2">
        <v>383.0</v>
      </c>
      <c r="K899" s="2">
        <v>315.0</v>
      </c>
      <c r="L899" s="2">
        <v>8.0</v>
      </c>
      <c r="M899" s="4">
        <v>33589.0</v>
      </c>
      <c r="N899" s="2" t="s">
        <v>30</v>
      </c>
      <c r="O899" s="2">
        <v>70.0</v>
      </c>
      <c r="P899" s="2" t="s">
        <v>31</v>
      </c>
      <c r="Q899" s="2" t="s">
        <v>32</v>
      </c>
      <c r="R899" s="2">
        <v>37.0</v>
      </c>
      <c r="U899" s="2" t="b">
        <v>0</v>
      </c>
      <c r="V899" s="5">
        <v>0.0059</v>
      </c>
      <c r="W899" s="5">
        <v>0.0254</v>
      </c>
      <c r="X899" s="5">
        <v>1.49E-4</v>
      </c>
      <c r="Y899" s="2">
        <v>106.631746</v>
      </c>
      <c r="Z899" s="2">
        <v>2749.0</v>
      </c>
      <c r="AA899" s="2" t="s">
        <v>33</v>
      </c>
    </row>
    <row r="900">
      <c r="A900" s="2">
        <v>2336.0</v>
      </c>
      <c r="B900" s="2" t="s">
        <v>2662</v>
      </c>
      <c r="C900" s="2" t="s">
        <v>7</v>
      </c>
      <c r="D900" s="2" t="s">
        <v>2663</v>
      </c>
      <c r="E900" s="2" t="s">
        <v>2664</v>
      </c>
      <c r="F900" s="6">
        <v>45828.506944444445</v>
      </c>
      <c r="G900" s="2">
        <v>46615.0</v>
      </c>
      <c r="H900" s="2">
        <v>46615.0</v>
      </c>
      <c r="I900" s="2">
        <v>39216.0</v>
      </c>
      <c r="J900" s="2">
        <v>307.0</v>
      </c>
      <c r="K900" s="2">
        <v>251.0</v>
      </c>
      <c r="L900" s="2">
        <v>2.0</v>
      </c>
      <c r="M900" s="4">
        <v>4042.0</v>
      </c>
      <c r="N900" s="2" t="s">
        <v>36</v>
      </c>
      <c r="O900" s="2">
        <v>71.0</v>
      </c>
      <c r="P900" s="2" t="s">
        <v>31</v>
      </c>
      <c r="Q900" s="2" t="s">
        <v>32</v>
      </c>
      <c r="R900" s="2">
        <v>37.0</v>
      </c>
      <c r="U900" s="2" t="b">
        <v>1</v>
      </c>
      <c r="V900" s="5">
        <v>0.0064</v>
      </c>
      <c r="W900" s="5">
        <v>0.008</v>
      </c>
      <c r="X900" s="5">
        <v>5.1E-5</v>
      </c>
      <c r="Y900" s="2">
        <v>16.10358566</v>
      </c>
      <c r="AA900" s="2" t="s">
        <v>33</v>
      </c>
    </row>
    <row r="901">
      <c r="A901" s="2">
        <v>2339.0</v>
      </c>
      <c r="B901" s="2" t="s">
        <v>2665</v>
      </c>
      <c r="C901" s="2" t="s">
        <v>7</v>
      </c>
      <c r="D901" s="2" t="s">
        <v>2221</v>
      </c>
      <c r="E901" s="2" t="s">
        <v>2222</v>
      </c>
      <c r="F901" s="6">
        <v>45828.625</v>
      </c>
      <c r="G901" s="2">
        <v>46590.0</v>
      </c>
      <c r="H901" s="2">
        <v>46590.0</v>
      </c>
      <c r="I901" s="2">
        <v>39370.0</v>
      </c>
      <c r="J901" s="2">
        <v>242.0</v>
      </c>
      <c r="K901" s="2">
        <v>202.0</v>
      </c>
      <c r="L901" s="2">
        <v>2.0</v>
      </c>
      <c r="M901" s="4">
        <v>7146.0</v>
      </c>
      <c r="N901" s="2" t="s">
        <v>36</v>
      </c>
      <c r="O901" s="2">
        <v>71.0</v>
      </c>
      <c r="P901" s="2" t="s">
        <v>31</v>
      </c>
      <c r="Q901" s="2" t="s">
        <v>32</v>
      </c>
      <c r="R901" s="2">
        <v>32.0</v>
      </c>
      <c r="T901" s="2" t="s">
        <v>47</v>
      </c>
      <c r="U901" s="2" t="b">
        <v>0</v>
      </c>
      <c r="V901" s="5">
        <v>0.0051</v>
      </c>
      <c r="W901" s="5">
        <v>0.0099</v>
      </c>
      <c r="X901" s="5">
        <v>5.1E-5</v>
      </c>
      <c r="Y901" s="2">
        <v>35.37623762</v>
      </c>
      <c r="AA901" s="2" t="s">
        <v>33</v>
      </c>
    </row>
    <row r="902">
      <c r="A902" s="2">
        <v>2337.0</v>
      </c>
      <c r="B902" s="2" t="s">
        <v>2666</v>
      </c>
      <c r="C902" s="2" t="s">
        <v>7</v>
      </c>
      <c r="D902" s="2" t="s">
        <v>2667</v>
      </c>
      <c r="E902" s="2" t="s">
        <v>2226</v>
      </c>
      <c r="F902" s="6">
        <v>45828.625</v>
      </c>
      <c r="G902" s="2">
        <v>61660.0</v>
      </c>
      <c r="H902" s="2">
        <v>61660.0</v>
      </c>
      <c r="I902" s="2">
        <v>53833.0</v>
      </c>
      <c r="J902" s="2">
        <v>206.0</v>
      </c>
      <c r="K902" s="2">
        <v>175.0</v>
      </c>
      <c r="L902" s="2">
        <v>2.0</v>
      </c>
      <c r="M902" s="4">
        <v>2648.0</v>
      </c>
      <c r="N902" s="2" t="s">
        <v>30</v>
      </c>
      <c r="O902" s="2">
        <v>70.0</v>
      </c>
      <c r="P902" s="2" t="s">
        <v>31</v>
      </c>
      <c r="Q902" s="2" t="s">
        <v>32</v>
      </c>
      <c r="R902" s="2">
        <v>28.0</v>
      </c>
      <c r="U902" s="2" t="b">
        <v>0</v>
      </c>
      <c r="V902" s="5">
        <v>0.0033</v>
      </c>
      <c r="W902" s="5">
        <v>0.0114</v>
      </c>
      <c r="X902" s="5">
        <v>3.7E-5</v>
      </c>
      <c r="Y902" s="2">
        <v>15.13142857</v>
      </c>
      <c r="AA902" s="2" t="s">
        <v>33</v>
      </c>
    </row>
    <row r="903">
      <c r="A903" s="2">
        <v>2342.0</v>
      </c>
      <c r="B903" s="2" t="s">
        <v>2668</v>
      </c>
      <c r="C903" s="2" t="s">
        <v>7</v>
      </c>
      <c r="D903" s="2" t="s">
        <v>2669</v>
      </c>
      <c r="E903" s="2" t="s">
        <v>2670</v>
      </c>
      <c r="F903" s="6">
        <v>45828.708333333336</v>
      </c>
      <c r="G903" s="2">
        <v>46608.0</v>
      </c>
      <c r="H903" s="2">
        <v>46608.0</v>
      </c>
      <c r="I903" s="2">
        <v>39310.0</v>
      </c>
      <c r="J903" s="2">
        <v>245.0</v>
      </c>
      <c r="K903" s="2">
        <v>184.0</v>
      </c>
      <c r="L903" s="2">
        <v>3.0</v>
      </c>
      <c r="M903" s="4">
        <v>8154.0</v>
      </c>
      <c r="N903" s="2" t="s">
        <v>36</v>
      </c>
      <c r="O903" s="2">
        <v>71.0</v>
      </c>
      <c r="P903" s="2" t="s">
        <v>31</v>
      </c>
      <c r="Q903" s="2" t="s">
        <v>32</v>
      </c>
      <c r="R903" s="2">
        <v>26.0</v>
      </c>
      <c r="T903" s="2" t="s">
        <v>2671</v>
      </c>
      <c r="U903" s="2" t="b">
        <v>0</v>
      </c>
      <c r="V903" s="5">
        <v>0.0047</v>
      </c>
      <c r="W903" s="5">
        <v>0.0163</v>
      </c>
      <c r="X903" s="5">
        <v>7.6E-5</v>
      </c>
      <c r="Y903" s="2">
        <v>44.31521739</v>
      </c>
      <c r="AA903" s="2" t="s">
        <v>33</v>
      </c>
    </row>
    <row r="904">
      <c r="A904" s="2">
        <v>2341.0</v>
      </c>
      <c r="B904" s="2" t="s">
        <v>2672</v>
      </c>
      <c r="C904" s="2" t="s">
        <v>7</v>
      </c>
      <c r="D904" s="2" t="s">
        <v>2673</v>
      </c>
      <c r="E904" s="2" t="s">
        <v>2674</v>
      </c>
      <c r="F904" s="6">
        <v>45828.708333333336</v>
      </c>
      <c r="G904" s="2">
        <v>61673.0</v>
      </c>
      <c r="H904" s="2">
        <v>61673.0</v>
      </c>
      <c r="I904" s="2">
        <v>53846.0</v>
      </c>
      <c r="J904" s="2">
        <v>242.0</v>
      </c>
      <c r="K904" s="2">
        <v>202.0</v>
      </c>
      <c r="L904" s="2">
        <v>1.0</v>
      </c>
      <c r="M904" s="4">
        <v>1870.0</v>
      </c>
      <c r="N904" s="2" t="s">
        <v>30</v>
      </c>
      <c r="O904" s="2">
        <v>70.0</v>
      </c>
      <c r="P904" s="2" t="s">
        <v>31</v>
      </c>
      <c r="Q904" s="2" t="s">
        <v>32</v>
      </c>
      <c r="R904" s="2">
        <v>22.0</v>
      </c>
      <c r="T904" s="7" t="str">
        <f>IFERROR(__xludf.DUMMYFUNCTION("AI(""has offer Come X Pay X"",D904)"),"Has Offer")</f>
        <v>Has Offer</v>
      </c>
      <c r="U904" s="2" t="b">
        <v>0</v>
      </c>
      <c r="V904" s="5">
        <v>0.0038</v>
      </c>
      <c r="W904" s="5">
        <v>0.005</v>
      </c>
      <c r="X904" s="5">
        <v>1.9E-5</v>
      </c>
      <c r="Y904" s="2">
        <v>9.257425743</v>
      </c>
      <c r="AA904" s="2" t="s">
        <v>33</v>
      </c>
    </row>
    <row r="905">
      <c r="A905" s="2">
        <v>2347.0</v>
      </c>
      <c r="B905" s="2" t="s">
        <v>2675</v>
      </c>
      <c r="C905" s="2" t="s">
        <v>7</v>
      </c>
      <c r="D905" s="2" t="s">
        <v>2676</v>
      </c>
      <c r="E905" s="2" t="s">
        <v>2677</v>
      </c>
      <c r="F905" s="6">
        <v>45829.458333333336</v>
      </c>
      <c r="G905" s="2">
        <v>46546.0</v>
      </c>
      <c r="H905" s="2">
        <v>46546.0</v>
      </c>
      <c r="I905" s="2">
        <v>38942.0</v>
      </c>
      <c r="J905" s="2">
        <v>306.0</v>
      </c>
      <c r="K905" s="2">
        <v>242.0</v>
      </c>
      <c r="L905" s="2">
        <v>5.0</v>
      </c>
      <c r="M905" s="4">
        <v>19931.0</v>
      </c>
      <c r="N905" s="2" t="s">
        <v>36</v>
      </c>
      <c r="O905" s="2">
        <v>71.0</v>
      </c>
      <c r="P905" s="2" t="s">
        <v>31</v>
      </c>
      <c r="Q905" s="2" t="s">
        <v>32</v>
      </c>
      <c r="R905" s="2">
        <v>34.0</v>
      </c>
      <c r="T905" s="2" t="s">
        <v>58</v>
      </c>
      <c r="U905" s="2" t="b">
        <v>1</v>
      </c>
      <c r="V905" s="5">
        <v>0.0062</v>
      </c>
      <c r="W905" s="5">
        <v>0.0207</v>
      </c>
      <c r="X905" s="5">
        <v>1.28E-4</v>
      </c>
      <c r="Y905" s="2">
        <v>82.35950413</v>
      </c>
      <c r="AA905" s="2" t="s">
        <v>33</v>
      </c>
    </row>
    <row r="906">
      <c r="A906" s="2">
        <v>2346.0</v>
      </c>
      <c r="B906" s="2" t="s">
        <v>2678</v>
      </c>
      <c r="C906" s="2" t="s">
        <v>7</v>
      </c>
      <c r="D906" s="2" t="s">
        <v>2679</v>
      </c>
      <c r="E906" s="2" t="s">
        <v>2680</v>
      </c>
      <c r="F906" s="6">
        <v>45829.458333333336</v>
      </c>
      <c r="G906" s="2">
        <v>61525.0</v>
      </c>
      <c r="H906" s="2">
        <v>61525.0</v>
      </c>
      <c r="I906" s="2">
        <v>53534.0</v>
      </c>
      <c r="J906" s="2">
        <v>448.0</v>
      </c>
      <c r="K906" s="2">
        <v>366.0</v>
      </c>
      <c r="L906" s="2">
        <v>6.0</v>
      </c>
      <c r="M906" s="4">
        <v>13184.0</v>
      </c>
      <c r="N906" s="2" t="s">
        <v>30</v>
      </c>
      <c r="O906" s="2">
        <v>70.0</v>
      </c>
      <c r="P906" s="2" t="s">
        <v>31</v>
      </c>
      <c r="Q906" s="2" t="s">
        <v>32</v>
      </c>
      <c r="R906" s="2">
        <v>34.0</v>
      </c>
      <c r="T906" s="2" t="s">
        <v>1185</v>
      </c>
      <c r="U906" s="2" t="b">
        <v>0</v>
      </c>
      <c r="V906" s="5">
        <v>0.0068</v>
      </c>
      <c r="W906" s="5">
        <v>0.0164</v>
      </c>
      <c r="X906" s="5">
        <v>1.12E-4</v>
      </c>
      <c r="Y906" s="2">
        <v>36.02185792</v>
      </c>
      <c r="Z906" s="2">
        <v>5830.0</v>
      </c>
      <c r="AA906" s="2" t="s">
        <v>33</v>
      </c>
    </row>
    <row r="907">
      <c r="A907" s="2">
        <v>2349.0</v>
      </c>
      <c r="B907" s="2" t="s">
        <v>2681</v>
      </c>
      <c r="C907" s="2" t="s">
        <v>7</v>
      </c>
      <c r="D907" s="2" t="s">
        <v>2682</v>
      </c>
      <c r="E907" s="2" t="s">
        <v>2683</v>
      </c>
      <c r="F907" s="6">
        <v>45829.625</v>
      </c>
      <c r="G907" s="2">
        <v>46580.0</v>
      </c>
      <c r="H907" s="2">
        <v>46580.0</v>
      </c>
      <c r="I907" s="2">
        <v>39288.0</v>
      </c>
      <c r="J907" s="2">
        <v>194.0</v>
      </c>
      <c r="K907" s="2">
        <v>158.0</v>
      </c>
      <c r="L907" s="2">
        <v>0.0</v>
      </c>
      <c r="M907" s="2">
        <v>0.0</v>
      </c>
      <c r="N907" s="2" t="s">
        <v>36</v>
      </c>
      <c r="O907" s="2">
        <v>71.0</v>
      </c>
      <c r="P907" s="2" t="s">
        <v>31</v>
      </c>
      <c r="Q907" s="2" t="s">
        <v>32</v>
      </c>
      <c r="R907" s="2">
        <v>22.0</v>
      </c>
      <c r="T907" s="2" t="s">
        <v>47</v>
      </c>
      <c r="U907" s="2" t="b">
        <v>0</v>
      </c>
      <c r="V907" s="5">
        <v>0.004</v>
      </c>
      <c r="W907" s="5">
        <v>0.0</v>
      </c>
      <c r="X907" s="5">
        <v>0.0</v>
      </c>
      <c r="Y907" s="2">
        <v>0.0</v>
      </c>
      <c r="AA907" s="2" t="s">
        <v>33</v>
      </c>
    </row>
    <row r="908">
      <c r="A908" s="2">
        <v>2348.0</v>
      </c>
      <c r="B908" s="2" t="s">
        <v>2684</v>
      </c>
      <c r="C908" s="2" t="s">
        <v>7</v>
      </c>
      <c r="D908" s="2" t="s">
        <v>2685</v>
      </c>
      <c r="E908" s="2" t="s">
        <v>2686</v>
      </c>
      <c r="F908" s="6">
        <v>45829.625</v>
      </c>
      <c r="G908" s="2">
        <v>61561.0</v>
      </c>
      <c r="H908" s="2">
        <v>61561.0</v>
      </c>
      <c r="I908" s="2">
        <v>53779.0</v>
      </c>
      <c r="J908" s="2">
        <v>274.0</v>
      </c>
      <c r="K908" s="2">
        <v>229.0</v>
      </c>
      <c r="L908" s="2">
        <v>3.0</v>
      </c>
      <c r="M908" s="4">
        <v>7230.0</v>
      </c>
      <c r="N908" s="2" t="s">
        <v>30</v>
      </c>
      <c r="O908" s="2">
        <v>70.0</v>
      </c>
      <c r="P908" s="2" t="s">
        <v>31</v>
      </c>
      <c r="Q908" s="2" t="s">
        <v>32</v>
      </c>
      <c r="R908" s="2">
        <v>22.0</v>
      </c>
      <c r="U908" s="2" t="b">
        <v>0</v>
      </c>
      <c r="V908" s="5">
        <v>0.0043</v>
      </c>
      <c r="W908" s="5">
        <v>0.0131</v>
      </c>
      <c r="X908" s="5">
        <v>5.6E-5</v>
      </c>
      <c r="Y908" s="2">
        <v>31.5720524</v>
      </c>
      <c r="Z908" s="2">
        <v>875.0</v>
      </c>
      <c r="AA908" s="2" t="s">
        <v>33</v>
      </c>
    </row>
    <row r="909">
      <c r="A909" s="2">
        <v>2351.0</v>
      </c>
      <c r="B909" s="2" t="s">
        <v>2687</v>
      </c>
      <c r="C909" s="2" t="s">
        <v>7</v>
      </c>
      <c r="D909" s="2" t="s">
        <v>2688</v>
      </c>
      <c r="E909" s="2" t="s">
        <v>2689</v>
      </c>
      <c r="F909" s="6">
        <v>45829.708333333336</v>
      </c>
      <c r="G909" s="2">
        <v>46587.0</v>
      </c>
      <c r="H909" s="2">
        <v>46587.0</v>
      </c>
      <c r="I909" s="2">
        <v>39334.0</v>
      </c>
      <c r="J909" s="2">
        <v>232.0</v>
      </c>
      <c r="K909" s="2">
        <v>190.0</v>
      </c>
      <c r="L909" s="2">
        <v>7.0</v>
      </c>
      <c r="M909" s="4">
        <v>17059.0</v>
      </c>
      <c r="N909" s="2" t="s">
        <v>36</v>
      </c>
      <c r="O909" s="2">
        <v>71.0</v>
      </c>
      <c r="P909" s="2" t="s">
        <v>31</v>
      </c>
      <c r="Q909" s="2" t="s">
        <v>32</v>
      </c>
      <c r="R909" s="2">
        <v>33.0</v>
      </c>
      <c r="T909" s="2" t="s">
        <v>58</v>
      </c>
      <c r="U909" s="2" t="b">
        <v>0</v>
      </c>
      <c r="V909" s="5">
        <v>0.0048</v>
      </c>
      <c r="W909" s="5">
        <v>0.0368</v>
      </c>
      <c r="X909" s="5">
        <v>1.78E-4</v>
      </c>
      <c r="Y909" s="2">
        <v>89.78421053</v>
      </c>
      <c r="AA909" s="2" t="s">
        <v>33</v>
      </c>
    </row>
    <row r="910">
      <c r="A910" s="2">
        <v>2350.0</v>
      </c>
      <c r="B910" s="2" t="s">
        <v>2690</v>
      </c>
      <c r="C910" s="2" t="s">
        <v>7</v>
      </c>
      <c r="D910" s="2" t="s">
        <v>2691</v>
      </c>
      <c r="E910" s="2" t="s">
        <v>2692</v>
      </c>
      <c r="F910" s="6">
        <v>45829.708333333336</v>
      </c>
      <c r="G910" s="2">
        <v>61579.0</v>
      </c>
      <c r="H910" s="2">
        <v>61579.0</v>
      </c>
      <c r="I910" s="2">
        <v>53806.0</v>
      </c>
      <c r="J910" s="2">
        <v>364.0</v>
      </c>
      <c r="K910" s="2">
        <v>294.0</v>
      </c>
      <c r="L910" s="2">
        <v>6.0</v>
      </c>
      <c r="M910" s="4">
        <v>9447.0</v>
      </c>
      <c r="N910" s="2" t="s">
        <v>30</v>
      </c>
      <c r="O910" s="2">
        <v>70.0</v>
      </c>
      <c r="P910" s="2" t="s">
        <v>31</v>
      </c>
      <c r="Q910" s="2" t="s">
        <v>32</v>
      </c>
      <c r="R910" s="2">
        <v>28.0</v>
      </c>
      <c r="T910" s="2" t="s">
        <v>58</v>
      </c>
      <c r="U910" s="2" t="b">
        <v>0</v>
      </c>
      <c r="V910" s="5">
        <v>0.0055</v>
      </c>
      <c r="W910" s="5">
        <v>0.0204</v>
      </c>
      <c r="X910" s="5">
        <v>1.12E-4</v>
      </c>
      <c r="Y910" s="2">
        <v>32.13265306</v>
      </c>
      <c r="AA910" s="2" t="s">
        <v>33</v>
      </c>
    </row>
    <row r="911">
      <c r="A911" s="2">
        <v>2353.0</v>
      </c>
      <c r="B911" s="2" t="s">
        <v>2693</v>
      </c>
      <c r="C911" s="2" t="s">
        <v>7</v>
      </c>
      <c r="D911" s="2" t="s">
        <v>2694</v>
      </c>
      <c r="E911" s="2" t="s">
        <v>2695</v>
      </c>
      <c r="F911" s="6">
        <v>45830.458333333336</v>
      </c>
      <c r="G911" s="2">
        <v>46561.0</v>
      </c>
      <c r="H911" s="2">
        <v>46561.0</v>
      </c>
      <c r="I911" s="2">
        <v>39003.0</v>
      </c>
      <c r="J911" s="2">
        <v>303.0</v>
      </c>
      <c r="K911" s="2">
        <v>243.0</v>
      </c>
      <c r="L911" s="2">
        <v>6.0</v>
      </c>
      <c r="M911" s="4">
        <v>24332.0</v>
      </c>
      <c r="N911" s="2" t="s">
        <v>36</v>
      </c>
      <c r="O911" s="2">
        <v>71.0</v>
      </c>
      <c r="P911" s="2" t="s">
        <v>189</v>
      </c>
      <c r="Q911" s="2" t="s">
        <v>32</v>
      </c>
      <c r="R911" s="2">
        <v>30.0</v>
      </c>
      <c r="U911" s="2" t="b">
        <v>1</v>
      </c>
      <c r="V911" s="5">
        <v>0.0062</v>
      </c>
      <c r="W911" s="5">
        <v>0.0247</v>
      </c>
      <c r="X911" s="5">
        <v>1.54E-4</v>
      </c>
      <c r="Y911" s="2">
        <v>100.1316872</v>
      </c>
      <c r="AA911" s="2" t="s">
        <v>33</v>
      </c>
    </row>
    <row r="912">
      <c r="A912" s="2">
        <v>2352.0</v>
      </c>
      <c r="B912" s="2" t="s">
        <v>2696</v>
      </c>
      <c r="C912" s="2" t="s">
        <v>7</v>
      </c>
      <c r="D912" s="2" t="s">
        <v>2697</v>
      </c>
      <c r="E912" s="2" t="s">
        <v>2698</v>
      </c>
      <c r="F912" s="6">
        <v>45830.458333333336</v>
      </c>
      <c r="G912" s="2">
        <v>61476.0</v>
      </c>
      <c r="H912" s="2">
        <v>61476.0</v>
      </c>
      <c r="I912" s="2">
        <v>53425.0</v>
      </c>
      <c r="J912" s="2">
        <v>477.0</v>
      </c>
      <c r="K912" s="2">
        <v>383.0</v>
      </c>
      <c r="L912" s="2">
        <v>8.0</v>
      </c>
      <c r="M912" s="4">
        <v>21430.0</v>
      </c>
      <c r="N912" s="2" t="s">
        <v>30</v>
      </c>
      <c r="O912" s="2">
        <v>70.0</v>
      </c>
      <c r="P912" s="2" t="s">
        <v>31</v>
      </c>
      <c r="Q912" s="2" t="s">
        <v>32</v>
      </c>
      <c r="R912" s="2">
        <v>33.0</v>
      </c>
      <c r="T912" s="2" t="s">
        <v>405</v>
      </c>
      <c r="U912" s="2" t="b">
        <v>0</v>
      </c>
      <c r="V912" s="5">
        <v>0.0072</v>
      </c>
      <c r="W912" s="5">
        <v>0.0209</v>
      </c>
      <c r="X912" s="5">
        <v>1.5E-4</v>
      </c>
      <c r="Y912" s="2">
        <v>55.95300261</v>
      </c>
      <c r="Z912" s="2">
        <v>222.0</v>
      </c>
      <c r="AA912" s="2" t="s">
        <v>33</v>
      </c>
    </row>
    <row r="913">
      <c r="A913" s="2">
        <v>2355.0</v>
      </c>
      <c r="B913" s="2" t="s">
        <v>2699</v>
      </c>
      <c r="C913" s="2" t="s">
        <v>7</v>
      </c>
      <c r="D913" s="2" t="s">
        <v>2700</v>
      </c>
      <c r="E913" s="2" t="e">
        <v>#N/A</v>
      </c>
      <c r="F913" s="6">
        <v>45830.625</v>
      </c>
      <c r="G913" s="2">
        <v>46561.0</v>
      </c>
      <c r="H913" s="2">
        <v>46561.0</v>
      </c>
      <c r="I913" s="2">
        <v>39365.0</v>
      </c>
      <c r="J913" s="2">
        <v>255.0</v>
      </c>
      <c r="K913" s="2">
        <v>211.0</v>
      </c>
      <c r="L913" s="2">
        <v>5.0</v>
      </c>
      <c r="M913" s="4">
        <v>26395.0</v>
      </c>
      <c r="N913" s="2" t="s">
        <v>36</v>
      </c>
      <c r="O913" s="2">
        <v>71.0</v>
      </c>
      <c r="P913" s="2" t="s">
        <v>31</v>
      </c>
      <c r="Q913" s="2" t="s">
        <v>32</v>
      </c>
      <c r="R913" s="2">
        <v>38.0</v>
      </c>
      <c r="U913" s="2" t="b">
        <v>0</v>
      </c>
      <c r="V913" s="5">
        <v>0.0054</v>
      </c>
      <c r="W913" s="5">
        <v>0.0237</v>
      </c>
      <c r="X913" s="5">
        <v>1.27E-4</v>
      </c>
      <c r="Y913" s="2">
        <v>125.0947867</v>
      </c>
      <c r="AA913" s="2" t="s">
        <v>33</v>
      </c>
    </row>
    <row r="914">
      <c r="A914" s="2">
        <v>2354.0</v>
      </c>
      <c r="B914" s="2" t="s">
        <v>2701</v>
      </c>
      <c r="C914" s="2" t="s">
        <v>7</v>
      </c>
      <c r="D914" s="2" t="s">
        <v>2702</v>
      </c>
      <c r="E914" s="2" t="e">
        <v>#N/A</v>
      </c>
      <c r="F914" s="6">
        <v>45830.625</v>
      </c>
      <c r="G914" s="2">
        <v>61506.0</v>
      </c>
      <c r="H914" s="2">
        <v>61506.0</v>
      </c>
      <c r="I914" s="2">
        <v>53758.0</v>
      </c>
      <c r="J914" s="2">
        <v>335.0</v>
      </c>
      <c r="K914" s="2">
        <v>272.0</v>
      </c>
      <c r="L914" s="2">
        <v>5.0</v>
      </c>
      <c r="M914" s="4">
        <v>16899.0</v>
      </c>
      <c r="N914" s="2" t="s">
        <v>30</v>
      </c>
      <c r="O914" s="2">
        <v>70.0</v>
      </c>
      <c r="P914" s="2" t="s">
        <v>31</v>
      </c>
      <c r="Q914" s="2" t="s">
        <v>32</v>
      </c>
      <c r="R914" s="2">
        <v>38.0</v>
      </c>
      <c r="T914" s="2" t="s">
        <v>47</v>
      </c>
      <c r="U914" s="2" t="b">
        <v>0</v>
      </c>
      <c r="V914" s="5">
        <v>0.0051</v>
      </c>
      <c r="W914" s="5">
        <v>0.0184</v>
      </c>
      <c r="X914" s="5">
        <v>9.3E-5</v>
      </c>
      <c r="Y914" s="2">
        <v>62.12867647</v>
      </c>
      <c r="AA914" s="2" t="s">
        <v>33</v>
      </c>
    </row>
    <row r="915">
      <c r="A915" s="2">
        <v>2357.0</v>
      </c>
      <c r="B915" s="2" t="s">
        <v>2703</v>
      </c>
      <c r="C915" s="2" t="s">
        <v>7</v>
      </c>
      <c r="D915" s="2" t="s">
        <v>2704</v>
      </c>
      <c r="E915" s="2" t="s">
        <v>2705</v>
      </c>
      <c r="F915" s="6">
        <v>45830.708333333336</v>
      </c>
      <c r="G915" s="2">
        <v>46599.0</v>
      </c>
      <c r="H915" s="2">
        <v>46599.0</v>
      </c>
      <c r="I915" s="2">
        <v>39458.0</v>
      </c>
      <c r="J915" s="2">
        <v>362.0</v>
      </c>
      <c r="K915" s="2">
        <v>302.0</v>
      </c>
      <c r="L915" s="2">
        <v>8.0</v>
      </c>
      <c r="M915" s="4">
        <v>11257.0</v>
      </c>
      <c r="N915" s="2" t="s">
        <v>36</v>
      </c>
      <c r="O915" s="2">
        <v>71.0</v>
      </c>
      <c r="P915" s="2" t="s">
        <v>31</v>
      </c>
      <c r="Q915" s="2" t="s">
        <v>32</v>
      </c>
      <c r="R915" s="2">
        <v>33.0</v>
      </c>
      <c r="U915" s="2" t="b">
        <v>0</v>
      </c>
      <c r="V915" s="5">
        <v>0.0077</v>
      </c>
      <c r="W915" s="5">
        <v>0.0265</v>
      </c>
      <c r="X915" s="5">
        <v>2.03E-4</v>
      </c>
      <c r="Y915" s="2">
        <v>37.27483444</v>
      </c>
      <c r="AA915" s="2" t="s">
        <v>33</v>
      </c>
    </row>
    <row r="916">
      <c r="A916" s="2">
        <v>2356.0</v>
      </c>
      <c r="B916" s="2" t="s">
        <v>2706</v>
      </c>
      <c r="C916" s="2" t="s">
        <v>7</v>
      </c>
      <c r="D916" s="2" t="s">
        <v>2707</v>
      </c>
      <c r="E916" s="2" t="s">
        <v>2708</v>
      </c>
      <c r="F916" s="6">
        <v>45830.708333333336</v>
      </c>
      <c r="G916" s="2">
        <v>61534.0</v>
      </c>
      <c r="H916" s="2">
        <v>61534.0</v>
      </c>
      <c r="I916" s="2">
        <v>53742.0</v>
      </c>
      <c r="J916" s="2">
        <v>391.0</v>
      </c>
      <c r="K916" s="2">
        <v>326.0</v>
      </c>
      <c r="L916" s="2">
        <v>7.0</v>
      </c>
      <c r="M916" s="4">
        <v>11105.0</v>
      </c>
      <c r="N916" s="2" t="s">
        <v>30</v>
      </c>
      <c r="O916" s="2">
        <v>70.0</v>
      </c>
      <c r="P916" s="2" t="s">
        <v>31</v>
      </c>
      <c r="Q916" s="2" t="s">
        <v>32</v>
      </c>
      <c r="R916" s="2">
        <v>37.0</v>
      </c>
      <c r="U916" s="2" t="b">
        <v>0</v>
      </c>
      <c r="V916" s="5">
        <v>0.0061</v>
      </c>
      <c r="W916" s="5">
        <v>0.0215</v>
      </c>
      <c r="X916" s="5">
        <v>1.3E-4</v>
      </c>
      <c r="Y916" s="2">
        <v>34.06441718</v>
      </c>
      <c r="Z916" s="2">
        <v>4405.0</v>
      </c>
      <c r="AA916" s="2" t="s">
        <v>33</v>
      </c>
    </row>
    <row r="917">
      <c r="A917" s="2">
        <v>2360.0</v>
      </c>
      <c r="B917" s="2" t="s">
        <v>2709</v>
      </c>
      <c r="C917" s="2" t="s">
        <v>7</v>
      </c>
      <c r="D917" s="2" t="s">
        <v>2710</v>
      </c>
      <c r="E917" s="2" t="s">
        <v>2711</v>
      </c>
      <c r="F917" s="6">
        <v>45831.49791666667</v>
      </c>
      <c r="G917" s="2">
        <v>59874.0</v>
      </c>
      <c r="H917" s="2">
        <v>59874.0</v>
      </c>
      <c r="I917" s="2">
        <v>53014.0</v>
      </c>
      <c r="J917" s="2">
        <v>237.0</v>
      </c>
      <c r="K917" s="2">
        <v>213.0</v>
      </c>
      <c r="L917" s="2">
        <v>2.0</v>
      </c>
      <c r="M917" s="4">
        <v>5530.0</v>
      </c>
      <c r="N917" s="2" t="s">
        <v>30</v>
      </c>
      <c r="O917" s="2">
        <v>70.0</v>
      </c>
      <c r="P917" s="2" t="s">
        <v>31</v>
      </c>
      <c r="Q917" s="2" t="s">
        <v>32</v>
      </c>
      <c r="R917" s="2">
        <v>40.0</v>
      </c>
      <c r="T917" s="2" t="s">
        <v>47</v>
      </c>
      <c r="U917" s="2" t="b">
        <v>0</v>
      </c>
      <c r="V917" s="5">
        <v>0.004</v>
      </c>
      <c r="W917" s="5">
        <v>0.0094</v>
      </c>
      <c r="X917" s="5">
        <v>3.8E-5</v>
      </c>
      <c r="Y917" s="2">
        <v>25.96244131</v>
      </c>
      <c r="AA917" s="2" t="s">
        <v>33</v>
      </c>
    </row>
    <row r="918">
      <c r="A918" s="2">
        <v>2361.0</v>
      </c>
      <c r="B918" s="2" t="s">
        <v>2712</v>
      </c>
      <c r="C918" s="2" t="s">
        <v>7</v>
      </c>
      <c r="D918" s="2" t="s">
        <v>2713</v>
      </c>
      <c r="E918" s="2" t="s">
        <v>2714</v>
      </c>
      <c r="F918" s="6">
        <v>45831.50277777778</v>
      </c>
      <c r="G918" s="2">
        <v>45772.0</v>
      </c>
      <c r="H918" s="2">
        <v>45772.0</v>
      </c>
      <c r="I918" s="2">
        <v>38448.0</v>
      </c>
      <c r="J918" s="2">
        <v>224.0</v>
      </c>
      <c r="K918" s="2">
        <v>194.0</v>
      </c>
      <c r="L918" s="2">
        <v>3.0</v>
      </c>
      <c r="M918" s="4">
        <v>13377.0</v>
      </c>
      <c r="N918" s="2" t="s">
        <v>36</v>
      </c>
      <c r="O918" s="2">
        <v>71.0</v>
      </c>
      <c r="P918" s="2" t="s">
        <v>31</v>
      </c>
      <c r="Q918" s="2" t="s">
        <v>32</v>
      </c>
      <c r="R918" s="2">
        <v>38.0</v>
      </c>
      <c r="T918" s="2" t="s">
        <v>47</v>
      </c>
      <c r="U918" s="2" t="b">
        <v>0</v>
      </c>
      <c r="V918" s="5">
        <v>0.005</v>
      </c>
      <c r="W918" s="5">
        <v>0.0155</v>
      </c>
      <c r="X918" s="5">
        <v>7.8E-5</v>
      </c>
      <c r="Y918" s="2">
        <v>68.95360825</v>
      </c>
      <c r="AA918" s="2" t="s">
        <v>33</v>
      </c>
    </row>
    <row r="919">
      <c r="A919" s="2">
        <v>2345.0</v>
      </c>
      <c r="B919" s="2" t="s">
        <v>2715</v>
      </c>
      <c r="C919" s="2" t="s">
        <v>7</v>
      </c>
      <c r="D919" s="2" t="s">
        <v>2716</v>
      </c>
      <c r="E919" s="2" t="e">
        <v>#N/A</v>
      </c>
      <c r="F919" s="6">
        <v>45831.50347222222</v>
      </c>
      <c r="G919" s="2">
        <v>2779.0</v>
      </c>
      <c r="H919" s="2">
        <v>2779.0</v>
      </c>
      <c r="I919" s="2">
        <v>2433.0</v>
      </c>
      <c r="J919" s="2">
        <v>46.0</v>
      </c>
      <c r="K919" s="2">
        <v>40.0</v>
      </c>
      <c r="L919" s="2">
        <v>0.0</v>
      </c>
      <c r="M919" s="2">
        <v>0.0</v>
      </c>
      <c r="N919" s="2" t="s">
        <v>423</v>
      </c>
      <c r="O919" s="2">
        <v>119.0</v>
      </c>
      <c r="P919" s="2" t="s">
        <v>31</v>
      </c>
      <c r="Q919" s="2" t="s">
        <v>1367</v>
      </c>
      <c r="R919" s="2">
        <v>41.0</v>
      </c>
      <c r="U919" s="2" t="b">
        <v>0</v>
      </c>
      <c r="V919" s="5">
        <v>0.0164</v>
      </c>
      <c r="W919" s="5">
        <v>0.0</v>
      </c>
      <c r="X919" s="5">
        <v>0.0</v>
      </c>
      <c r="Y919" s="2">
        <v>0.0</v>
      </c>
      <c r="AA919" s="2" t="s">
        <v>423</v>
      </c>
    </row>
    <row r="920">
      <c r="A920" s="2">
        <v>2363.0</v>
      </c>
      <c r="B920" s="2" t="s">
        <v>2717</v>
      </c>
      <c r="C920" s="2" t="s">
        <v>7</v>
      </c>
      <c r="D920" s="2" t="s">
        <v>2718</v>
      </c>
      <c r="E920" s="2" t="s">
        <v>2719</v>
      </c>
      <c r="F920" s="6">
        <v>45831.625</v>
      </c>
      <c r="G920" s="2">
        <v>46590.0</v>
      </c>
      <c r="H920" s="2">
        <v>46590.0</v>
      </c>
      <c r="I920" s="2">
        <v>39430.0</v>
      </c>
      <c r="J920" s="2">
        <v>252.0</v>
      </c>
      <c r="K920" s="2">
        <v>187.0</v>
      </c>
      <c r="L920" s="2">
        <v>0.0</v>
      </c>
      <c r="M920" s="2">
        <v>0.0</v>
      </c>
      <c r="N920" s="2" t="s">
        <v>36</v>
      </c>
      <c r="O920" s="2">
        <v>71.0</v>
      </c>
      <c r="P920" s="2" t="s">
        <v>31</v>
      </c>
      <c r="Q920" s="2" t="s">
        <v>32</v>
      </c>
      <c r="R920" s="2">
        <v>32.0</v>
      </c>
      <c r="T920" s="2" t="s">
        <v>58</v>
      </c>
      <c r="U920" s="2" t="b">
        <v>1</v>
      </c>
      <c r="V920" s="5">
        <v>0.0047</v>
      </c>
      <c r="W920" s="5">
        <v>0.0</v>
      </c>
      <c r="X920" s="5">
        <v>0.0</v>
      </c>
      <c r="Y920" s="2">
        <v>0.0</v>
      </c>
      <c r="AA920" s="2" t="s">
        <v>33</v>
      </c>
    </row>
    <row r="921">
      <c r="A921" s="2">
        <v>2362.0</v>
      </c>
      <c r="B921" s="2" t="s">
        <v>2720</v>
      </c>
      <c r="C921" s="2" t="s">
        <v>7</v>
      </c>
      <c r="D921" s="2" t="s">
        <v>2721</v>
      </c>
      <c r="E921" s="2" t="s">
        <v>2722</v>
      </c>
      <c r="F921" s="6">
        <v>45831.625</v>
      </c>
      <c r="G921" s="2">
        <v>61475.0</v>
      </c>
      <c r="H921" s="2">
        <v>61475.0</v>
      </c>
      <c r="I921" s="2">
        <v>53846.0</v>
      </c>
      <c r="J921" s="2">
        <v>368.0</v>
      </c>
      <c r="K921" s="2">
        <v>285.0</v>
      </c>
      <c r="L921" s="2">
        <v>5.0</v>
      </c>
      <c r="M921" s="4">
        <v>23219.0</v>
      </c>
      <c r="N921" s="2" t="s">
        <v>30</v>
      </c>
      <c r="O921" s="2">
        <v>70.0</v>
      </c>
      <c r="P921" s="2" t="s">
        <v>31</v>
      </c>
      <c r="Q921" s="2" t="s">
        <v>32</v>
      </c>
      <c r="R921" s="2">
        <v>34.0</v>
      </c>
      <c r="T921" s="2" t="s">
        <v>143</v>
      </c>
      <c r="U921" s="2" t="b">
        <v>0</v>
      </c>
      <c r="V921" s="5">
        <v>0.0053</v>
      </c>
      <c r="W921" s="5">
        <v>0.0175</v>
      </c>
      <c r="X921" s="5">
        <v>9.3E-5</v>
      </c>
      <c r="Y921" s="2">
        <v>81.47017544</v>
      </c>
      <c r="AA921" s="2" t="s">
        <v>33</v>
      </c>
    </row>
    <row r="922">
      <c r="A922" s="2">
        <v>2365.0</v>
      </c>
      <c r="B922" s="2" t="s">
        <v>2723</v>
      </c>
      <c r="C922" s="2" t="s">
        <v>7</v>
      </c>
      <c r="D922" s="2" t="s">
        <v>2724</v>
      </c>
      <c r="E922" s="2" t="s">
        <v>2725</v>
      </c>
      <c r="F922" s="6">
        <v>45831.708333333336</v>
      </c>
      <c r="G922" s="2">
        <v>46611.0</v>
      </c>
      <c r="H922" s="2">
        <v>46611.0</v>
      </c>
      <c r="I922" s="2">
        <v>39483.0</v>
      </c>
      <c r="J922" s="2">
        <v>278.0</v>
      </c>
      <c r="K922" s="2">
        <v>205.0</v>
      </c>
      <c r="L922" s="2">
        <v>2.0</v>
      </c>
      <c r="M922" s="4">
        <v>3500.0</v>
      </c>
      <c r="N922" s="2" t="s">
        <v>36</v>
      </c>
      <c r="O922" s="2">
        <v>71.0</v>
      </c>
      <c r="P922" s="2" t="s">
        <v>31</v>
      </c>
      <c r="Q922" s="2" t="s">
        <v>32</v>
      </c>
      <c r="R922" s="2">
        <v>29.0</v>
      </c>
      <c r="T922" s="2" t="s">
        <v>58</v>
      </c>
      <c r="U922" s="2" t="b">
        <v>1</v>
      </c>
      <c r="V922" s="5">
        <v>0.0052</v>
      </c>
      <c r="W922" s="5">
        <v>0.0098</v>
      </c>
      <c r="X922" s="5">
        <v>5.1E-5</v>
      </c>
      <c r="Y922" s="2">
        <v>17.07317073</v>
      </c>
      <c r="AA922" s="2" t="s">
        <v>33</v>
      </c>
    </row>
    <row r="923">
      <c r="A923" s="2">
        <v>2364.0</v>
      </c>
      <c r="B923" s="2" t="s">
        <v>2726</v>
      </c>
      <c r="C923" s="2" t="s">
        <v>7</v>
      </c>
      <c r="D923" s="2" t="s">
        <v>1978</v>
      </c>
      <c r="E923" s="2" t="s">
        <v>2727</v>
      </c>
      <c r="F923" s="6">
        <v>45831.708333333336</v>
      </c>
      <c r="G923" s="2">
        <v>61504.0</v>
      </c>
      <c r="H923" s="2">
        <v>61504.0</v>
      </c>
      <c r="I923" s="2">
        <v>53819.0</v>
      </c>
      <c r="J923" s="2">
        <v>332.0</v>
      </c>
      <c r="K923" s="2">
        <v>261.0</v>
      </c>
      <c r="L923" s="2">
        <v>1.0</v>
      </c>
      <c r="M923" s="4">
        <v>3954.0</v>
      </c>
      <c r="N923" s="2" t="s">
        <v>30</v>
      </c>
      <c r="O923" s="2">
        <v>70.0</v>
      </c>
      <c r="P923" s="2" t="s">
        <v>31</v>
      </c>
      <c r="Q923" s="2" t="s">
        <v>32</v>
      </c>
      <c r="R923" s="2">
        <v>29.0</v>
      </c>
      <c r="T923" s="2" t="s">
        <v>143</v>
      </c>
      <c r="U923" s="2" t="b">
        <v>0</v>
      </c>
      <c r="V923" s="5">
        <v>0.0048</v>
      </c>
      <c r="W923" s="5">
        <v>0.0038</v>
      </c>
      <c r="X923" s="5">
        <v>1.9E-5</v>
      </c>
      <c r="Y923" s="2">
        <v>15.14942529</v>
      </c>
      <c r="Z923" s="2">
        <v>5558.0</v>
      </c>
      <c r="AA923" s="2" t="s">
        <v>33</v>
      </c>
    </row>
    <row r="924">
      <c r="A924" s="2">
        <v>2371.0</v>
      </c>
      <c r="B924" s="2" t="s">
        <v>2728</v>
      </c>
      <c r="C924" s="2" t="s">
        <v>7</v>
      </c>
      <c r="D924" s="2" t="s">
        <v>2729</v>
      </c>
      <c r="E924" s="2" t="s">
        <v>2730</v>
      </c>
      <c r="F924" s="6">
        <v>45832.722916666666</v>
      </c>
      <c r="G924" s="2">
        <v>61552.0</v>
      </c>
      <c r="H924" s="2">
        <v>61552.0</v>
      </c>
      <c r="I924" s="2">
        <v>53962.0</v>
      </c>
      <c r="J924" s="2">
        <v>483.0</v>
      </c>
      <c r="K924" s="2">
        <v>393.0</v>
      </c>
      <c r="L924" s="2">
        <v>5.0</v>
      </c>
      <c r="M924" s="4">
        <v>8373.0</v>
      </c>
      <c r="N924" s="2" t="s">
        <v>30</v>
      </c>
      <c r="O924" s="2">
        <v>70.0</v>
      </c>
      <c r="P924" s="2" t="s">
        <v>31</v>
      </c>
      <c r="Q924" s="2" t="s">
        <v>32</v>
      </c>
      <c r="R924" s="2">
        <v>31.0</v>
      </c>
      <c r="T924" s="2" t="s">
        <v>1185</v>
      </c>
      <c r="U924" s="2" t="b">
        <v>0</v>
      </c>
      <c r="V924" s="5">
        <v>0.0073</v>
      </c>
      <c r="W924" s="5">
        <v>0.0127</v>
      </c>
      <c r="X924" s="5">
        <v>9.3E-5</v>
      </c>
      <c r="Y924" s="2">
        <v>21.30534351</v>
      </c>
      <c r="Z924" s="2" t="s">
        <v>2731</v>
      </c>
      <c r="AA924" s="2" t="s">
        <v>33</v>
      </c>
    </row>
    <row r="925">
      <c r="A925" s="2">
        <v>2372.0</v>
      </c>
      <c r="B925" s="2" t="s">
        <v>2732</v>
      </c>
      <c r="C925" s="2" t="s">
        <v>7</v>
      </c>
      <c r="D925" s="2" t="s">
        <v>2733</v>
      </c>
      <c r="E925" s="2" t="s">
        <v>2734</v>
      </c>
      <c r="F925" s="6">
        <v>45832.72361111111</v>
      </c>
      <c r="G925" s="2">
        <v>46815.0</v>
      </c>
      <c r="H925" s="2">
        <v>46815.0</v>
      </c>
      <c r="I925" s="2">
        <v>39709.0</v>
      </c>
      <c r="J925" s="2">
        <v>275.0</v>
      </c>
      <c r="K925" s="2">
        <v>210.0</v>
      </c>
      <c r="L925" s="2">
        <v>5.0</v>
      </c>
      <c r="M925" s="4">
        <v>9356.0</v>
      </c>
      <c r="N925" s="2" t="s">
        <v>36</v>
      </c>
      <c r="O925" s="2">
        <v>71.0</v>
      </c>
      <c r="P925" s="2" t="s">
        <v>31</v>
      </c>
      <c r="Q925" s="2" t="s">
        <v>32</v>
      </c>
      <c r="R925" s="2">
        <v>31.0</v>
      </c>
      <c r="T925" s="2" t="s">
        <v>58</v>
      </c>
      <c r="U925" s="2" t="b">
        <v>1</v>
      </c>
      <c r="V925" s="5">
        <v>0.0053</v>
      </c>
      <c r="W925" s="5">
        <v>0.0238</v>
      </c>
      <c r="X925" s="5">
        <v>1.26E-4</v>
      </c>
      <c r="Y925" s="2">
        <v>44.55238095</v>
      </c>
      <c r="AA925" s="2" t="s">
        <v>33</v>
      </c>
    </row>
    <row r="926">
      <c r="A926" s="2">
        <v>2374.0</v>
      </c>
      <c r="B926" s="2" t="s">
        <v>2735</v>
      </c>
      <c r="C926" s="2" t="s">
        <v>7</v>
      </c>
      <c r="D926" s="2" t="s">
        <v>2736</v>
      </c>
      <c r="E926" s="2" t="s">
        <v>2737</v>
      </c>
      <c r="F926" s="6">
        <v>45832.791666666664</v>
      </c>
      <c r="G926" s="2">
        <v>46782.0</v>
      </c>
      <c r="H926" s="2">
        <v>46782.0</v>
      </c>
      <c r="I926" s="2">
        <v>39634.0</v>
      </c>
      <c r="J926" s="2">
        <v>250.0</v>
      </c>
      <c r="K926" s="2">
        <v>186.0</v>
      </c>
      <c r="L926" s="2">
        <v>1.0</v>
      </c>
      <c r="M926" s="4">
        <v>3398.0</v>
      </c>
      <c r="N926" s="2" t="s">
        <v>36</v>
      </c>
      <c r="O926" s="2">
        <v>71.0</v>
      </c>
      <c r="P926" s="2" t="s">
        <v>31</v>
      </c>
      <c r="Q926" s="2" t="s">
        <v>32</v>
      </c>
      <c r="R926" s="2">
        <v>33.0</v>
      </c>
      <c r="U926" s="2" t="b">
        <v>0</v>
      </c>
      <c r="V926" s="5">
        <v>0.0047</v>
      </c>
      <c r="W926" s="5">
        <v>0.0054</v>
      </c>
      <c r="X926" s="5">
        <v>2.5E-5</v>
      </c>
      <c r="Y926" s="2">
        <v>18.2688172</v>
      </c>
      <c r="AA926" s="2" t="s">
        <v>33</v>
      </c>
    </row>
    <row r="927">
      <c r="A927" s="2">
        <v>2373.0</v>
      </c>
      <c r="B927" s="2" t="s">
        <v>2738</v>
      </c>
      <c r="C927" s="2" t="s">
        <v>7</v>
      </c>
      <c r="D927" s="2" t="s">
        <v>2739</v>
      </c>
      <c r="E927" s="2" t="s">
        <v>2740</v>
      </c>
      <c r="F927" s="6">
        <v>45832.791666666664</v>
      </c>
      <c r="G927" s="2">
        <v>61531.0</v>
      </c>
      <c r="H927" s="2">
        <v>61531.0</v>
      </c>
      <c r="I927" s="2">
        <v>53928.0</v>
      </c>
      <c r="J927" s="2">
        <v>316.0</v>
      </c>
      <c r="K927" s="2">
        <v>251.0</v>
      </c>
      <c r="L927" s="2">
        <v>6.0</v>
      </c>
      <c r="M927" s="4">
        <v>43784.0</v>
      </c>
      <c r="N927" s="2" t="s">
        <v>30</v>
      </c>
      <c r="O927" s="2">
        <v>70.0</v>
      </c>
      <c r="P927" s="2" t="s">
        <v>31</v>
      </c>
      <c r="Q927" s="2" t="s">
        <v>32</v>
      </c>
      <c r="R927" s="2">
        <v>29.0</v>
      </c>
      <c r="T927" s="2" t="s">
        <v>47</v>
      </c>
      <c r="U927" s="2" t="b">
        <v>0</v>
      </c>
      <c r="V927" s="5">
        <v>0.0047</v>
      </c>
      <c r="W927" s="5">
        <v>0.0239</v>
      </c>
      <c r="X927" s="5">
        <v>1.11E-4</v>
      </c>
      <c r="Y927" s="2">
        <v>174.438247</v>
      </c>
      <c r="Z927" s="2">
        <v>5828.0</v>
      </c>
      <c r="AA927" s="2" t="s">
        <v>33</v>
      </c>
    </row>
    <row r="928">
      <c r="A928" s="2">
        <v>2377.0</v>
      </c>
      <c r="B928" s="2" t="s">
        <v>2741</v>
      </c>
      <c r="C928" s="2" t="s">
        <v>7</v>
      </c>
      <c r="D928" s="2" t="s">
        <v>2742</v>
      </c>
      <c r="E928" s="2" t="s">
        <v>2743</v>
      </c>
      <c r="F928" s="6">
        <v>45833.50486111111</v>
      </c>
      <c r="G928" s="2">
        <v>61412.0</v>
      </c>
      <c r="H928" s="2">
        <v>61412.0</v>
      </c>
      <c r="I928" s="2">
        <v>53821.0</v>
      </c>
      <c r="J928" s="2">
        <v>504.0</v>
      </c>
      <c r="K928" s="2">
        <v>404.0</v>
      </c>
      <c r="L928" s="2">
        <v>6.0</v>
      </c>
      <c r="M928" s="4">
        <v>18511.0</v>
      </c>
      <c r="N928" s="2" t="s">
        <v>30</v>
      </c>
      <c r="O928" s="2">
        <v>70.0</v>
      </c>
      <c r="P928" s="2" t="s">
        <v>31</v>
      </c>
      <c r="Q928" s="2" t="s">
        <v>32</v>
      </c>
      <c r="R928" s="2">
        <v>25.0</v>
      </c>
      <c r="T928" s="7" t="str">
        <f>IFERROR(__xludf.DUMMYFUNCTION("AI(""has offer Come X Pay X"",D928)"),"Yes, it has the ""Come 2 Pay 1"" offer.")</f>
        <v>Yes, it has the "Come 2 Pay 1" offer.</v>
      </c>
      <c r="U928" s="2" t="b">
        <v>0</v>
      </c>
      <c r="V928" s="5">
        <v>0.0075</v>
      </c>
      <c r="W928" s="5">
        <v>0.0149</v>
      </c>
      <c r="X928" s="5">
        <v>1.11E-4</v>
      </c>
      <c r="Y928" s="2">
        <v>45.81930693</v>
      </c>
      <c r="Z928" s="2">
        <v>4403.0</v>
      </c>
      <c r="AA928" s="2" t="s">
        <v>33</v>
      </c>
    </row>
    <row r="929">
      <c r="A929" s="2">
        <v>2378.0</v>
      </c>
      <c r="B929" s="2" t="s">
        <v>2744</v>
      </c>
      <c r="C929" s="2" t="s">
        <v>7</v>
      </c>
      <c r="D929" s="2" t="s">
        <v>2745</v>
      </c>
      <c r="E929" s="2" t="s">
        <v>2746</v>
      </c>
      <c r="F929" s="6">
        <v>45833.506944444445</v>
      </c>
      <c r="G929" s="2">
        <v>46778.0</v>
      </c>
      <c r="H929" s="2">
        <v>46778.0</v>
      </c>
      <c r="I929" s="2">
        <v>39503.0</v>
      </c>
      <c r="J929" s="2">
        <v>391.0</v>
      </c>
      <c r="K929" s="2">
        <v>320.0</v>
      </c>
      <c r="L929" s="2">
        <v>5.0</v>
      </c>
      <c r="M929" s="4">
        <v>7894.0</v>
      </c>
      <c r="N929" s="2" t="s">
        <v>36</v>
      </c>
      <c r="O929" s="2">
        <v>71.0</v>
      </c>
      <c r="P929" s="2" t="s">
        <v>31</v>
      </c>
      <c r="Q929" s="2" t="s">
        <v>32</v>
      </c>
      <c r="R929" s="2">
        <v>25.0</v>
      </c>
      <c r="U929" s="2" t="b">
        <v>1</v>
      </c>
      <c r="V929" s="5">
        <v>0.0081</v>
      </c>
      <c r="W929" s="5">
        <v>0.0156</v>
      </c>
      <c r="X929" s="5">
        <v>1.27E-4</v>
      </c>
      <c r="Y929" s="2">
        <v>24.66875</v>
      </c>
      <c r="AA929" s="2" t="s">
        <v>33</v>
      </c>
    </row>
    <row r="930">
      <c r="A930" s="2">
        <v>2380.0</v>
      </c>
      <c r="B930" s="2" t="s">
        <v>2747</v>
      </c>
      <c r="C930" s="2" t="s">
        <v>7</v>
      </c>
      <c r="D930" s="2" t="s">
        <v>2748</v>
      </c>
      <c r="E930" s="2" t="e">
        <v>#N/A</v>
      </c>
      <c r="F930" s="6">
        <v>45833.5625</v>
      </c>
      <c r="G930" s="2">
        <v>2804.0</v>
      </c>
      <c r="H930" s="2">
        <v>2804.0</v>
      </c>
      <c r="I930" s="2">
        <v>2439.0</v>
      </c>
      <c r="J930" s="2">
        <v>49.0</v>
      </c>
      <c r="K930" s="2">
        <v>37.0</v>
      </c>
      <c r="L930" s="2">
        <v>0.0</v>
      </c>
      <c r="M930" s="2">
        <v>0.0</v>
      </c>
      <c r="N930" s="2" t="s">
        <v>423</v>
      </c>
      <c r="O930" s="2">
        <v>119.0</v>
      </c>
      <c r="P930" s="2" t="s">
        <v>31</v>
      </c>
      <c r="Q930" s="2" t="s">
        <v>32</v>
      </c>
      <c r="R930" s="2">
        <v>54.0</v>
      </c>
      <c r="U930" s="2" t="b">
        <v>0</v>
      </c>
      <c r="V930" s="5">
        <v>0.0152</v>
      </c>
      <c r="W930" s="5">
        <v>0.0</v>
      </c>
      <c r="X930" s="5">
        <v>0.0</v>
      </c>
      <c r="Y930" s="2">
        <v>0.0</v>
      </c>
      <c r="AA930" s="2" t="s">
        <v>423</v>
      </c>
    </row>
    <row r="931">
      <c r="A931" s="2">
        <v>2376.0</v>
      </c>
      <c r="B931" s="2" t="s">
        <v>2749</v>
      </c>
      <c r="C931" s="2" t="s">
        <v>7</v>
      </c>
      <c r="D931" s="2" t="s">
        <v>2750</v>
      </c>
      <c r="E931" s="2" t="e">
        <v>#N/A</v>
      </c>
      <c r="F931" s="6">
        <v>45833.59027777778</v>
      </c>
      <c r="G931" s="2">
        <v>2788.0</v>
      </c>
      <c r="H931" s="2">
        <v>2788.0</v>
      </c>
      <c r="I931" s="2">
        <v>2424.0</v>
      </c>
      <c r="J931" s="2">
        <v>43.0</v>
      </c>
      <c r="K931" s="2">
        <v>33.0</v>
      </c>
      <c r="L931" s="2">
        <v>0.0</v>
      </c>
      <c r="M931" s="2">
        <v>0.0</v>
      </c>
      <c r="N931" s="2" t="s">
        <v>423</v>
      </c>
      <c r="O931" s="2">
        <v>119.0</v>
      </c>
      <c r="P931" s="2" t="s">
        <v>31</v>
      </c>
      <c r="Q931" s="2" t="s">
        <v>32</v>
      </c>
      <c r="R931" s="2">
        <v>37.0</v>
      </c>
      <c r="U931" s="2" t="b">
        <v>0</v>
      </c>
      <c r="V931" s="5">
        <v>0.0136</v>
      </c>
      <c r="W931" s="5">
        <v>0.0</v>
      </c>
      <c r="X931" s="5">
        <v>0.0</v>
      </c>
      <c r="Y931" s="2">
        <v>0.0</v>
      </c>
      <c r="AA931" s="2" t="s">
        <v>423</v>
      </c>
    </row>
    <row r="932">
      <c r="A932" s="2">
        <v>2379.0</v>
      </c>
      <c r="B932" s="2" t="s">
        <v>2751</v>
      </c>
      <c r="C932" s="2" t="s">
        <v>7</v>
      </c>
      <c r="D932" s="2" t="s">
        <v>2752</v>
      </c>
      <c r="E932" s="2" t="e">
        <v>#N/A</v>
      </c>
      <c r="F932" s="6">
        <v>45833.604166666664</v>
      </c>
      <c r="G932" s="2">
        <v>2784.0</v>
      </c>
      <c r="H932" s="2">
        <v>2784.0</v>
      </c>
      <c r="I932" s="2">
        <v>2447.0</v>
      </c>
      <c r="J932" s="2">
        <v>46.0</v>
      </c>
      <c r="K932" s="2">
        <v>39.0</v>
      </c>
      <c r="L932" s="2">
        <v>0.0</v>
      </c>
      <c r="M932" s="2">
        <v>0.0</v>
      </c>
      <c r="N932" s="2" t="s">
        <v>423</v>
      </c>
      <c r="O932" s="2">
        <v>119.0</v>
      </c>
      <c r="P932" s="2" t="s">
        <v>31</v>
      </c>
      <c r="Q932" s="2" t="s">
        <v>32</v>
      </c>
      <c r="R932" s="2">
        <v>30.0</v>
      </c>
      <c r="T932" s="2" t="s">
        <v>47</v>
      </c>
      <c r="U932" s="2" t="b">
        <v>0</v>
      </c>
      <c r="V932" s="5">
        <v>0.0159</v>
      </c>
      <c r="W932" s="5">
        <v>0.0</v>
      </c>
      <c r="X932" s="5">
        <v>0.0</v>
      </c>
      <c r="Y932" s="2">
        <v>0.0</v>
      </c>
      <c r="AA932" s="2" t="s">
        <v>423</v>
      </c>
    </row>
    <row r="933">
      <c r="A933" s="2">
        <v>2382.0</v>
      </c>
      <c r="B933" s="2" t="s">
        <v>2753</v>
      </c>
      <c r="C933" s="2" t="s">
        <v>7</v>
      </c>
      <c r="D933" s="2" t="s">
        <v>172</v>
      </c>
      <c r="E933" s="2" t="s">
        <v>290</v>
      </c>
      <c r="F933" s="6">
        <v>45833.625</v>
      </c>
      <c r="G933" s="2">
        <v>46781.0</v>
      </c>
      <c r="H933" s="2">
        <v>46781.0</v>
      </c>
      <c r="I933" s="2">
        <v>39677.0</v>
      </c>
      <c r="J933" s="2">
        <v>239.0</v>
      </c>
      <c r="K933" s="2">
        <v>190.0</v>
      </c>
      <c r="L933" s="2">
        <v>2.0</v>
      </c>
      <c r="M933" s="4">
        <v>1914.0</v>
      </c>
      <c r="N933" s="2" t="s">
        <v>36</v>
      </c>
      <c r="O933" s="2">
        <v>71.0</v>
      </c>
      <c r="P933" s="2" t="s">
        <v>31</v>
      </c>
      <c r="Q933" s="2" t="s">
        <v>32</v>
      </c>
      <c r="R933" s="2">
        <v>24.0</v>
      </c>
      <c r="T933" s="7" t="str">
        <f>IFERROR(__xludf.DUMMYFUNCTION("AI(""has offer Come X Pay X"",D933)"),"Offers and Incentives")</f>
        <v>Offers and Incentives</v>
      </c>
      <c r="U933" s="2" t="b">
        <v>0</v>
      </c>
      <c r="V933" s="5">
        <v>0.0048</v>
      </c>
      <c r="W933" s="5">
        <v>0.0105</v>
      </c>
      <c r="X933" s="5">
        <v>5.0E-5</v>
      </c>
      <c r="Y933" s="2">
        <v>10.07368421</v>
      </c>
      <c r="AA933" s="2" t="s">
        <v>33</v>
      </c>
    </row>
    <row r="934">
      <c r="A934" s="2">
        <v>2381.0</v>
      </c>
      <c r="B934" s="2" t="s">
        <v>2754</v>
      </c>
      <c r="C934" s="2" t="s">
        <v>7</v>
      </c>
      <c r="D934" s="2" t="s">
        <v>170</v>
      </c>
      <c r="E934" s="2" t="s">
        <v>288</v>
      </c>
      <c r="F934" s="6">
        <v>45833.625</v>
      </c>
      <c r="G934" s="2">
        <v>61400.0</v>
      </c>
      <c r="H934" s="2">
        <v>61400.0</v>
      </c>
      <c r="I934" s="2">
        <v>53876.0</v>
      </c>
      <c r="J934" s="2">
        <v>276.0</v>
      </c>
      <c r="K934" s="2">
        <v>221.0</v>
      </c>
      <c r="L934" s="2">
        <v>3.0</v>
      </c>
      <c r="M934" s="4">
        <v>10444.0</v>
      </c>
      <c r="N934" s="2" t="s">
        <v>30</v>
      </c>
      <c r="O934" s="2">
        <v>70.0</v>
      </c>
      <c r="P934" s="2" t="s">
        <v>31</v>
      </c>
      <c r="Q934" s="2" t="s">
        <v>32</v>
      </c>
      <c r="R934" s="2">
        <v>27.0</v>
      </c>
      <c r="U934" s="2" t="b">
        <v>0</v>
      </c>
      <c r="V934" s="5">
        <v>0.0041</v>
      </c>
      <c r="W934" s="5">
        <v>0.0136</v>
      </c>
      <c r="X934" s="5">
        <v>5.6E-5</v>
      </c>
      <c r="Y934" s="2">
        <v>47.25791855</v>
      </c>
      <c r="AA934" s="2" t="s">
        <v>33</v>
      </c>
    </row>
    <row r="935">
      <c r="A935" s="2">
        <v>2384.0</v>
      </c>
      <c r="B935" s="2" t="s">
        <v>2755</v>
      </c>
      <c r="C935" s="2" t="s">
        <v>7</v>
      </c>
      <c r="D935" s="2" t="s">
        <v>2756</v>
      </c>
      <c r="E935" s="2" t="s">
        <v>2757</v>
      </c>
      <c r="F935" s="6">
        <v>45833.708333333336</v>
      </c>
      <c r="G935" s="2">
        <v>46807.0</v>
      </c>
      <c r="H935" s="2">
        <v>46807.0</v>
      </c>
      <c r="I935" s="2">
        <v>39494.0</v>
      </c>
      <c r="J935" s="2">
        <v>265.0</v>
      </c>
      <c r="K935" s="2">
        <v>210.0</v>
      </c>
      <c r="L935" s="2">
        <v>4.0</v>
      </c>
      <c r="M935" s="4">
        <v>7594.0</v>
      </c>
      <c r="N935" s="2" t="s">
        <v>36</v>
      </c>
      <c r="O935" s="2">
        <v>71.0</v>
      </c>
      <c r="P935" s="2" t="s">
        <v>31</v>
      </c>
      <c r="Q935" s="2" t="s">
        <v>32</v>
      </c>
      <c r="R935" s="2">
        <v>29.0</v>
      </c>
      <c r="T935" s="2" t="s">
        <v>58</v>
      </c>
      <c r="U935" s="2" t="b">
        <v>1</v>
      </c>
      <c r="V935" s="5">
        <v>0.0053</v>
      </c>
      <c r="W935" s="5">
        <v>0.019</v>
      </c>
      <c r="X935" s="5">
        <v>1.01E-4</v>
      </c>
      <c r="Y935" s="2">
        <v>36.16190476</v>
      </c>
      <c r="AA935" s="2" t="s">
        <v>33</v>
      </c>
    </row>
    <row r="936">
      <c r="A936" s="2">
        <v>2383.0</v>
      </c>
      <c r="B936" s="2" t="s">
        <v>2758</v>
      </c>
      <c r="C936" s="2" t="s">
        <v>7</v>
      </c>
      <c r="D936" s="2" t="s">
        <v>2759</v>
      </c>
      <c r="E936" s="2" t="s">
        <v>2760</v>
      </c>
      <c r="F936" s="6">
        <v>45833.708333333336</v>
      </c>
      <c r="G936" s="2">
        <v>61409.0</v>
      </c>
      <c r="H936" s="2">
        <v>61409.0</v>
      </c>
      <c r="I936" s="2">
        <v>53640.0</v>
      </c>
      <c r="J936" s="2">
        <v>320.0</v>
      </c>
      <c r="K936" s="2">
        <v>264.0</v>
      </c>
      <c r="L936" s="2">
        <v>4.0</v>
      </c>
      <c r="M936" s="4">
        <v>9318.0</v>
      </c>
      <c r="N936" s="2" t="s">
        <v>30</v>
      </c>
      <c r="O936" s="2">
        <v>70.0</v>
      </c>
      <c r="P936" s="2" t="s">
        <v>31</v>
      </c>
      <c r="Q936" s="2" t="s">
        <v>32</v>
      </c>
      <c r="R936" s="2">
        <v>34.0</v>
      </c>
      <c r="U936" s="2" t="b">
        <v>0</v>
      </c>
      <c r="V936" s="5">
        <v>0.0049</v>
      </c>
      <c r="W936" s="5">
        <v>0.0152</v>
      </c>
      <c r="X936" s="5">
        <v>7.5E-5</v>
      </c>
      <c r="Y936" s="2">
        <v>35.29545455</v>
      </c>
      <c r="Z936" s="2">
        <v>2928.0</v>
      </c>
      <c r="AA936" s="2" t="s">
        <v>33</v>
      </c>
    </row>
    <row r="937">
      <c r="A937" s="2">
        <v>2386.0</v>
      </c>
      <c r="B937" s="2" t="s">
        <v>2761</v>
      </c>
      <c r="C937" s="2" t="s">
        <v>7</v>
      </c>
      <c r="D937" s="2" t="s">
        <v>2762</v>
      </c>
      <c r="E937" s="2" t="s">
        <v>2763</v>
      </c>
      <c r="F937" s="6">
        <v>45834.45277777778</v>
      </c>
      <c r="G937" s="2">
        <v>47118.0</v>
      </c>
      <c r="H937" s="2">
        <v>47118.0</v>
      </c>
      <c r="I937" s="2">
        <v>39593.0</v>
      </c>
      <c r="J937" s="2">
        <v>240.0</v>
      </c>
      <c r="K937" s="2">
        <v>201.0</v>
      </c>
      <c r="L937" s="2">
        <v>5.0</v>
      </c>
      <c r="M937" s="4">
        <v>16000.0</v>
      </c>
      <c r="N937" s="2" t="s">
        <v>36</v>
      </c>
      <c r="O937" s="2">
        <v>71.0</v>
      </c>
      <c r="P937" s="2" t="s">
        <v>31</v>
      </c>
      <c r="Q937" s="2" t="s">
        <v>32</v>
      </c>
      <c r="R937" s="2">
        <v>35.0</v>
      </c>
      <c r="T937" s="2" t="s">
        <v>47</v>
      </c>
      <c r="U937" s="2" t="b">
        <v>0</v>
      </c>
      <c r="V937" s="5">
        <v>0.0051</v>
      </c>
      <c r="W937" s="5">
        <v>0.0249</v>
      </c>
      <c r="X937" s="5">
        <v>1.26E-4</v>
      </c>
      <c r="Y937" s="2">
        <v>79.60199005</v>
      </c>
      <c r="AA937" s="2" t="s">
        <v>33</v>
      </c>
    </row>
    <row r="938">
      <c r="A938" s="2">
        <v>2385.0</v>
      </c>
      <c r="B938" s="2" t="s">
        <v>2764</v>
      </c>
      <c r="C938" s="2" t="s">
        <v>7</v>
      </c>
      <c r="D938" s="2" t="s">
        <v>2765</v>
      </c>
      <c r="E938" s="2" t="s">
        <v>2766</v>
      </c>
      <c r="F938" s="6">
        <v>45834.461805555555</v>
      </c>
      <c r="G938" s="2">
        <v>61822.0</v>
      </c>
      <c r="H938" s="2">
        <v>61822.0</v>
      </c>
      <c r="I938" s="2">
        <v>54001.0</v>
      </c>
      <c r="J938" s="2">
        <v>298.0</v>
      </c>
      <c r="K938" s="2">
        <v>261.0</v>
      </c>
      <c r="L938" s="2">
        <v>3.0</v>
      </c>
      <c r="M938" s="4">
        <v>4830.0</v>
      </c>
      <c r="N938" s="2" t="s">
        <v>30</v>
      </c>
      <c r="O938" s="2">
        <v>70.0</v>
      </c>
      <c r="P938" s="2" t="s">
        <v>31</v>
      </c>
      <c r="Q938" s="2" t="s">
        <v>32</v>
      </c>
      <c r="R938" s="2">
        <v>44.0</v>
      </c>
      <c r="T938" s="2" t="s">
        <v>47</v>
      </c>
      <c r="U938" s="2" t="b">
        <v>0</v>
      </c>
      <c r="V938" s="5">
        <v>0.0048</v>
      </c>
      <c r="W938" s="5">
        <v>0.0115</v>
      </c>
      <c r="X938" s="5">
        <v>5.6E-5</v>
      </c>
      <c r="Y938" s="2">
        <v>18.50574713</v>
      </c>
      <c r="Z938" s="2" t="s">
        <v>307</v>
      </c>
      <c r="AA938" s="2" t="s">
        <v>33</v>
      </c>
    </row>
    <row r="939">
      <c r="A939" s="2">
        <v>2391.0</v>
      </c>
      <c r="B939" s="2" t="s">
        <v>2767</v>
      </c>
      <c r="C939" s="2" t="s">
        <v>7</v>
      </c>
      <c r="D939" s="2" t="s">
        <v>2768</v>
      </c>
      <c r="E939" s="2" t="s">
        <v>2769</v>
      </c>
      <c r="F939" s="6">
        <v>45834.5625</v>
      </c>
      <c r="G939" s="2">
        <v>2282.0</v>
      </c>
      <c r="H939" s="2">
        <v>2282.0</v>
      </c>
      <c r="I939" s="2">
        <v>2051.0</v>
      </c>
      <c r="J939" s="2">
        <v>56.0</v>
      </c>
      <c r="K939" s="2">
        <v>44.0</v>
      </c>
      <c r="L939" s="2">
        <v>1.0</v>
      </c>
      <c r="M939" s="2">
        <v>138.0</v>
      </c>
      <c r="N939" s="2" t="s">
        <v>423</v>
      </c>
      <c r="O939" s="2">
        <v>119.0</v>
      </c>
      <c r="P939" s="2" t="s">
        <v>31</v>
      </c>
      <c r="Q939" s="2" t="s">
        <v>32</v>
      </c>
      <c r="R939" s="2">
        <v>52.0</v>
      </c>
      <c r="U939" s="2" t="b">
        <v>1</v>
      </c>
      <c r="V939" s="5">
        <v>0.0215</v>
      </c>
      <c r="W939" s="5">
        <v>0.0227</v>
      </c>
      <c r="X939" s="5">
        <v>4.88E-4</v>
      </c>
      <c r="Y939" s="2">
        <v>3.136363636</v>
      </c>
      <c r="AA939" s="2" t="s">
        <v>423</v>
      </c>
    </row>
    <row r="940">
      <c r="A940" s="2">
        <v>2388.0</v>
      </c>
      <c r="B940" s="2" t="s">
        <v>2770</v>
      </c>
      <c r="C940" s="2" t="s">
        <v>7</v>
      </c>
      <c r="D940" s="2" t="s">
        <v>2771</v>
      </c>
      <c r="E940" s="2" t="s">
        <v>2772</v>
      </c>
      <c r="F940" s="6">
        <v>45834.625</v>
      </c>
      <c r="G940" s="2">
        <v>47125.0</v>
      </c>
      <c r="H940" s="2">
        <v>47125.0</v>
      </c>
      <c r="I940" s="2">
        <v>39847.0</v>
      </c>
      <c r="J940" s="2">
        <v>221.0</v>
      </c>
      <c r="K940" s="2">
        <v>168.0</v>
      </c>
      <c r="L940" s="2">
        <v>4.0</v>
      </c>
      <c r="M940" s="4">
        <v>13960.0</v>
      </c>
      <c r="N940" s="2" t="s">
        <v>36</v>
      </c>
      <c r="O940" s="2">
        <v>71.0</v>
      </c>
      <c r="P940" s="2" t="s">
        <v>31</v>
      </c>
      <c r="Q940" s="2" t="s">
        <v>32</v>
      </c>
      <c r="R940" s="2">
        <v>36.0</v>
      </c>
      <c r="T940" s="2" t="s">
        <v>58</v>
      </c>
      <c r="U940" s="2" t="b">
        <v>1</v>
      </c>
      <c r="V940" s="5">
        <v>0.0042</v>
      </c>
      <c r="W940" s="5">
        <v>0.0238</v>
      </c>
      <c r="X940" s="5">
        <v>1.0E-4</v>
      </c>
      <c r="Y940" s="2">
        <v>83.0952381</v>
      </c>
      <c r="AA940" s="2" t="s">
        <v>33</v>
      </c>
    </row>
    <row r="941">
      <c r="A941" s="2">
        <v>2387.0</v>
      </c>
      <c r="B941" s="2" t="s">
        <v>2773</v>
      </c>
      <c r="C941" s="2" t="s">
        <v>7</v>
      </c>
      <c r="D941" s="2" t="s">
        <v>2774</v>
      </c>
      <c r="E941" s="2" t="s">
        <v>2775</v>
      </c>
      <c r="F941" s="6">
        <v>45834.625</v>
      </c>
      <c r="G941" s="2">
        <v>61817.0</v>
      </c>
      <c r="H941" s="2">
        <v>61817.0</v>
      </c>
      <c r="I941" s="2">
        <v>54118.0</v>
      </c>
      <c r="J941" s="2">
        <v>292.0</v>
      </c>
      <c r="K941" s="2">
        <v>240.0</v>
      </c>
      <c r="L941" s="2">
        <v>5.0</v>
      </c>
      <c r="M941" s="4">
        <v>71881.0</v>
      </c>
      <c r="N941" s="2" t="s">
        <v>30</v>
      </c>
      <c r="O941" s="2">
        <v>70.0</v>
      </c>
      <c r="P941" s="2" t="s">
        <v>31</v>
      </c>
      <c r="Q941" s="2" t="s">
        <v>32</v>
      </c>
      <c r="R941" s="2">
        <v>35.0</v>
      </c>
      <c r="T941" s="2" t="s">
        <v>58</v>
      </c>
      <c r="U941" s="2" t="b">
        <v>0</v>
      </c>
      <c r="V941" s="5">
        <v>0.0044</v>
      </c>
      <c r="W941" s="5">
        <v>0.0208</v>
      </c>
      <c r="X941" s="5">
        <v>9.2E-5</v>
      </c>
      <c r="Y941" s="2">
        <v>299.5041667</v>
      </c>
      <c r="Z941" s="2">
        <v>3717.0</v>
      </c>
      <c r="AA941" s="2" t="s">
        <v>33</v>
      </c>
    </row>
    <row r="942">
      <c r="A942" s="2">
        <v>2390.0</v>
      </c>
      <c r="B942" s="2" t="s">
        <v>2776</v>
      </c>
      <c r="C942" s="2" t="s">
        <v>7</v>
      </c>
      <c r="D942" s="2" t="s">
        <v>2777</v>
      </c>
      <c r="E942" s="2" t="s">
        <v>2778</v>
      </c>
      <c r="F942" s="6">
        <v>45834.708333333336</v>
      </c>
      <c r="G942" s="2">
        <v>47136.0</v>
      </c>
      <c r="H942" s="2">
        <v>47136.0</v>
      </c>
      <c r="I942" s="2">
        <v>39918.0</v>
      </c>
      <c r="J942" s="2">
        <v>258.0</v>
      </c>
      <c r="K942" s="2">
        <v>199.0</v>
      </c>
      <c r="L942" s="2">
        <v>4.0</v>
      </c>
      <c r="M942" s="4">
        <v>8267.0</v>
      </c>
      <c r="N942" s="2" t="s">
        <v>36</v>
      </c>
      <c r="O942" s="2">
        <v>71.0</v>
      </c>
      <c r="P942" s="2" t="s">
        <v>31</v>
      </c>
      <c r="Q942" s="2" t="s">
        <v>32</v>
      </c>
      <c r="R942" s="2">
        <v>40.0</v>
      </c>
      <c r="U942" s="2" t="b">
        <v>0</v>
      </c>
      <c r="V942" s="5">
        <v>0.005</v>
      </c>
      <c r="W942" s="5">
        <v>0.0201</v>
      </c>
      <c r="X942" s="5">
        <v>1.0E-4</v>
      </c>
      <c r="Y942" s="2">
        <v>41.54271357</v>
      </c>
      <c r="AA942" s="2" t="s">
        <v>33</v>
      </c>
    </row>
    <row r="943">
      <c r="A943" s="2">
        <v>2389.0</v>
      </c>
      <c r="B943" s="2" t="s">
        <v>2779</v>
      </c>
      <c r="C943" s="2" t="s">
        <v>7</v>
      </c>
      <c r="D943" s="2" t="s">
        <v>2780</v>
      </c>
      <c r="E943" s="2" t="s">
        <v>2781</v>
      </c>
      <c r="F943" s="6">
        <v>45834.708333333336</v>
      </c>
      <c r="G943" s="2">
        <v>61835.0</v>
      </c>
      <c r="H943" s="2">
        <v>61835.0</v>
      </c>
      <c r="I943" s="2">
        <v>54119.0</v>
      </c>
      <c r="J943" s="2">
        <v>280.0</v>
      </c>
      <c r="K943" s="2">
        <v>226.0</v>
      </c>
      <c r="L943" s="2">
        <v>3.0</v>
      </c>
      <c r="M943" s="4">
        <v>5267.0</v>
      </c>
      <c r="N943" s="2" t="s">
        <v>30</v>
      </c>
      <c r="O943" s="2">
        <v>70.0</v>
      </c>
      <c r="P943" s="2" t="s">
        <v>31</v>
      </c>
      <c r="Q943" s="2" t="s">
        <v>32</v>
      </c>
      <c r="R943" s="2">
        <v>37.0</v>
      </c>
      <c r="U943" s="2" t="b">
        <v>0</v>
      </c>
      <c r="V943" s="5">
        <v>0.0042</v>
      </c>
      <c r="W943" s="5">
        <v>0.0133</v>
      </c>
      <c r="X943" s="5">
        <v>5.5E-5</v>
      </c>
      <c r="Y943" s="2">
        <v>23.30530973</v>
      </c>
      <c r="Z943" s="2">
        <v>4750.0</v>
      </c>
      <c r="AA943" s="2" t="s">
        <v>33</v>
      </c>
    </row>
    <row r="944">
      <c r="A944" s="2">
        <v>2394.0</v>
      </c>
      <c r="B944" s="2" t="s">
        <v>2782</v>
      </c>
      <c r="C944" s="2" t="s">
        <v>7</v>
      </c>
      <c r="D944" s="2" t="s">
        <v>2783</v>
      </c>
      <c r="E944" s="2" t="s">
        <v>2784</v>
      </c>
      <c r="F944" s="6">
        <v>45835.49791666667</v>
      </c>
      <c r="G944" s="2">
        <v>61642.0</v>
      </c>
      <c r="H944" s="2">
        <v>61642.0</v>
      </c>
      <c r="I944" s="2">
        <v>53980.0</v>
      </c>
      <c r="J944" s="2">
        <v>257.0</v>
      </c>
      <c r="K944" s="2">
        <v>211.0</v>
      </c>
      <c r="L944" s="2">
        <v>6.0</v>
      </c>
      <c r="M944" s="4">
        <v>11787.0</v>
      </c>
      <c r="N944" s="2" t="s">
        <v>30</v>
      </c>
      <c r="O944" s="2">
        <v>70.0</v>
      </c>
      <c r="P944" s="2" t="s">
        <v>31</v>
      </c>
      <c r="Q944" s="2" t="s">
        <v>32</v>
      </c>
      <c r="R944" s="2">
        <v>41.0</v>
      </c>
      <c r="U944" s="2" t="b">
        <v>0</v>
      </c>
      <c r="V944" s="5">
        <v>0.0039</v>
      </c>
      <c r="W944" s="5">
        <v>0.0284</v>
      </c>
      <c r="X944" s="5">
        <v>1.11E-4</v>
      </c>
      <c r="Y944" s="2">
        <v>55.86255924</v>
      </c>
      <c r="AA944" s="2" t="s">
        <v>33</v>
      </c>
    </row>
    <row r="945">
      <c r="A945" s="2">
        <v>2392.0</v>
      </c>
      <c r="B945" s="2" t="s">
        <v>2785</v>
      </c>
      <c r="C945" s="2" t="s">
        <v>7</v>
      </c>
      <c r="D945" s="2" t="s">
        <v>2786</v>
      </c>
      <c r="E945" s="2" t="e">
        <v>#N/A</v>
      </c>
      <c r="F945" s="6">
        <v>45835.5</v>
      </c>
      <c r="G945" s="2">
        <v>2872.0</v>
      </c>
      <c r="H945" s="2">
        <v>2872.0</v>
      </c>
      <c r="I945" s="2">
        <v>2503.0</v>
      </c>
      <c r="J945" s="2">
        <v>22.0</v>
      </c>
      <c r="K945" s="2">
        <v>17.0</v>
      </c>
      <c r="L945" s="2">
        <v>0.0</v>
      </c>
      <c r="M945" s="2">
        <v>0.0</v>
      </c>
      <c r="N945" s="2" t="s">
        <v>423</v>
      </c>
      <c r="O945" s="2">
        <v>119.0</v>
      </c>
      <c r="P945" s="2" t="s">
        <v>31</v>
      </c>
      <c r="Q945" s="2" t="s">
        <v>32</v>
      </c>
      <c r="R945" s="2">
        <v>40.0</v>
      </c>
      <c r="T945" s="2" t="s">
        <v>47</v>
      </c>
      <c r="U945" s="2" t="b">
        <v>0</v>
      </c>
      <c r="V945" s="5">
        <v>0.0068</v>
      </c>
      <c r="W945" s="5">
        <v>0.0</v>
      </c>
      <c r="X945" s="5">
        <v>0.0</v>
      </c>
      <c r="Y945" s="2">
        <v>0.0</v>
      </c>
      <c r="AA945" s="2" t="s">
        <v>423</v>
      </c>
    </row>
    <row r="946">
      <c r="A946" s="2">
        <v>2395.0</v>
      </c>
      <c r="B946" s="2" t="s">
        <v>2787</v>
      </c>
      <c r="C946" s="2" t="s">
        <v>7</v>
      </c>
      <c r="D946" s="2" t="s">
        <v>2788</v>
      </c>
      <c r="E946" s="2" t="s">
        <v>2789</v>
      </c>
      <c r="F946" s="6">
        <v>45835.501388888886</v>
      </c>
      <c r="G946" s="2">
        <v>47036.0</v>
      </c>
      <c r="H946" s="2">
        <v>47036.0</v>
      </c>
      <c r="I946" s="2">
        <v>39569.0</v>
      </c>
      <c r="J946" s="2">
        <v>301.0</v>
      </c>
      <c r="K946" s="2">
        <v>235.0</v>
      </c>
      <c r="L946" s="2">
        <v>4.0</v>
      </c>
      <c r="M946" s="4">
        <v>12799.0</v>
      </c>
      <c r="N946" s="2" t="s">
        <v>36</v>
      </c>
      <c r="O946" s="2">
        <v>71.0</v>
      </c>
      <c r="P946" s="2" t="s">
        <v>31</v>
      </c>
      <c r="Q946" s="2" t="s">
        <v>32</v>
      </c>
      <c r="R946" s="2">
        <v>28.0</v>
      </c>
      <c r="T946" s="2" t="s">
        <v>47</v>
      </c>
      <c r="U946" s="2" t="b">
        <v>0</v>
      </c>
      <c r="V946" s="5">
        <v>0.0059</v>
      </c>
      <c r="W946" s="5">
        <v>0.017</v>
      </c>
      <c r="X946" s="5">
        <v>1.01E-4</v>
      </c>
      <c r="Y946" s="2">
        <v>54.46382979</v>
      </c>
      <c r="AA946" s="2" t="s">
        <v>33</v>
      </c>
    </row>
    <row r="947">
      <c r="A947" s="2">
        <v>2393.0</v>
      </c>
      <c r="B947" s="2" t="s">
        <v>2790</v>
      </c>
      <c r="C947" s="2" t="s">
        <v>7</v>
      </c>
      <c r="D947" s="2" t="s">
        <v>2791</v>
      </c>
      <c r="E947" s="2" t="e">
        <v>#N/A</v>
      </c>
      <c r="F947" s="6">
        <v>45835.520833333336</v>
      </c>
      <c r="G947" s="2">
        <v>2870.0</v>
      </c>
      <c r="H947" s="2">
        <v>2870.0</v>
      </c>
      <c r="I947" s="2">
        <v>2513.0</v>
      </c>
      <c r="J947" s="2">
        <v>38.0</v>
      </c>
      <c r="K947" s="2">
        <v>30.0</v>
      </c>
      <c r="L947" s="2">
        <v>1.0</v>
      </c>
      <c r="M947" s="4">
        <v>6396.0</v>
      </c>
      <c r="N947" s="2" t="s">
        <v>423</v>
      </c>
      <c r="O947" s="2">
        <v>119.0</v>
      </c>
      <c r="P947" s="2" t="s">
        <v>31</v>
      </c>
      <c r="Q947" s="2" t="s">
        <v>32</v>
      </c>
      <c r="R947" s="2">
        <v>38.0</v>
      </c>
      <c r="T947" s="2" t="s">
        <v>47</v>
      </c>
      <c r="U947" s="2" t="b">
        <v>0</v>
      </c>
      <c r="V947" s="5">
        <v>0.0119</v>
      </c>
      <c r="W947" s="5">
        <v>0.0333</v>
      </c>
      <c r="X947" s="5">
        <v>3.98E-4</v>
      </c>
      <c r="Y947" s="2">
        <v>213.2</v>
      </c>
      <c r="AA947" s="2" t="s">
        <v>423</v>
      </c>
    </row>
    <row r="948">
      <c r="A948" s="2">
        <v>2396.0</v>
      </c>
      <c r="B948" s="2" t="s">
        <v>2792</v>
      </c>
      <c r="C948" s="2" t="s">
        <v>7</v>
      </c>
      <c r="D948" s="2" t="s">
        <v>2793</v>
      </c>
      <c r="E948" s="2" t="e">
        <v>#N/A</v>
      </c>
      <c r="F948" s="6">
        <v>45835.5625</v>
      </c>
      <c r="G948" s="2">
        <v>2867.0</v>
      </c>
      <c r="H948" s="2">
        <v>2867.0</v>
      </c>
      <c r="I948" s="2">
        <v>2504.0</v>
      </c>
      <c r="J948" s="2">
        <v>28.0</v>
      </c>
      <c r="K948" s="2">
        <v>20.0</v>
      </c>
      <c r="L948" s="2">
        <v>1.0</v>
      </c>
      <c r="M948" s="2">
        <v>107.0</v>
      </c>
      <c r="N948" s="2" t="s">
        <v>423</v>
      </c>
      <c r="O948" s="2">
        <v>119.0</v>
      </c>
      <c r="P948" s="2" t="s">
        <v>31</v>
      </c>
      <c r="Q948" s="2" t="s">
        <v>32</v>
      </c>
      <c r="R948" s="2">
        <v>68.0</v>
      </c>
      <c r="T948" s="2" t="s">
        <v>47</v>
      </c>
      <c r="U948" s="2" t="b">
        <v>0</v>
      </c>
      <c r="V948" s="5">
        <v>0.008</v>
      </c>
      <c r="W948" s="5">
        <v>0.05</v>
      </c>
      <c r="X948" s="5">
        <v>3.99E-4</v>
      </c>
      <c r="Y948" s="2">
        <v>5.35</v>
      </c>
      <c r="AA948" s="2" t="s">
        <v>423</v>
      </c>
    </row>
    <row r="949">
      <c r="A949" s="2">
        <v>2401.0</v>
      </c>
      <c r="B949" s="2" t="s">
        <v>2794</v>
      </c>
      <c r="C949" s="2" t="s">
        <v>7</v>
      </c>
      <c r="D949" s="2" t="s">
        <v>2795</v>
      </c>
      <c r="E949" s="2" t="s">
        <v>2796</v>
      </c>
      <c r="F949" s="6">
        <v>45835.583333333336</v>
      </c>
      <c r="G949" s="2">
        <v>2865.0</v>
      </c>
      <c r="H949" s="2">
        <v>2865.0</v>
      </c>
      <c r="I949" s="2">
        <v>2526.0</v>
      </c>
      <c r="J949" s="2">
        <v>28.0</v>
      </c>
      <c r="K949" s="2">
        <v>25.0</v>
      </c>
      <c r="L949" s="2">
        <v>0.0</v>
      </c>
      <c r="M949" s="2">
        <v>0.0</v>
      </c>
      <c r="N949" s="2" t="s">
        <v>423</v>
      </c>
      <c r="O949" s="2">
        <v>119.0</v>
      </c>
      <c r="P949" s="2" t="s">
        <v>31</v>
      </c>
      <c r="Q949" s="2" t="s">
        <v>32</v>
      </c>
      <c r="R949" s="2">
        <v>44.0</v>
      </c>
      <c r="T949" s="2" t="s">
        <v>47</v>
      </c>
      <c r="U949" s="2" t="b">
        <v>0</v>
      </c>
      <c r="V949" s="5">
        <v>0.0099</v>
      </c>
      <c r="W949" s="5">
        <v>0.0</v>
      </c>
      <c r="X949" s="5">
        <v>0.0</v>
      </c>
      <c r="Y949" s="2">
        <v>0.0</v>
      </c>
      <c r="AA949" s="2" t="s">
        <v>423</v>
      </c>
    </row>
    <row r="950">
      <c r="A950" s="2">
        <v>2398.0</v>
      </c>
      <c r="B950" s="2" t="s">
        <v>2797</v>
      </c>
      <c r="C950" s="2" t="s">
        <v>7</v>
      </c>
      <c r="D950" s="2" t="s">
        <v>2798</v>
      </c>
      <c r="E950" s="2" t="s">
        <v>2799</v>
      </c>
      <c r="F950" s="6">
        <v>45835.625</v>
      </c>
      <c r="G950" s="2">
        <v>47029.0</v>
      </c>
      <c r="H950" s="2">
        <v>47029.0</v>
      </c>
      <c r="I950" s="2">
        <v>39902.0</v>
      </c>
      <c r="J950" s="2">
        <v>247.0</v>
      </c>
      <c r="K950" s="2">
        <v>207.0</v>
      </c>
      <c r="L950" s="2">
        <v>3.0</v>
      </c>
      <c r="M950" s="4">
        <v>7782.0</v>
      </c>
      <c r="N950" s="2" t="s">
        <v>36</v>
      </c>
      <c r="O950" s="2">
        <v>71.0</v>
      </c>
      <c r="P950" s="2" t="s">
        <v>31</v>
      </c>
      <c r="Q950" s="2" t="s">
        <v>32</v>
      </c>
      <c r="R950" s="2">
        <v>28.0</v>
      </c>
      <c r="T950" s="2" t="s">
        <v>58</v>
      </c>
      <c r="U950" s="2" t="b">
        <v>1</v>
      </c>
      <c r="V950" s="5">
        <v>0.0052</v>
      </c>
      <c r="W950" s="5">
        <v>0.0145</v>
      </c>
      <c r="X950" s="5">
        <v>7.5E-5</v>
      </c>
      <c r="Y950" s="2">
        <v>37.5942029</v>
      </c>
      <c r="AA950" s="2" t="s">
        <v>33</v>
      </c>
    </row>
    <row r="951">
      <c r="A951" s="2">
        <v>2397.0</v>
      </c>
      <c r="B951" s="2" t="s">
        <v>2800</v>
      </c>
      <c r="C951" s="2" t="s">
        <v>7</v>
      </c>
      <c r="D951" s="2" t="s">
        <v>2801</v>
      </c>
      <c r="E951" s="2" t="s">
        <v>2802</v>
      </c>
      <c r="F951" s="6">
        <v>45835.625</v>
      </c>
      <c r="G951" s="2">
        <v>61638.0</v>
      </c>
      <c r="H951" s="2">
        <v>61638.0</v>
      </c>
      <c r="I951" s="2">
        <v>54061.0</v>
      </c>
      <c r="J951" s="2">
        <v>472.0</v>
      </c>
      <c r="K951" s="2">
        <v>384.0</v>
      </c>
      <c r="L951" s="2">
        <v>5.0</v>
      </c>
      <c r="M951" s="4">
        <v>23042.0</v>
      </c>
      <c r="N951" s="2" t="s">
        <v>30</v>
      </c>
      <c r="O951" s="2">
        <v>70.0</v>
      </c>
      <c r="P951" s="2" t="s">
        <v>31</v>
      </c>
      <c r="Q951" s="2" t="s">
        <v>32</v>
      </c>
      <c r="R951" s="2">
        <v>24.0</v>
      </c>
      <c r="T951" s="2" t="s">
        <v>58</v>
      </c>
      <c r="U951" s="2" t="b">
        <v>0</v>
      </c>
      <c r="V951" s="5">
        <v>0.0071</v>
      </c>
      <c r="W951" s="5">
        <v>0.013</v>
      </c>
      <c r="X951" s="5">
        <v>9.2E-5</v>
      </c>
      <c r="Y951" s="2">
        <v>60.00520833</v>
      </c>
      <c r="Z951" s="2">
        <v>945.0</v>
      </c>
      <c r="AA951" s="2" t="s">
        <v>33</v>
      </c>
    </row>
    <row r="952">
      <c r="A952" s="2">
        <v>2400.0</v>
      </c>
      <c r="B952" s="2" t="s">
        <v>2803</v>
      </c>
      <c r="C952" s="2" t="s">
        <v>7</v>
      </c>
      <c r="D952" s="2" t="s">
        <v>2804</v>
      </c>
      <c r="E952" s="2" t="s">
        <v>2805</v>
      </c>
      <c r="F952" s="6">
        <v>45835.708333333336</v>
      </c>
      <c r="G952" s="2">
        <v>47050.0</v>
      </c>
      <c r="H952" s="2">
        <v>47050.0</v>
      </c>
      <c r="I952" s="2">
        <v>39888.0</v>
      </c>
      <c r="J952" s="2">
        <v>280.0</v>
      </c>
      <c r="K952" s="2">
        <v>211.0</v>
      </c>
      <c r="L952" s="2">
        <v>2.0</v>
      </c>
      <c r="M952" s="4">
        <v>9736.0</v>
      </c>
      <c r="N952" s="2" t="s">
        <v>36</v>
      </c>
      <c r="O952" s="2">
        <v>71.0</v>
      </c>
      <c r="P952" s="2" t="s">
        <v>31</v>
      </c>
      <c r="Q952" s="2" t="s">
        <v>32</v>
      </c>
      <c r="R952" s="2">
        <v>24.0</v>
      </c>
      <c r="U952" s="2" t="b">
        <v>1</v>
      </c>
      <c r="V952" s="5">
        <v>0.0053</v>
      </c>
      <c r="W952" s="5">
        <v>0.0095</v>
      </c>
      <c r="X952" s="5">
        <v>5.0E-5</v>
      </c>
      <c r="Y952" s="2">
        <v>46.14218009</v>
      </c>
      <c r="AA952" s="2" t="s">
        <v>33</v>
      </c>
    </row>
    <row r="953">
      <c r="A953" s="2">
        <v>2399.0</v>
      </c>
      <c r="B953" s="2" t="s">
        <v>2806</v>
      </c>
      <c r="C953" s="2" t="s">
        <v>7</v>
      </c>
      <c r="D953" s="2" t="s">
        <v>2807</v>
      </c>
      <c r="E953" s="2" t="s">
        <v>2808</v>
      </c>
      <c r="F953" s="6">
        <v>45835.708333333336</v>
      </c>
      <c r="G953" s="2">
        <v>61678.0</v>
      </c>
      <c r="H953" s="2">
        <v>61678.0</v>
      </c>
      <c r="I953" s="2">
        <v>54085.0</v>
      </c>
      <c r="J953" s="2">
        <v>412.0</v>
      </c>
      <c r="K953" s="2">
        <v>329.0</v>
      </c>
      <c r="L953" s="2">
        <v>1.0</v>
      </c>
      <c r="M953" s="4">
        <v>2949.0</v>
      </c>
      <c r="N953" s="2" t="s">
        <v>30</v>
      </c>
      <c r="O953" s="2">
        <v>70.0</v>
      </c>
      <c r="P953" s="2" t="s">
        <v>31</v>
      </c>
      <c r="Q953" s="2" t="s">
        <v>32</v>
      </c>
      <c r="R953" s="2">
        <v>38.0</v>
      </c>
      <c r="T953" s="2" t="s">
        <v>58</v>
      </c>
      <c r="U953" s="2" t="b">
        <v>0</v>
      </c>
      <c r="V953" s="5">
        <v>0.0061</v>
      </c>
      <c r="W953" s="5">
        <v>0.003</v>
      </c>
      <c r="X953" s="5">
        <v>1.8E-5</v>
      </c>
      <c r="Y953" s="2">
        <v>8.963525836</v>
      </c>
      <c r="AA953" s="2" t="s">
        <v>33</v>
      </c>
    </row>
    <row r="954">
      <c r="A954" s="2">
        <v>2408.0</v>
      </c>
      <c r="B954" s="2" t="s">
        <v>2809</v>
      </c>
      <c r="C954" s="2" t="s">
        <v>7</v>
      </c>
      <c r="D954" s="2" t="s">
        <v>2810</v>
      </c>
      <c r="E954" s="2" t="s">
        <v>2811</v>
      </c>
      <c r="F954" s="6">
        <v>45836.458333333336</v>
      </c>
      <c r="G954" s="2">
        <v>47120.0</v>
      </c>
      <c r="H954" s="2">
        <v>47120.0</v>
      </c>
      <c r="I954" s="2">
        <v>39500.0</v>
      </c>
      <c r="J954" s="2">
        <v>422.0</v>
      </c>
      <c r="K954" s="2">
        <v>334.0</v>
      </c>
      <c r="L954" s="2">
        <v>6.0</v>
      </c>
      <c r="M954" s="4">
        <v>13714.0</v>
      </c>
      <c r="N954" s="2" t="s">
        <v>36</v>
      </c>
      <c r="O954" s="2">
        <v>71.0</v>
      </c>
      <c r="P954" s="2" t="s">
        <v>31</v>
      </c>
      <c r="Q954" s="2" t="s">
        <v>32</v>
      </c>
      <c r="R954" s="2">
        <v>36.0</v>
      </c>
      <c r="U954" s="2" t="b">
        <v>1</v>
      </c>
      <c r="V954" s="5">
        <v>0.0085</v>
      </c>
      <c r="W954" s="5">
        <v>0.018</v>
      </c>
      <c r="X954" s="5">
        <v>1.52E-4</v>
      </c>
      <c r="Y954" s="2">
        <v>41.05988024</v>
      </c>
      <c r="AA954" s="2" t="s">
        <v>33</v>
      </c>
    </row>
    <row r="955">
      <c r="A955" s="2">
        <v>2407.0</v>
      </c>
      <c r="B955" s="2" t="s">
        <v>2812</v>
      </c>
      <c r="C955" s="2" t="s">
        <v>7</v>
      </c>
      <c r="D955" s="2" t="s">
        <v>2813</v>
      </c>
      <c r="E955" s="2" t="s">
        <v>2814</v>
      </c>
      <c r="F955" s="6">
        <v>45836.458333333336</v>
      </c>
      <c r="G955" s="2">
        <v>61639.0</v>
      </c>
      <c r="H955" s="2">
        <v>61639.0</v>
      </c>
      <c r="I955" s="2">
        <v>53610.0</v>
      </c>
      <c r="J955" s="2">
        <v>392.0</v>
      </c>
      <c r="K955" s="2">
        <v>324.0</v>
      </c>
      <c r="L955" s="2">
        <v>2.0</v>
      </c>
      <c r="M955" s="4">
        <v>6638.0</v>
      </c>
      <c r="N955" s="2" t="s">
        <v>30</v>
      </c>
      <c r="O955" s="2">
        <v>70.0</v>
      </c>
      <c r="P955" s="2" t="s">
        <v>31</v>
      </c>
      <c r="Q955" s="2" t="s">
        <v>32</v>
      </c>
      <c r="R955" s="2">
        <v>33.0</v>
      </c>
      <c r="T955" s="2" t="s">
        <v>405</v>
      </c>
      <c r="U955" s="2" t="b">
        <v>0</v>
      </c>
      <c r="V955" s="5">
        <v>0.006</v>
      </c>
      <c r="W955" s="5">
        <v>0.0062</v>
      </c>
      <c r="X955" s="5">
        <v>3.7E-5</v>
      </c>
      <c r="Y955" s="2">
        <v>20.48765432</v>
      </c>
      <c r="Z955" s="2">
        <v>2294.0</v>
      </c>
      <c r="AA955" s="2" t="s">
        <v>33</v>
      </c>
    </row>
    <row r="956">
      <c r="A956" s="2">
        <v>2410.0</v>
      </c>
      <c r="B956" s="2" t="s">
        <v>2815</v>
      </c>
      <c r="C956" s="2" t="s">
        <v>7</v>
      </c>
      <c r="D956" s="2" t="s">
        <v>2816</v>
      </c>
      <c r="E956" s="2" t="s">
        <v>2817</v>
      </c>
      <c r="F956" s="6">
        <v>45836.625</v>
      </c>
      <c r="G956" s="2">
        <v>47168.0</v>
      </c>
      <c r="H956" s="2">
        <v>47168.0</v>
      </c>
      <c r="I956" s="2">
        <v>39902.0</v>
      </c>
      <c r="J956" s="2">
        <v>348.0</v>
      </c>
      <c r="K956" s="2">
        <v>278.0</v>
      </c>
      <c r="L956" s="2">
        <v>1.0</v>
      </c>
      <c r="M956" s="4">
        <v>1665.0</v>
      </c>
      <c r="N956" s="2" t="s">
        <v>36</v>
      </c>
      <c r="O956" s="2">
        <v>71.0</v>
      </c>
      <c r="P956" s="2" t="s">
        <v>31</v>
      </c>
      <c r="Q956" s="2" t="s">
        <v>32</v>
      </c>
      <c r="R956" s="2">
        <v>32.0</v>
      </c>
      <c r="T956" s="2" t="s">
        <v>58</v>
      </c>
      <c r="U956" s="2" t="b">
        <v>1</v>
      </c>
      <c r="V956" s="5">
        <v>0.007</v>
      </c>
      <c r="W956" s="5">
        <v>0.0036</v>
      </c>
      <c r="X956" s="5">
        <v>2.5E-5</v>
      </c>
      <c r="Y956" s="2">
        <v>5.989208633</v>
      </c>
      <c r="AA956" s="2" t="s">
        <v>33</v>
      </c>
    </row>
    <row r="957">
      <c r="A957" s="2">
        <v>2409.0</v>
      </c>
      <c r="B957" s="2" t="s">
        <v>2818</v>
      </c>
      <c r="C957" s="2" t="s">
        <v>7</v>
      </c>
      <c r="D957" s="2" t="s">
        <v>2819</v>
      </c>
      <c r="E957" s="2" t="s">
        <v>2820</v>
      </c>
      <c r="F957" s="6">
        <v>45836.625</v>
      </c>
      <c r="G957" s="2">
        <v>61673.0</v>
      </c>
      <c r="H957" s="2">
        <v>61673.0</v>
      </c>
      <c r="I957" s="2">
        <v>53935.0</v>
      </c>
      <c r="J957" s="2">
        <v>363.0</v>
      </c>
      <c r="K957" s="2">
        <v>301.0</v>
      </c>
      <c r="L957" s="2">
        <v>6.0</v>
      </c>
      <c r="M957" s="4">
        <v>9112.0</v>
      </c>
      <c r="N957" s="2" t="s">
        <v>30</v>
      </c>
      <c r="O957" s="2">
        <v>70.0</v>
      </c>
      <c r="P957" s="2" t="s">
        <v>31</v>
      </c>
      <c r="Q957" s="2" t="s">
        <v>32</v>
      </c>
      <c r="R957" s="2">
        <v>39.0</v>
      </c>
      <c r="T957" s="2" t="s">
        <v>1185</v>
      </c>
      <c r="U957" s="2" t="b">
        <v>0</v>
      </c>
      <c r="V957" s="5">
        <v>0.0056</v>
      </c>
      <c r="W957" s="5">
        <v>0.0199</v>
      </c>
      <c r="X957" s="5">
        <v>1.11E-4</v>
      </c>
      <c r="Y957" s="2">
        <v>30.27242525</v>
      </c>
      <c r="Z957" s="2">
        <v>5196.0</v>
      </c>
      <c r="AA957" s="2" t="s">
        <v>33</v>
      </c>
    </row>
    <row r="958">
      <c r="A958" s="2">
        <v>2412.0</v>
      </c>
      <c r="B958" s="2" t="s">
        <v>2821</v>
      </c>
      <c r="C958" s="2" t="s">
        <v>7</v>
      </c>
      <c r="D958" s="2" t="s">
        <v>2822</v>
      </c>
      <c r="E958" s="2" t="s">
        <v>2823</v>
      </c>
      <c r="F958" s="6">
        <v>45836.708333333336</v>
      </c>
      <c r="G958" s="2">
        <v>47196.0</v>
      </c>
      <c r="H958" s="2">
        <v>47196.0</v>
      </c>
      <c r="I958" s="2">
        <v>39907.0</v>
      </c>
      <c r="J958" s="2">
        <v>280.0</v>
      </c>
      <c r="K958" s="2">
        <v>213.0</v>
      </c>
      <c r="L958" s="2">
        <v>1.0</v>
      </c>
      <c r="M958" s="2">
        <v>237.0</v>
      </c>
      <c r="N958" s="2" t="s">
        <v>36</v>
      </c>
      <c r="O958" s="2">
        <v>71.0</v>
      </c>
      <c r="P958" s="2" t="s">
        <v>31</v>
      </c>
      <c r="Q958" s="2" t="s">
        <v>32</v>
      </c>
      <c r="R958" s="2">
        <v>42.0</v>
      </c>
      <c r="T958" s="2" t="s">
        <v>47</v>
      </c>
      <c r="U958" s="2" t="b">
        <v>0</v>
      </c>
      <c r="V958" s="5">
        <v>0.0053</v>
      </c>
      <c r="W958" s="5">
        <v>0.0047</v>
      </c>
      <c r="X958" s="5">
        <v>2.5E-5</v>
      </c>
      <c r="Y958" s="2">
        <v>1.112676056</v>
      </c>
      <c r="AA958" s="2" t="s">
        <v>33</v>
      </c>
    </row>
    <row r="959">
      <c r="A959" s="2">
        <v>2411.0</v>
      </c>
      <c r="B959" s="2" t="s">
        <v>2824</v>
      </c>
      <c r="C959" s="2" t="s">
        <v>7</v>
      </c>
      <c r="D959" s="2" t="s">
        <v>2825</v>
      </c>
      <c r="E959" s="2" t="s">
        <v>2826</v>
      </c>
      <c r="F959" s="6">
        <v>45836.708333333336</v>
      </c>
      <c r="G959" s="2">
        <v>61714.0</v>
      </c>
      <c r="H959" s="2">
        <v>61714.0</v>
      </c>
      <c r="I959" s="2">
        <v>54012.0</v>
      </c>
      <c r="J959" s="2">
        <v>313.0</v>
      </c>
      <c r="K959" s="2">
        <v>253.0</v>
      </c>
      <c r="L959" s="2">
        <v>2.0</v>
      </c>
      <c r="M959" s="4">
        <v>2598.0</v>
      </c>
      <c r="N959" s="2" t="s">
        <v>30</v>
      </c>
      <c r="O959" s="2">
        <v>70.0</v>
      </c>
      <c r="P959" s="2" t="s">
        <v>31</v>
      </c>
      <c r="Q959" s="2" t="s">
        <v>32</v>
      </c>
      <c r="R959" s="2">
        <v>44.0</v>
      </c>
      <c r="T959" s="2" t="s">
        <v>2827</v>
      </c>
      <c r="U959" s="2" t="b">
        <v>0</v>
      </c>
      <c r="V959" s="5">
        <v>0.0047</v>
      </c>
      <c r="W959" s="5">
        <v>0.0079</v>
      </c>
      <c r="X959" s="5">
        <v>3.7E-5</v>
      </c>
      <c r="Y959" s="2">
        <v>10.2687747</v>
      </c>
      <c r="AA959" s="2" t="s">
        <v>33</v>
      </c>
    </row>
    <row r="960">
      <c r="A960" s="2">
        <v>2414.0</v>
      </c>
      <c r="B960" s="2" t="s">
        <v>2828</v>
      </c>
      <c r="C960" s="2" t="s">
        <v>7</v>
      </c>
      <c r="D960" s="2" t="s">
        <v>2829</v>
      </c>
      <c r="E960" s="2" t="s">
        <v>2830</v>
      </c>
      <c r="F960" s="6">
        <v>45837.458333333336</v>
      </c>
      <c r="G960" s="2">
        <v>47201.0</v>
      </c>
      <c r="H960" s="2">
        <v>47201.0</v>
      </c>
      <c r="I960" s="2">
        <v>39548.0</v>
      </c>
      <c r="J960" s="2">
        <v>241.0</v>
      </c>
      <c r="K960" s="2">
        <v>194.0</v>
      </c>
      <c r="L960" s="2">
        <v>1.0</v>
      </c>
      <c r="M960" s="2">
        <v>990.0</v>
      </c>
      <c r="N960" s="2" t="s">
        <v>36</v>
      </c>
      <c r="O960" s="2">
        <v>71.0</v>
      </c>
      <c r="P960" s="2" t="s">
        <v>31</v>
      </c>
      <c r="Q960" s="2" t="s">
        <v>32</v>
      </c>
      <c r="R960" s="2">
        <v>35.0</v>
      </c>
      <c r="T960" s="2" t="s">
        <v>58</v>
      </c>
      <c r="U960" s="2" t="b">
        <v>1</v>
      </c>
      <c r="V960" s="5">
        <v>0.0049</v>
      </c>
      <c r="W960" s="5">
        <v>0.0052</v>
      </c>
      <c r="X960" s="5">
        <v>2.5E-5</v>
      </c>
      <c r="Y960" s="2">
        <v>5.103092784</v>
      </c>
      <c r="AA960" s="2" t="s">
        <v>33</v>
      </c>
    </row>
    <row r="961">
      <c r="A961" s="2">
        <v>2413.0</v>
      </c>
      <c r="B961" s="2" t="s">
        <v>2831</v>
      </c>
      <c r="C961" s="2" t="s">
        <v>7</v>
      </c>
      <c r="D961" s="2" t="s">
        <v>2832</v>
      </c>
      <c r="E961" s="2" t="s">
        <v>2833</v>
      </c>
      <c r="F961" s="6">
        <v>45837.458333333336</v>
      </c>
      <c r="G961" s="2">
        <v>61674.0</v>
      </c>
      <c r="H961" s="2">
        <v>61674.0</v>
      </c>
      <c r="I961" s="2">
        <v>53601.0</v>
      </c>
      <c r="J961" s="2">
        <v>272.0</v>
      </c>
      <c r="K961" s="2">
        <v>214.0</v>
      </c>
      <c r="L961" s="2">
        <v>4.0</v>
      </c>
      <c r="M961" s="4">
        <v>3377.0</v>
      </c>
      <c r="N961" s="2" t="s">
        <v>30</v>
      </c>
      <c r="O961" s="2">
        <v>70.0</v>
      </c>
      <c r="P961" s="2" t="s">
        <v>31</v>
      </c>
      <c r="Q961" s="2" t="s">
        <v>32</v>
      </c>
      <c r="R961" s="2">
        <v>25.0</v>
      </c>
      <c r="T961" s="2" t="s">
        <v>47</v>
      </c>
      <c r="U961" s="2" t="b">
        <v>0</v>
      </c>
      <c r="V961" s="5">
        <v>0.004</v>
      </c>
      <c r="W961" s="5">
        <v>0.0187</v>
      </c>
      <c r="X961" s="5">
        <v>7.5E-5</v>
      </c>
      <c r="Y961" s="2">
        <v>15.78037383</v>
      </c>
      <c r="Z961" s="2">
        <v>5728.0</v>
      </c>
      <c r="AA961" s="2" t="s">
        <v>33</v>
      </c>
    </row>
    <row r="962">
      <c r="A962" s="2">
        <v>2416.0</v>
      </c>
      <c r="B962" s="2" t="s">
        <v>2834</v>
      </c>
      <c r="C962" s="2" t="s">
        <v>7</v>
      </c>
      <c r="D962" s="2" t="s">
        <v>2835</v>
      </c>
      <c r="E962" s="2" t="s">
        <v>2836</v>
      </c>
      <c r="F962" s="6">
        <v>45837.625</v>
      </c>
      <c r="G962" s="2">
        <v>47221.0</v>
      </c>
      <c r="H962" s="2">
        <v>47221.0</v>
      </c>
      <c r="I962" s="2">
        <v>39869.0</v>
      </c>
      <c r="J962" s="2">
        <v>301.0</v>
      </c>
      <c r="K962" s="2">
        <v>254.0</v>
      </c>
      <c r="L962" s="2">
        <v>6.0</v>
      </c>
      <c r="M962" s="4">
        <v>24013.0</v>
      </c>
      <c r="N962" s="2" t="s">
        <v>36</v>
      </c>
      <c r="O962" s="2">
        <v>71.0</v>
      </c>
      <c r="P962" s="2" t="s">
        <v>31</v>
      </c>
      <c r="Q962" s="2" t="s">
        <v>32</v>
      </c>
      <c r="R962" s="2">
        <v>30.0</v>
      </c>
      <c r="U962" s="2" t="b">
        <v>1</v>
      </c>
      <c r="V962" s="5">
        <v>0.0064</v>
      </c>
      <c r="W962" s="5">
        <v>0.0236</v>
      </c>
      <c r="X962" s="5">
        <v>1.5E-4</v>
      </c>
      <c r="Y962" s="2">
        <v>94.53937008</v>
      </c>
      <c r="AA962" s="2" t="s">
        <v>33</v>
      </c>
    </row>
    <row r="963">
      <c r="A963" s="2">
        <v>2415.0</v>
      </c>
      <c r="B963" s="2" t="s">
        <v>2837</v>
      </c>
      <c r="C963" s="2" t="s">
        <v>7</v>
      </c>
      <c r="D963" s="2" t="s">
        <v>2838</v>
      </c>
      <c r="E963" s="2" t="s">
        <v>2839</v>
      </c>
      <c r="F963" s="6">
        <v>45837.625</v>
      </c>
      <c r="G963" s="2">
        <v>61720.0</v>
      </c>
      <c r="H963" s="2">
        <v>61720.0</v>
      </c>
      <c r="I963" s="2">
        <v>53991.0</v>
      </c>
      <c r="J963" s="2">
        <v>389.0</v>
      </c>
      <c r="K963" s="2">
        <v>308.0</v>
      </c>
      <c r="L963" s="2">
        <v>5.0</v>
      </c>
      <c r="M963" s="4">
        <v>14120.0</v>
      </c>
      <c r="N963" s="2" t="s">
        <v>30</v>
      </c>
      <c r="O963" s="2">
        <v>70.0</v>
      </c>
      <c r="P963" s="2" t="s">
        <v>31</v>
      </c>
      <c r="Q963" s="2" t="s">
        <v>32</v>
      </c>
      <c r="R963" s="2">
        <v>31.0</v>
      </c>
      <c r="T963" s="2" t="s">
        <v>405</v>
      </c>
      <c r="U963" s="2" t="b">
        <v>0</v>
      </c>
      <c r="V963" s="5">
        <v>0.0057</v>
      </c>
      <c r="W963" s="5">
        <v>0.0162</v>
      </c>
      <c r="X963" s="5">
        <v>9.3E-5</v>
      </c>
      <c r="Y963" s="2">
        <v>45.84415584</v>
      </c>
      <c r="Z963" s="2">
        <v>4463.0</v>
      </c>
      <c r="AA963" s="2" t="s">
        <v>33</v>
      </c>
    </row>
    <row r="964">
      <c r="A964" s="2">
        <v>2418.0</v>
      </c>
      <c r="B964" s="2" t="s">
        <v>2840</v>
      </c>
      <c r="C964" s="2" t="s">
        <v>7</v>
      </c>
      <c r="D964" s="2" t="s">
        <v>2841</v>
      </c>
      <c r="E964" s="2" t="s">
        <v>2842</v>
      </c>
      <c r="F964" s="6">
        <v>45837.708333333336</v>
      </c>
      <c r="G964" s="2">
        <v>47246.0</v>
      </c>
      <c r="H964" s="2">
        <v>47246.0</v>
      </c>
      <c r="I964" s="2">
        <v>39925.0</v>
      </c>
      <c r="J964" s="2">
        <v>328.0</v>
      </c>
      <c r="K964" s="2">
        <v>254.0</v>
      </c>
      <c r="L964" s="2">
        <v>3.0</v>
      </c>
      <c r="M964" s="4">
        <v>9940.0</v>
      </c>
      <c r="N964" s="2" t="s">
        <v>36</v>
      </c>
      <c r="O964" s="2">
        <v>71.0</v>
      </c>
      <c r="P964" s="2" t="s">
        <v>31</v>
      </c>
      <c r="Q964" s="2" t="s">
        <v>32</v>
      </c>
      <c r="R964" s="2">
        <v>27.0</v>
      </c>
      <c r="U964" s="2" t="b">
        <v>1</v>
      </c>
      <c r="V964" s="5">
        <v>0.0064</v>
      </c>
      <c r="W964" s="5">
        <v>0.0118</v>
      </c>
      <c r="X964" s="5">
        <v>7.5E-5</v>
      </c>
      <c r="Y964" s="2">
        <v>39.13385827</v>
      </c>
      <c r="AA964" s="2" t="s">
        <v>33</v>
      </c>
    </row>
    <row r="965">
      <c r="A965" s="2">
        <v>2417.0</v>
      </c>
      <c r="B965" s="2" t="s">
        <v>2843</v>
      </c>
      <c r="C965" s="2" t="s">
        <v>7</v>
      </c>
      <c r="D965" s="2" t="s">
        <v>2844</v>
      </c>
      <c r="E965" s="2" t="e">
        <v>#N/A</v>
      </c>
      <c r="F965" s="6">
        <v>45837.708333333336</v>
      </c>
      <c r="G965" s="2">
        <v>61735.0</v>
      </c>
      <c r="H965" s="2">
        <v>61735.0</v>
      </c>
      <c r="I965" s="2">
        <v>53974.0</v>
      </c>
      <c r="J965" s="2">
        <v>350.0</v>
      </c>
      <c r="K965" s="2">
        <v>281.0</v>
      </c>
      <c r="L965" s="2">
        <v>3.0</v>
      </c>
      <c r="M965" s="4">
        <v>5302.0</v>
      </c>
      <c r="N965" s="2" t="s">
        <v>30</v>
      </c>
      <c r="O965" s="2">
        <v>70.0</v>
      </c>
      <c r="P965" s="2" t="s">
        <v>31</v>
      </c>
      <c r="Q965" s="2" t="s">
        <v>32</v>
      </c>
      <c r="R965" s="2">
        <v>29.0</v>
      </c>
      <c r="T965" s="2" t="s">
        <v>143</v>
      </c>
      <c r="U965" s="2" t="b">
        <v>0</v>
      </c>
      <c r="V965" s="5">
        <v>0.0052</v>
      </c>
      <c r="W965" s="5">
        <v>0.0107</v>
      </c>
      <c r="X965" s="5">
        <v>5.6E-5</v>
      </c>
      <c r="Y965" s="2">
        <v>18.8683274</v>
      </c>
      <c r="AA965" s="2" t="s">
        <v>33</v>
      </c>
    </row>
    <row r="966">
      <c r="A966" s="2">
        <v>2420.0</v>
      </c>
      <c r="B966" s="2" t="s">
        <v>2845</v>
      </c>
      <c r="C966" s="2" t="s">
        <v>7</v>
      </c>
      <c r="D966" s="2" t="s">
        <v>2846</v>
      </c>
      <c r="E966" s="2" t="s">
        <v>2847</v>
      </c>
      <c r="F966" s="6">
        <v>45838.458333333336</v>
      </c>
      <c r="G966" s="2">
        <v>47245.0</v>
      </c>
      <c r="H966" s="2">
        <v>47245.0</v>
      </c>
      <c r="I966" s="2">
        <v>39681.0</v>
      </c>
      <c r="J966" s="2">
        <v>209.0</v>
      </c>
      <c r="K966" s="2">
        <v>169.0</v>
      </c>
      <c r="L966" s="2">
        <v>2.0</v>
      </c>
      <c r="M966" s="4">
        <v>2886.0</v>
      </c>
      <c r="N966" s="2" t="s">
        <v>36</v>
      </c>
      <c r="O966" s="2">
        <v>71.0</v>
      </c>
      <c r="P966" s="2" t="s">
        <v>31</v>
      </c>
      <c r="Q966" s="2" t="s">
        <v>32</v>
      </c>
      <c r="R966" s="2">
        <v>35.0</v>
      </c>
      <c r="T966" s="2" t="s">
        <v>58</v>
      </c>
      <c r="U966" s="2" t="b">
        <v>0</v>
      </c>
      <c r="V966" s="5">
        <v>0.0043</v>
      </c>
      <c r="W966" s="5">
        <v>0.0118</v>
      </c>
      <c r="X966" s="5">
        <v>5.0E-5</v>
      </c>
      <c r="Y966" s="2">
        <v>17.07692308</v>
      </c>
      <c r="AA966" s="2" t="s">
        <v>33</v>
      </c>
    </row>
    <row r="967">
      <c r="A967" s="2">
        <v>2419.0</v>
      </c>
      <c r="B967" s="2" t="s">
        <v>2848</v>
      </c>
      <c r="C967" s="2" t="s">
        <v>7</v>
      </c>
      <c r="D967" s="2" t="s">
        <v>2849</v>
      </c>
      <c r="E967" s="2" t="s">
        <v>2850</v>
      </c>
      <c r="F967" s="6">
        <v>45838.458333333336</v>
      </c>
      <c r="G967" s="2">
        <v>61727.0</v>
      </c>
      <c r="H967" s="2">
        <v>61727.0</v>
      </c>
      <c r="I967" s="2">
        <v>53696.0</v>
      </c>
      <c r="J967" s="2">
        <v>261.0</v>
      </c>
      <c r="K967" s="2">
        <v>217.0</v>
      </c>
      <c r="L967" s="2">
        <v>5.0</v>
      </c>
      <c r="M967" s="4">
        <v>21116.0</v>
      </c>
      <c r="N967" s="2" t="s">
        <v>30</v>
      </c>
      <c r="O967" s="2">
        <v>70.0</v>
      </c>
      <c r="P967" s="2" t="s">
        <v>31</v>
      </c>
      <c r="Q967" s="2" t="s">
        <v>32</v>
      </c>
      <c r="R967" s="2">
        <v>39.0</v>
      </c>
      <c r="T967" s="2" t="s">
        <v>162</v>
      </c>
      <c r="U967" s="2" t="b">
        <v>0</v>
      </c>
      <c r="V967" s="5">
        <v>0.004</v>
      </c>
      <c r="W967" s="5">
        <v>0.023</v>
      </c>
      <c r="X967" s="5">
        <v>9.3E-5</v>
      </c>
      <c r="Y967" s="2">
        <v>97.30875576</v>
      </c>
      <c r="Z967" s="2" t="s">
        <v>307</v>
      </c>
      <c r="AA967" s="2" t="s">
        <v>33</v>
      </c>
    </row>
    <row r="968">
      <c r="A968" s="2">
        <v>2422.0</v>
      </c>
      <c r="B968" s="2" t="s">
        <v>2851</v>
      </c>
      <c r="C968" s="2" t="s">
        <v>7</v>
      </c>
      <c r="D968" s="2" t="s">
        <v>2852</v>
      </c>
      <c r="E968" s="2" t="s">
        <v>2853</v>
      </c>
      <c r="F968" s="6">
        <v>45838.625</v>
      </c>
      <c r="G968" s="2">
        <v>47252.0</v>
      </c>
      <c r="H968" s="2">
        <v>47252.0</v>
      </c>
      <c r="I968" s="2">
        <v>39966.0</v>
      </c>
      <c r="J968" s="2">
        <v>224.0</v>
      </c>
      <c r="K968" s="2">
        <v>188.0</v>
      </c>
      <c r="L968" s="2">
        <v>0.0</v>
      </c>
      <c r="M968" s="2">
        <v>0.0</v>
      </c>
      <c r="N968" s="2" t="s">
        <v>36</v>
      </c>
      <c r="O968" s="2">
        <v>71.0</v>
      </c>
      <c r="P968" s="2" t="s">
        <v>31</v>
      </c>
      <c r="Q968" s="2" t="s">
        <v>32</v>
      </c>
      <c r="R968" s="2">
        <v>27.0</v>
      </c>
      <c r="T968" s="2" t="s">
        <v>47</v>
      </c>
      <c r="U968" s="2" t="b">
        <v>0</v>
      </c>
      <c r="V968" s="5">
        <v>0.0047</v>
      </c>
      <c r="W968" s="5">
        <v>0.0</v>
      </c>
      <c r="X968" s="5">
        <v>0.0</v>
      </c>
      <c r="Y968" s="2">
        <v>0.0</v>
      </c>
      <c r="AA968" s="2" t="s">
        <v>33</v>
      </c>
    </row>
    <row r="969">
      <c r="A969" s="2">
        <v>2421.0</v>
      </c>
      <c r="B969" s="2" t="s">
        <v>2854</v>
      </c>
      <c r="C969" s="2" t="s">
        <v>7</v>
      </c>
      <c r="D969" s="2" t="s">
        <v>2855</v>
      </c>
      <c r="E969" s="2" t="s">
        <v>2856</v>
      </c>
      <c r="F969" s="6">
        <v>45838.625</v>
      </c>
      <c r="G969" s="2">
        <v>61743.0</v>
      </c>
      <c r="H969" s="2">
        <v>61743.0</v>
      </c>
      <c r="I969" s="2">
        <v>54077.0</v>
      </c>
      <c r="J969" s="2">
        <v>245.0</v>
      </c>
      <c r="K969" s="2">
        <v>204.0</v>
      </c>
      <c r="L969" s="2">
        <v>2.0</v>
      </c>
      <c r="M969" s="4">
        <v>8822.0</v>
      </c>
      <c r="N969" s="2" t="s">
        <v>30</v>
      </c>
      <c r="O969" s="2">
        <v>70.0</v>
      </c>
      <c r="P969" s="2" t="s">
        <v>31</v>
      </c>
      <c r="Q969" s="2" t="s">
        <v>32</v>
      </c>
      <c r="R969" s="2">
        <v>40.0</v>
      </c>
      <c r="U969" s="2" t="b">
        <v>0</v>
      </c>
      <c r="V969" s="5">
        <v>0.0038</v>
      </c>
      <c r="W969" s="5">
        <v>0.0098</v>
      </c>
      <c r="X969" s="5">
        <v>3.7E-5</v>
      </c>
      <c r="Y969" s="2">
        <v>43.24509804</v>
      </c>
      <c r="Z969" s="2" t="s">
        <v>307</v>
      </c>
      <c r="AA969" s="2" t="s">
        <v>33</v>
      </c>
    </row>
    <row r="970">
      <c r="A970" s="2">
        <v>2424.0</v>
      </c>
      <c r="B970" s="2" t="s">
        <v>2857</v>
      </c>
      <c r="C970" s="2" t="s">
        <v>7</v>
      </c>
      <c r="D970" s="2" t="s">
        <v>2858</v>
      </c>
      <c r="E970" s="2" t="s">
        <v>2859</v>
      </c>
      <c r="F970" s="6">
        <v>45838.708333333336</v>
      </c>
      <c r="G970" s="2">
        <v>46424.0</v>
      </c>
      <c r="H970" s="2">
        <v>46424.0</v>
      </c>
      <c r="I970" s="2">
        <v>39211.0</v>
      </c>
      <c r="J970" s="2">
        <v>245.0</v>
      </c>
      <c r="K970" s="2">
        <v>209.0</v>
      </c>
      <c r="L970" s="2">
        <v>3.0</v>
      </c>
      <c r="M970" s="4">
        <v>10170.0</v>
      </c>
      <c r="N970" s="2" t="s">
        <v>36</v>
      </c>
      <c r="O970" s="2">
        <v>71.0</v>
      </c>
      <c r="P970" s="2" t="s">
        <v>31</v>
      </c>
      <c r="Q970" s="2" t="s">
        <v>32</v>
      </c>
      <c r="R970" s="2">
        <v>26.0</v>
      </c>
      <c r="U970" s="2" t="b">
        <v>0</v>
      </c>
      <c r="V970" s="5">
        <v>0.0053</v>
      </c>
      <c r="W970" s="5">
        <v>0.0144</v>
      </c>
      <c r="X970" s="5">
        <v>7.7E-5</v>
      </c>
      <c r="Y970" s="2">
        <v>48.66028708</v>
      </c>
      <c r="AA970" s="2" t="s">
        <v>33</v>
      </c>
    </row>
    <row r="971">
      <c r="A971" s="2">
        <v>2423.0</v>
      </c>
      <c r="B971" s="2" t="s">
        <v>2860</v>
      </c>
      <c r="C971" s="2" t="s">
        <v>7</v>
      </c>
      <c r="D971" s="2" t="s">
        <v>2861</v>
      </c>
      <c r="E971" s="2" t="s">
        <v>2862</v>
      </c>
      <c r="F971" s="6">
        <v>45838.708333333336</v>
      </c>
      <c r="G971" s="2">
        <v>60150.0</v>
      </c>
      <c r="H971" s="2">
        <v>60150.0</v>
      </c>
      <c r="I971" s="2">
        <v>52592.0</v>
      </c>
      <c r="J971" s="2">
        <v>267.0</v>
      </c>
      <c r="K971" s="2">
        <v>238.0</v>
      </c>
      <c r="L971" s="2">
        <v>3.0</v>
      </c>
      <c r="M971" s="4">
        <v>9110.0</v>
      </c>
      <c r="N971" s="2" t="s">
        <v>30</v>
      </c>
      <c r="O971" s="2">
        <v>70.0</v>
      </c>
      <c r="P971" s="2" t="s">
        <v>31</v>
      </c>
      <c r="Q971" s="2" t="s">
        <v>32</v>
      </c>
      <c r="R971" s="2">
        <v>37.0</v>
      </c>
      <c r="T971" s="2" t="s">
        <v>47</v>
      </c>
      <c r="U971" s="2" t="b">
        <v>0</v>
      </c>
      <c r="V971" s="5">
        <v>0.0045</v>
      </c>
      <c r="W971" s="5">
        <v>0.0126</v>
      </c>
      <c r="X971" s="5">
        <v>5.7E-5</v>
      </c>
      <c r="Y971" s="2">
        <v>38.27731092</v>
      </c>
      <c r="AA971" s="2" t="s">
        <v>33</v>
      </c>
    </row>
    <row r="972">
      <c r="A972" s="2">
        <v>2435.0</v>
      </c>
      <c r="B972" s="2" t="s">
        <v>2863</v>
      </c>
      <c r="C972" s="2" t="s">
        <v>7</v>
      </c>
      <c r="D972" s="2" t="s">
        <v>2864</v>
      </c>
      <c r="E972" s="2" t="s">
        <v>2865</v>
      </c>
      <c r="F972" s="6">
        <v>45839.48402777778</v>
      </c>
      <c r="G972" s="2">
        <v>61696.0</v>
      </c>
      <c r="H972" s="2">
        <v>61696.0</v>
      </c>
      <c r="I972" s="2">
        <v>53917.0</v>
      </c>
      <c r="J972" s="2">
        <v>296.0</v>
      </c>
      <c r="K972" s="2">
        <v>250.0</v>
      </c>
      <c r="L972" s="2">
        <v>3.0</v>
      </c>
      <c r="M972" s="4">
        <v>13130.0</v>
      </c>
      <c r="N972" s="2" t="s">
        <v>30</v>
      </c>
      <c r="O972" s="2">
        <v>70.0</v>
      </c>
      <c r="P972" s="2" t="s">
        <v>31</v>
      </c>
      <c r="Q972" s="2" t="s">
        <v>32</v>
      </c>
      <c r="R972" s="2">
        <v>28.0</v>
      </c>
      <c r="T972" s="2" t="s">
        <v>2866</v>
      </c>
      <c r="U972" s="2" t="b">
        <v>0</v>
      </c>
      <c r="V972" s="5">
        <v>0.0046</v>
      </c>
      <c r="W972" s="5">
        <v>0.012</v>
      </c>
      <c r="X972" s="5">
        <v>5.6E-5</v>
      </c>
      <c r="Y972" s="2">
        <v>52.52</v>
      </c>
      <c r="AA972" s="2" t="s">
        <v>33</v>
      </c>
    </row>
    <row r="973">
      <c r="A973" s="2">
        <v>2436.0</v>
      </c>
      <c r="B973" s="2" t="s">
        <v>2867</v>
      </c>
      <c r="C973" s="2" t="s">
        <v>7</v>
      </c>
      <c r="D973" s="2" t="s">
        <v>2868</v>
      </c>
      <c r="E973" s="2" t="s">
        <v>2869</v>
      </c>
      <c r="F973" s="6">
        <v>45839.48541666667</v>
      </c>
      <c r="G973" s="2">
        <v>47295.0</v>
      </c>
      <c r="H973" s="2">
        <v>47295.0</v>
      </c>
      <c r="I973" s="2">
        <v>39824.0</v>
      </c>
      <c r="J973" s="2">
        <v>237.0</v>
      </c>
      <c r="K973" s="2">
        <v>184.0</v>
      </c>
      <c r="L973" s="2">
        <v>4.0</v>
      </c>
      <c r="M973" s="4">
        <v>9025.0</v>
      </c>
      <c r="N973" s="2" t="s">
        <v>36</v>
      </c>
      <c r="O973" s="2">
        <v>71.0</v>
      </c>
      <c r="P973" s="2" t="s">
        <v>31</v>
      </c>
      <c r="Q973" s="2" t="s">
        <v>32</v>
      </c>
      <c r="R973" s="2">
        <v>26.0</v>
      </c>
      <c r="T973" s="2" t="s">
        <v>47</v>
      </c>
      <c r="U973" s="2" t="b">
        <v>0</v>
      </c>
      <c r="V973" s="5">
        <v>0.0046</v>
      </c>
      <c r="W973" s="5">
        <v>0.0217</v>
      </c>
      <c r="X973" s="5">
        <v>1.0E-4</v>
      </c>
      <c r="Y973" s="2">
        <v>49.04891304</v>
      </c>
      <c r="AA973" s="2" t="s">
        <v>33</v>
      </c>
    </row>
    <row r="974">
      <c r="A974" s="2">
        <v>2438.0</v>
      </c>
      <c r="B974" s="2" t="s">
        <v>2870</v>
      </c>
      <c r="C974" s="2" t="s">
        <v>7</v>
      </c>
      <c r="D974" s="2" t="s">
        <v>2871</v>
      </c>
      <c r="E974" s="2" t="s">
        <v>2872</v>
      </c>
      <c r="F974" s="6">
        <v>45839.625</v>
      </c>
      <c r="G974" s="2">
        <v>47296.0</v>
      </c>
      <c r="H974" s="2">
        <v>47296.0</v>
      </c>
      <c r="I974" s="2">
        <v>39987.0</v>
      </c>
      <c r="J974" s="2">
        <v>241.0</v>
      </c>
      <c r="K974" s="2">
        <v>194.0</v>
      </c>
      <c r="L974" s="2">
        <v>3.0</v>
      </c>
      <c r="M974" s="4">
        <v>7750.0</v>
      </c>
      <c r="N974" s="2" t="s">
        <v>36</v>
      </c>
      <c r="O974" s="2">
        <v>71.0</v>
      </c>
      <c r="P974" s="2" t="s">
        <v>31</v>
      </c>
      <c r="Q974" s="2" t="s">
        <v>32</v>
      </c>
      <c r="R974" s="2">
        <v>23.0</v>
      </c>
      <c r="U974" s="2" t="b">
        <v>0</v>
      </c>
      <c r="V974" s="5">
        <v>0.0049</v>
      </c>
      <c r="W974" s="5">
        <v>0.0155</v>
      </c>
      <c r="X974" s="5">
        <v>7.5E-5</v>
      </c>
      <c r="Y974" s="2">
        <v>39.94845361</v>
      </c>
      <c r="AA974" s="2" t="s">
        <v>33</v>
      </c>
    </row>
    <row r="975">
      <c r="A975" s="2">
        <v>2437.0</v>
      </c>
      <c r="B975" s="2" t="s">
        <v>2873</v>
      </c>
      <c r="C975" s="2" t="s">
        <v>7</v>
      </c>
      <c r="D975" s="2" t="s">
        <v>2874</v>
      </c>
      <c r="E975" s="2" t="s">
        <v>2875</v>
      </c>
      <c r="F975" s="6">
        <v>45839.625</v>
      </c>
      <c r="G975" s="2">
        <v>61687.0</v>
      </c>
      <c r="H975" s="2">
        <v>61687.0</v>
      </c>
      <c r="I975" s="2">
        <v>54035.0</v>
      </c>
      <c r="J975" s="2">
        <v>406.0</v>
      </c>
      <c r="K975" s="2">
        <v>318.0</v>
      </c>
      <c r="L975" s="2">
        <v>7.0</v>
      </c>
      <c r="M975" s="4">
        <v>15055.0</v>
      </c>
      <c r="N975" s="2" t="s">
        <v>30</v>
      </c>
      <c r="O975" s="2">
        <v>70.0</v>
      </c>
      <c r="P975" s="2" t="s">
        <v>31</v>
      </c>
      <c r="Q975" s="2" t="s">
        <v>32</v>
      </c>
      <c r="R975" s="2">
        <v>44.0</v>
      </c>
      <c r="U975" s="2" t="b">
        <v>0</v>
      </c>
      <c r="V975" s="5">
        <v>0.0059</v>
      </c>
      <c r="W975" s="5">
        <v>0.022</v>
      </c>
      <c r="X975" s="5">
        <v>1.3E-4</v>
      </c>
      <c r="Y975" s="2">
        <v>47.3427673</v>
      </c>
      <c r="AA975" s="2" t="s">
        <v>33</v>
      </c>
    </row>
    <row r="976">
      <c r="A976" s="2">
        <v>2440.0</v>
      </c>
      <c r="B976" s="2" t="s">
        <v>2876</v>
      </c>
      <c r="C976" s="2" t="s">
        <v>7</v>
      </c>
      <c r="D976" s="2" t="s">
        <v>2877</v>
      </c>
      <c r="E976" s="2" t="s">
        <v>2878</v>
      </c>
      <c r="F976" s="6">
        <v>45839.708333333336</v>
      </c>
      <c r="G976" s="2">
        <v>47317.0</v>
      </c>
      <c r="H976" s="2">
        <v>47317.0</v>
      </c>
      <c r="I976" s="2">
        <v>40050.0</v>
      </c>
      <c r="J976" s="2">
        <v>239.0</v>
      </c>
      <c r="K976" s="2">
        <v>195.0</v>
      </c>
      <c r="L976" s="2">
        <v>5.0</v>
      </c>
      <c r="M976" s="4">
        <v>8925.0</v>
      </c>
      <c r="N976" s="2" t="s">
        <v>36</v>
      </c>
      <c r="O976" s="2">
        <v>71.0</v>
      </c>
      <c r="P976" s="2" t="s">
        <v>31</v>
      </c>
      <c r="Q976" s="2" t="s">
        <v>32</v>
      </c>
      <c r="R976" s="2">
        <v>26.0</v>
      </c>
      <c r="T976" s="2" t="s">
        <v>47</v>
      </c>
      <c r="U976" s="2" t="b">
        <v>0</v>
      </c>
      <c r="V976" s="5">
        <v>0.0049</v>
      </c>
      <c r="W976" s="5">
        <v>0.0256</v>
      </c>
      <c r="X976" s="5">
        <v>1.25E-4</v>
      </c>
      <c r="Y976" s="2">
        <v>45.76923077</v>
      </c>
      <c r="AA976" s="2" t="s">
        <v>33</v>
      </c>
    </row>
    <row r="977">
      <c r="A977" s="2">
        <v>2439.0</v>
      </c>
      <c r="B977" s="2" t="s">
        <v>2879</v>
      </c>
      <c r="C977" s="2" t="s">
        <v>7</v>
      </c>
      <c r="D977" s="2" t="s">
        <v>2880</v>
      </c>
      <c r="E977" s="2" t="s">
        <v>2881</v>
      </c>
      <c r="F977" s="6">
        <v>45839.708333333336</v>
      </c>
      <c r="G977" s="2">
        <v>61691.0</v>
      </c>
      <c r="H977" s="2">
        <v>61691.0</v>
      </c>
      <c r="I977" s="2">
        <v>53992.0</v>
      </c>
      <c r="J977" s="2">
        <v>295.0</v>
      </c>
      <c r="K977" s="2">
        <v>242.0</v>
      </c>
      <c r="L977" s="2">
        <v>12.0</v>
      </c>
      <c r="M977" s="4">
        <v>33604.0</v>
      </c>
      <c r="N977" s="2" t="s">
        <v>30</v>
      </c>
      <c r="O977" s="2">
        <v>70.0</v>
      </c>
      <c r="P977" s="2" t="s">
        <v>31</v>
      </c>
      <c r="Q977" s="2" t="s">
        <v>32</v>
      </c>
      <c r="R977" s="2">
        <v>34.0</v>
      </c>
      <c r="T977" s="2" t="s">
        <v>47</v>
      </c>
      <c r="U977" s="2" t="b">
        <v>0</v>
      </c>
      <c r="V977" s="5">
        <v>0.0045</v>
      </c>
      <c r="W977" s="5">
        <v>0.0496</v>
      </c>
      <c r="X977" s="5">
        <v>2.22E-4</v>
      </c>
      <c r="Y977" s="2">
        <v>138.8595041</v>
      </c>
      <c r="Z977" s="2">
        <v>2451.0</v>
      </c>
      <c r="AA977" s="2" t="s">
        <v>33</v>
      </c>
    </row>
    <row r="978">
      <c r="A978" s="2">
        <v>2446.0</v>
      </c>
      <c r="B978" s="2" t="s">
        <v>2882</v>
      </c>
      <c r="C978" s="2" t="s">
        <v>7</v>
      </c>
      <c r="D978" s="2" t="s">
        <v>2883</v>
      </c>
      <c r="E978" s="2" t="s">
        <v>2884</v>
      </c>
      <c r="F978" s="6">
        <v>45840.490277777775</v>
      </c>
      <c r="G978" s="2">
        <v>61602.0</v>
      </c>
      <c r="H978" s="2">
        <v>61602.0</v>
      </c>
      <c r="I978" s="2">
        <v>53789.0</v>
      </c>
      <c r="J978" s="2">
        <v>245.0</v>
      </c>
      <c r="K978" s="2">
        <v>204.0</v>
      </c>
      <c r="L978" s="2">
        <v>3.0</v>
      </c>
      <c r="M978" s="4">
        <v>12951.0</v>
      </c>
      <c r="N978" s="2" t="s">
        <v>30</v>
      </c>
      <c r="O978" s="2">
        <v>70.0</v>
      </c>
      <c r="P978" s="2" t="s">
        <v>31</v>
      </c>
      <c r="Q978" s="2" t="s">
        <v>32</v>
      </c>
      <c r="R978" s="2">
        <v>30.0</v>
      </c>
      <c r="T978" s="2" t="s">
        <v>47</v>
      </c>
      <c r="U978" s="2" t="b">
        <v>0</v>
      </c>
      <c r="V978" s="5">
        <v>0.0038</v>
      </c>
      <c r="W978" s="5">
        <v>0.0147</v>
      </c>
      <c r="X978" s="5">
        <v>5.6E-5</v>
      </c>
      <c r="Y978" s="2">
        <v>63.48529412</v>
      </c>
      <c r="AA978" s="2" t="s">
        <v>33</v>
      </c>
    </row>
    <row r="979">
      <c r="A979" s="2">
        <v>2447.0</v>
      </c>
      <c r="B979" s="2" t="s">
        <v>2885</v>
      </c>
      <c r="C979" s="2" t="s">
        <v>7</v>
      </c>
      <c r="D979" s="2" t="s">
        <v>2886</v>
      </c>
      <c r="E979" s="2" t="s">
        <v>2887</v>
      </c>
      <c r="F979" s="6">
        <v>45840.49166666667</v>
      </c>
      <c r="G979" s="2">
        <v>47327.0</v>
      </c>
      <c r="H979" s="2">
        <v>47327.0</v>
      </c>
      <c r="I979" s="2">
        <v>39781.0</v>
      </c>
      <c r="J979" s="2">
        <v>241.0</v>
      </c>
      <c r="K979" s="2">
        <v>200.0</v>
      </c>
      <c r="L979" s="2">
        <v>1.0</v>
      </c>
      <c r="M979" s="2">
        <v>449.0</v>
      </c>
      <c r="N979" s="2" t="s">
        <v>36</v>
      </c>
      <c r="O979" s="2">
        <v>71.0</v>
      </c>
      <c r="P979" s="2" t="s">
        <v>31</v>
      </c>
      <c r="Q979" s="2" t="s">
        <v>32</v>
      </c>
      <c r="R979" s="2">
        <v>24.0</v>
      </c>
      <c r="T979" s="2" t="s">
        <v>47</v>
      </c>
      <c r="U979" s="2" t="b">
        <v>0</v>
      </c>
      <c r="V979" s="5">
        <v>0.005</v>
      </c>
      <c r="W979" s="5">
        <v>0.005</v>
      </c>
      <c r="X979" s="5">
        <v>2.5E-5</v>
      </c>
      <c r="Y979" s="2">
        <v>2.245</v>
      </c>
      <c r="AA979" s="2" t="s">
        <v>33</v>
      </c>
    </row>
    <row r="980">
      <c r="A980" s="2">
        <v>2448.0</v>
      </c>
      <c r="B980" s="2" t="s">
        <v>2888</v>
      </c>
      <c r="C980" s="2" t="s">
        <v>7</v>
      </c>
      <c r="D980" s="2" t="s">
        <v>2889</v>
      </c>
      <c r="E980" s="2" t="e">
        <v>#N/A</v>
      </c>
      <c r="F980" s="6">
        <v>45840.524305555555</v>
      </c>
      <c r="G980" s="2">
        <v>2971.0</v>
      </c>
      <c r="H980" s="2">
        <v>2971.0</v>
      </c>
      <c r="I980" s="2">
        <v>2559.0</v>
      </c>
      <c r="J980" s="2">
        <v>20.0</v>
      </c>
      <c r="K980" s="2">
        <v>16.0</v>
      </c>
      <c r="L980" s="2">
        <v>0.0</v>
      </c>
      <c r="M980" s="2">
        <v>0.0</v>
      </c>
      <c r="N980" s="2" t="s">
        <v>423</v>
      </c>
      <c r="O980" s="2">
        <v>119.0</v>
      </c>
      <c r="P980" s="2" t="s">
        <v>31</v>
      </c>
      <c r="Q980" s="2" t="s">
        <v>32</v>
      </c>
      <c r="R980" s="2">
        <v>34.0</v>
      </c>
      <c r="T980" s="2" t="s">
        <v>47</v>
      </c>
      <c r="U980" s="2" t="b">
        <v>0</v>
      </c>
      <c r="V980" s="5">
        <v>0.0063</v>
      </c>
      <c r="W980" s="5">
        <v>0.0</v>
      </c>
      <c r="X980" s="5">
        <v>0.0</v>
      </c>
      <c r="Y980" s="2">
        <v>0.0</v>
      </c>
      <c r="AA980" s="2" t="s">
        <v>423</v>
      </c>
    </row>
    <row r="981">
      <c r="A981" s="2">
        <v>2451.0</v>
      </c>
      <c r="B981" s="2" t="s">
        <v>2890</v>
      </c>
      <c r="C981" s="2" t="s">
        <v>7</v>
      </c>
      <c r="D981" s="2" t="s">
        <v>2891</v>
      </c>
      <c r="E981" s="2" t="e">
        <v>#N/A</v>
      </c>
      <c r="F981" s="6">
        <v>45840.53472222222</v>
      </c>
      <c r="G981" s="2">
        <v>2972.0</v>
      </c>
      <c r="H981" s="2">
        <v>2972.0</v>
      </c>
      <c r="I981" s="2">
        <v>2542.0</v>
      </c>
      <c r="J981" s="2">
        <v>15.0</v>
      </c>
      <c r="K981" s="2">
        <v>13.0</v>
      </c>
      <c r="L981" s="2">
        <v>1.0</v>
      </c>
      <c r="M981" s="4">
        <v>2998.0</v>
      </c>
      <c r="N981" s="2" t="s">
        <v>423</v>
      </c>
      <c r="O981" s="2">
        <v>119.0</v>
      </c>
      <c r="P981" s="2" t="s">
        <v>31</v>
      </c>
      <c r="Q981" s="2" t="s">
        <v>32</v>
      </c>
      <c r="R981" s="2">
        <v>44.0</v>
      </c>
      <c r="U981" s="2" t="b">
        <v>0</v>
      </c>
      <c r="V981" s="5">
        <v>0.0051</v>
      </c>
      <c r="W981" s="5">
        <v>0.0769</v>
      </c>
      <c r="X981" s="5">
        <v>3.93E-4</v>
      </c>
      <c r="Y981" s="2">
        <v>230.6153846</v>
      </c>
      <c r="AA981" s="2" t="s">
        <v>423</v>
      </c>
    </row>
    <row r="982">
      <c r="A982" s="2">
        <v>2452.0</v>
      </c>
      <c r="B982" s="2" t="s">
        <v>2892</v>
      </c>
      <c r="C982" s="2" t="s">
        <v>7</v>
      </c>
      <c r="D982" s="2" t="s">
        <v>2893</v>
      </c>
      <c r="E982" s="2" t="e">
        <v>#N/A</v>
      </c>
      <c r="F982" s="6">
        <v>45840.538194444445</v>
      </c>
      <c r="G982" s="2">
        <v>2972.0</v>
      </c>
      <c r="H982" s="2">
        <v>2972.0</v>
      </c>
      <c r="I982" s="2">
        <v>2564.0</v>
      </c>
      <c r="J982" s="2">
        <v>21.0</v>
      </c>
      <c r="K982" s="2">
        <v>19.0</v>
      </c>
      <c r="L982" s="2">
        <v>0.0</v>
      </c>
      <c r="M982" s="2">
        <v>0.0</v>
      </c>
      <c r="N982" s="2" t="s">
        <v>423</v>
      </c>
      <c r="O982" s="2">
        <v>119.0</v>
      </c>
      <c r="P982" s="2" t="s">
        <v>31</v>
      </c>
      <c r="Q982" s="2" t="s">
        <v>32</v>
      </c>
      <c r="R982" s="2">
        <v>38.0</v>
      </c>
      <c r="U982" s="2" t="b">
        <v>0</v>
      </c>
      <c r="V982" s="5">
        <v>0.0074</v>
      </c>
      <c r="W982" s="5">
        <v>0.0</v>
      </c>
      <c r="X982" s="5">
        <v>0.0</v>
      </c>
      <c r="Y982" s="2">
        <v>0.0</v>
      </c>
      <c r="AA982" s="2" t="s">
        <v>423</v>
      </c>
    </row>
    <row r="983">
      <c r="A983" s="2">
        <v>2453.0</v>
      </c>
      <c r="B983" s="2" t="s">
        <v>2894</v>
      </c>
      <c r="C983" s="2" t="s">
        <v>7</v>
      </c>
      <c r="D983" s="2" t="s">
        <v>2895</v>
      </c>
      <c r="E983" s="2" t="e">
        <v>#N/A</v>
      </c>
      <c r="F983" s="6">
        <v>45840.54861111111</v>
      </c>
      <c r="G983" s="2">
        <v>2939.0</v>
      </c>
      <c r="H983" s="2">
        <v>2939.0</v>
      </c>
      <c r="I983" s="2">
        <v>2550.0</v>
      </c>
      <c r="J983" s="2">
        <v>17.0</v>
      </c>
      <c r="K983" s="2">
        <v>13.0</v>
      </c>
      <c r="L983" s="2">
        <v>1.0</v>
      </c>
      <c r="M983" s="4">
        <v>1140.0</v>
      </c>
      <c r="N983" s="2" t="s">
        <v>423</v>
      </c>
      <c r="O983" s="2">
        <v>119.0</v>
      </c>
      <c r="P983" s="2" t="s">
        <v>31</v>
      </c>
      <c r="Q983" s="2" t="s">
        <v>32</v>
      </c>
      <c r="R983" s="2">
        <v>47.0</v>
      </c>
      <c r="T983" s="2" t="s">
        <v>2896</v>
      </c>
      <c r="U983" s="2" t="b">
        <v>0</v>
      </c>
      <c r="V983" s="5">
        <v>0.0051</v>
      </c>
      <c r="W983" s="5">
        <v>0.0769</v>
      </c>
      <c r="X983" s="5">
        <v>3.92E-4</v>
      </c>
      <c r="Y983" s="2">
        <v>87.69230769</v>
      </c>
      <c r="AA983" s="2" t="s">
        <v>423</v>
      </c>
    </row>
    <row r="984">
      <c r="A984" s="2">
        <v>2456.0</v>
      </c>
      <c r="B984" s="2" t="s">
        <v>2897</v>
      </c>
      <c r="C984" s="2" t="s">
        <v>7</v>
      </c>
      <c r="D984" s="2" t="s">
        <v>2898</v>
      </c>
      <c r="E984" s="2" t="e">
        <v>#N/A</v>
      </c>
      <c r="F984" s="6">
        <v>45840.555555555555</v>
      </c>
      <c r="G984" s="2">
        <v>2934.0</v>
      </c>
      <c r="H984" s="2">
        <v>2934.0</v>
      </c>
      <c r="I984" s="2">
        <v>2573.0</v>
      </c>
      <c r="J984" s="2">
        <v>32.0</v>
      </c>
      <c r="K984" s="2">
        <v>26.0</v>
      </c>
      <c r="L984" s="2">
        <v>1.0</v>
      </c>
      <c r="M984" s="2">
        <v>150.0</v>
      </c>
      <c r="N984" s="2" t="s">
        <v>423</v>
      </c>
      <c r="O984" s="2">
        <v>119.0</v>
      </c>
      <c r="P984" s="2" t="s">
        <v>31</v>
      </c>
      <c r="Q984" s="2" t="s">
        <v>32</v>
      </c>
      <c r="R984" s="2">
        <v>59.0</v>
      </c>
      <c r="U984" s="2" t="b">
        <v>0</v>
      </c>
      <c r="V984" s="5">
        <v>0.0101</v>
      </c>
      <c r="W984" s="5">
        <v>0.0385</v>
      </c>
      <c r="X984" s="5">
        <v>3.89E-4</v>
      </c>
      <c r="Y984" s="2">
        <v>5.769230769</v>
      </c>
      <c r="AA984" s="2" t="s">
        <v>423</v>
      </c>
    </row>
    <row r="985">
      <c r="A985" s="2">
        <v>2450.0</v>
      </c>
      <c r="B985" s="2" t="s">
        <v>2899</v>
      </c>
      <c r="C985" s="2" t="s">
        <v>7</v>
      </c>
      <c r="D985" s="2" t="s">
        <v>2900</v>
      </c>
      <c r="E985" s="2" t="s">
        <v>2901</v>
      </c>
      <c r="F985" s="6">
        <v>45840.625</v>
      </c>
      <c r="G985" s="2">
        <v>47275.0</v>
      </c>
      <c r="H985" s="2">
        <v>47275.0</v>
      </c>
      <c r="I985" s="2">
        <v>40044.0</v>
      </c>
      <c r="J985" s="2">
        <v>280.0</v>
      </c>
      <c r="K985" s="2">
        <v>223.0</v>
      </c>
      <c r="L985" s="2">
        <v>5.0</v>
      </c>
      <c r="M985" s="4">
        <v>16686.0</v>
      </c>
      <c r="N985" s="2" t="s">
        <v>36</v>
      </c>
      <c r="O985" s="2">
        <v>71.0</v>
      </c>
      <c r="P985" s="2" t="s">
        <v>31</v>
      </c>
      <c r="Q985" s="2" t="s">
        <v>32</v>
      </c>
      <c r="R985" s="2">
        <v>29.0</v>
      </c>
      <c r="U985" s="2" t="b">
        <v>0</v>
      </c>
      <c r="V985" s="5">
        <v>0.0056</v>
      </c>
      <c r="W985" s="5">
        <v>0.0224</v>
      </c>
      <c r="X985" s="5">
        <v>1.25E-4</v>
      </c>
      <c r="Y985" s="2">
        <v>74.82511211</v>
      </c>
      <c r="AA985" s="2" t="s">
        <v>33</v>
      </c>
    </row>
    <row r="986">
      <c r="A986" s="2">
        <v>2449.0</v>
      </c>
      <c r="B986" s="2" t="s">
        <v>2902</v>
      </c>
      <c r="C986" s="2" t="s">
        <v>7</v>
      </c>
      <c r="D986" s="2" t="s">
        <v>2903</v>
      </c>
      <c r="E986" s="2" t="s">
        <v>2904</v>
      </c>
      <c r="F986" s="6">
        <v>45840.625</v>
      </c>
      <c r="G986" s="2">
        <v>61574.0</v>
      </c>
      <c r="H986" s="2">
        <v>61574.0</v>
      </c>
      <c r="I986" s="2">
        <v>53955.0</v>
      </c>
      <c r="J986" s="2">
        <v>351.0</v>
      </c>
      <c r="K986" s="2">
        <v>297.0</v>
      </c>
      <c r="L986" s="2">
        <v>5.0</v>
      </c>
      <c r="M986" s="4">
        <v>8602.0</v>
      </c>
      <c r="N986" s="2" t="s">
        <v>30</v>
      </c>
      <c r="O986" s="2">
        <v>70.0</v>
      </c>
      <c r="P986" s="2" t="s">
        <v>31</v>
      </c>
      <c r="Q986" s="2" t="s">
        <v>32</v>
      </c>
      <c r="R986" s="2">
        <v>37.0</v>
      </c>
      <c r="T986" s="2" t="s">
        <v>47</v>
      </c>
      <c r="U986" s="2" t="b">
        <v>0</v>
      </c>
      <c r="V986" s="5">
        <v>0.0055</v>
      </c>
      <c r="W986" s="5">
        <v>0.0168</v>
      </c>
      <c r="X986" s="5">
        <v>9.3E-5</v>
      </c>
      <c r="Y986" s="2">
        <v>28.96296296</v>
      </c>
      <c r="Z986" s="2" t="s">
        <v>2905</v>
      </c>
      <c r="AA986" s="2" t="s">
        <v>33</v>
      </c>
    </row>
    <row r="987">
      <c r="A987" s="2">
        <v>2455.0</v>
      </c>
      <c r="B987" s="2" t="s">
        <v>2906</v>
      </c>
      <c r="C987" s="2" t="s">
        <v>7</v>
      </c>
      <c r="D987" s="2" t="s">
        <v>2907</v>
      </c>
      <c r="E987" s="2" t="s">
        <v>2908</v>
      </c>
      <c r="F987" s="6">
        <v>45840.708333333336</v>
      </c>
      <c r="G987" s="2">
        <v>47290.0</v>
      </c>
      <c r="H987" s="2">
        <v>47290.0</v>
      </c>
      <c r="I987" s="2">
        <v>40050.0</v>
      </c>
      <c r="J987" s="2">
        <v>249.0</v>
      </c>
      <c r="K987" s="2">
        <v>193.0</v>
      </c>
      <c r="L987" s="2">
        <v>5.0</v>
      </c>
      <c r="M987" s="4">
        <v>11703.0</v>
      </c>
      <c r="N987" s="2" t="s">
        <v>36</v>
      </c>
      <c r="O987" s="2">
        <v>71.0</v>
      </c>
      <c r="P987" s="2" t="s">
        <v>31</v>
      </c>
      <c r="Q987" s="2" t="s">
        <v>32</v>
      </c>
      <c r="R987" s="2">
        <v>27.0</v>
      </c>
      <c r="T987" s="2" t="s">
        <v>2909</v>
      </c>
      <c r="U987" s="2" t="b">
        <v>0</v>
      </c>
      <c r="V987" s="5">
        <v>0.0048</v>
      </c>
      <c r="W987" s="5">
        <v>0.0259</v>
      </c>
      <c r="X987" s="5">
        <v>1.25E-4</v>
      </c>
      <c r="Y987" s="2">
        <v>60.6373057</v>
      </c>
      <c r="AA987" s="2" t="s">
        <v>33</v>
      </c>
    </row>
    <row r="988">
      <c r="A988" s="2">
        <v>2454.0</v>
      </c>
      <c r="B988" s="2" t="s">
        <v>2910</v>
      </c>
      <c r="C988" s="2" t="s">
        <v>7</v>
      </c>
      <c r="D988" s="2" t="s">
        <v>2911</v>
      </c>
      <c r="E988" s="2" t="s">
        <v>2912</v>
      </c>
      <c r="F988" s="6">
        <v>45840.708333333336</v>
      </c>
      <c r="G988" s="2">
        <v>61596.0</v>
      </c>
      <c r="H988" s="2">
        <v>61596.0</v>
      </c>
      <c r="I988" s="2">
        <v>53961.0</v>
      </c>
      <c r="J988" s="2">
        <v>283.0</v>
      </c>
      <c r="K988" s="2">
        <v>231.0</v>
      </c>
      <c r="L988" s="2">
        <v>5.0</v>
      </c>
      <c r="M988" s="4">
        <v>18207.0</v>
      </c>
      <c r="N988" s="2" t="s">
        <v>30</v>
      </c>
      <c r="O988" s="2">
        <v>70.0</v>
      </c>
      <c r="P988" s="2" t="s">
        <v>31</v>
      </c>
      <c r="Q988" s="2" t="s">
        <v>32</v>
      </c>
      <c r="R988" s="2">
        <v>26.0</v>
      </c>
      <c r="U988" s="2" t="b">
        <v>0</v>
      </c>
      <c r="V988" s="5">
        <v>0.0043</v>
      </c>
      <c r="W988" s="5">
        <v>0.0216</v>
      </c>
      <c r="X988" s="5">
        <v>9.3E-5</v>
      </c>
      <c r="Y988" s="2">
        <v>78.81818182</v>
      </c>
      <c r="AA988" s="2" t="s">
        <v>33</v>
      </c>
    </row>
    <row r="989">
      <c r="A989" s="2">
        <v>2457.0</v>
      </c>
      <c r="B989" s="2" t="s">
        <v>2913</v>
      </c>
      <c r="C989" s="2" t="s">
        <v>7</v>
      </c>
      <c r="D989" s="2" t="s">
        <v>2914</v>
      </c>
      <c r="E989" s="2" t="s">
        <v>2915</v>
      </c>
      <c r="F989" s="6">
        <v>45841.521527777775</v>
      </c>
      <c r="G989" s="2">
        <v>61636.0</v>
      </c>
      <c r="H989" s="2">
        <v>61636.0</v>
      </c>
      <c r="I989" s="2">
        <v>53833.0</v>
      </c>
      <c r="J989" s="2">
        <v>269.0</v>
      </c>
      <c r="K989" s="2">
        <v>222.0</v>
      </c>
      <c r="L989" s="2">
        <v>3.0</v>
      </c>
      <c r="M989" s="4">
        <v>6118.0</v>
      </c>
      <c r="N989" s="2" t="s">
        <v>30</v>
      </c>
      <c r="O989" s="2">
        <v>70.0</v>
      </c>
      <c r="P989" s="2" t="s">
        <v>31</v>
      </c>
      <c r="Q989" s="2" t="s">
        <v>32</v>
      </c>
      <c r="R989" s="2">
        <v>35.0</v>
      </c>
      <c r="T989" s="2" t="s">
        <v>47</v>
      </c>
      <c r="U989" s="2" t="b">
        <v>0</v>
      </c>
      <c r="V989" s="5">
        <v>0.0041</v>
      </c>
      <c r="W989" s="5">
        <v>0.0135</v>
      </c>
      <c r="X989" s="5">
        <v>5.6E-5</v>
      </c>
      <c r="Y989" s="2">
        <v>27.55855856</v>
      </c>
      <c r="AA989" s="2" t="s">
        <v>33</v>
      </c>
    </row>
    <row r="990">
      <c r="A990" s="2">
        <v>2458.0</v>
      </c>
      <c r="B990" s="2" t="s">
        <v>2916</v>
      </c>
      <c r="C990" s="2" t="s">
        <v>7</v>
      </c>
      <c r="D990" s="2" t="s">
        <v>2917</v>
      </c>
      <c r="E990" s="2" t="s">
        <v>2918</v>
      </c>
      <c r="F990" s="6">
        <v>45841.524305555555</v>
      </c>
      <c r="G990" s="2">
        <v>47380.0</v>
      </c>
      <c r="H990" s="2">
        <v>47380.0</v>
      </c>
      <c r="I990" s="2">
        <v>39948.0</v>
      </c>
      <c r="J990" s="2">
        <v>208.0</v>
      </c>
      <c r="K990" s="2">
        <v>168.0</v>
      </c>
      <c r="L990" s="2">
        <v>5.0</v>
      </c>
      <c r="M990" s="4">
        <v>9690.0</v>
      </c>
      <c r="N990" s="2" t="s">
        <v>36</v>
      </c>
      <c r="O990" s="2">
        <v>71.0</v>
      </c>
      <c r="P990" s="2" t="s">
        <v>31</v>
      </c>
      <c r="Q990" s="2" t="s">
        <v>32</v>
      </c>
      <c r="R990" s="2">
        <v>36.0</v>
      </c>
      <c r="T990" s="2" t="s">
        <v>47</v>
      </c>
      <c r="U990" s="2" t="b">
        <v>0</v>
      </c>
      <c r="V990" s="5">
        <v>0.0042</v>
      </c>
      <c r="W990" s="5">
        <v>0.0298</v>
      </c>
      <c r="X990" s="5">
        <v>1.25E-4</v>
      </c>
      <c r="Y990" s="2">
        <v>57.67857143</v>
      </c>
      <c r="AA990" s="2" t="s">
        <v>33</v>
      </c>
    </row>
    <row r="991">
      <c r="A991" s="2">
        <v>2459.0</v>
      </c>
      <c r="B991" s="2" t="s">
        <v>2919</v>
      </c>
      <c r="C991" s="2" t="s">
        <v>7</v>
      </c>
      <c r="D991" s="2" t="s">
        <v>2920</v>
      </c>
      <c r="E991" s="2" t="s">
        <v>2921</v>
      </c>
      <c r="F991" s="6">
        <v>45841.63611111111</v>
      </c>
      <c r="G991" s="2">
        <v>61120.0</v>
      </c>
      <c r="H991" s="2">
        <v>61120.0</v>
      </c>
      <c r="I991" s="2">
        <v>53487.0</v>
      </c>
      <c r="J991" s="2">
        <v>273.0</v>
      </c>
      <c r="K991" s="2">
        <v>222.0</v>
      </c>
      <c r="L991" s="2">
        <v>3.0</v>
      </c>
      <c r="M991" s="4">
        <v>7588.0</v>
      </c>
      <c r="N991" s="2" t="s">
        <v>30</v>
      </c>
      <c r="O991" s="2">
        <v>70.0</v>
      </c>
      <c r="P991" s="2" t="s">
        <v>31</v>
      </c>
      <c r="Q991" s="2" t="s">
        <v>32</v>
      </c>
      <c r="R991" s="2">
        <v>33.0</v>
      </c>
      <c r="T991" s="2" t="s">
        <v>47</v>
      </c>
      <c r="U991" s="2" t="b">
        <v>0</v>
      </c>
      <c r="V991" s="5">
        <v>0.0042</v>
      </c>
      <c r="W991" s="5">
        <v>0.0135</v>
      </c>
      <c r="X991" s="5">
        <v>5.6E-5</v>
      </c>
      <c r="Y991" s="2">
        <v>34.18018018</v>
      </c>
      <c r="AA991" s="2" t="s">
        <v>33</v>
      </c>
    </row>
    <row r="992">
      <c r="A992" s="2">
        <v>2460.0</v>
      </c>
      <c r="B992" s="2" t="s">
        <v>2922</v>
      </c>
      <c r="C992" s="2" t="s">
        <v>7</v>
      </c>
      <c r="D992" s="2" t="s">
        <v>2923</v>
      </c>
      <c r="E992" s="2" t="s">
        <v>2924</v>
      </c>
      <c r="F992" s="6">
        <v>45841.6375</v>
      </c>
      <c r="G992" s="2">
        <v>46740.0</v>
      </c>
      <c r="H992" s="2">
        <v>46740.0</v>
      </c>
      <c r="I992" s="2">
        <v>39437.0</v>
      </c>
      <c r="J992" s="2">
        <v>233.0</v>
      </c>
      <c r="K992" s="2">
        <v>197.0</v>
      </c>
      <c r="L992" s="2">
        <v>4.0</v>
      </c>
      <c r="M992" s="4">
        <v>7958.0</v>
      </c>
      <c r="N992" s="2" t="s">
        <v>36</v>
      </c>
      <c r="O992" s="2">
        <v>71.0</v>
      </c>
      <c r="P992" s="2" t="s">
        <v>31</v>
      </c>
      <c r="Q992" s="2" t="s">
        <v>32</v>
      </c>
      <c r="R992" s="2">
        <v>24.0</v>
      </c>
      <c r="U992" s="2" t="b">
        <v>0</v>
      </c>
      <c r="V992" s="5">
        <v>0.005</v>
      </c>
      <c r="W992" s="5">
        <v>0.0203</v>
      </c>
      <c r="X992" s="5">
        <v>1.01E-4</v>
      </c>
      <c r="Y992" s="2">
        <v>40.39593909</v>
      </c>
      <c r="AA992" s="2" t="s">
        <v>33</v>
      </c>
    </row>
    <row r="993">
      <c r="A993" s="2">
        <v>2462.0</v>
      </c>
      <c r="B993" s="2" t="s">
        <v>2925</v>
      </c>
      <c r="C993" s="2" t="s">
        <v>7</v>
      </c>
      <c r="D993" s="2" t="s">
        <v>2926</v>
      </c>
      <c r="E993" s="2" t="s">
        <v>2927</v>
      </c>
      <c r="F993" s="6">
        <v>45841.708333333336</v>
      </c>
      <c r="G993" s="2">
        <v>46757.0</v>
      </c>
      <c r="H993" s="2">
        <v>46757.0</v>
      </c>
      <c r="I993" s="2">
        <v>39511.0</v>
      </c>
      <c r="J993" s="2">
        <v>229.0</v>
      </c>
      <c r="K993" s="2">
        <v>183.0</v>
      </c>
      <c r="L993" s="2">
        <v>2.0</v>
      </c>
      <c r="M993" s="4">
        <v>5788.0</v>
      </c>
      <c r="N993" s="2" t="s">
        <v>36</v>
      </c>
      <c r="O993" s="2">
        <v>71.0</v>
      </c>
      <c r="P993" s="2" t="s">
        <v>31</v>
      </c>
      <c r="Q993" s="2" t="s">
        <v>32</v>
      </c>
      <c r="R993" s="2">
        <v>29.0</v>
      </c>
      <c r="T993" s="2" t="s">
        <v>47</v>
      </c>
      <c r="U993" s="2" t="b">
        <v>0</v>
      </c>
      <c r="V993" s="5">
        <v>0.0046</v>
      </c>
      <c r="W993" s="5">
        <v>0.0109</v>
      </c>
      <c r="X993" s="5">
        <v>5.1E-5</v>
      </c>
      <c r="Y993" s="2">
        <v>31.6284153</v>
      </c>
      <c r="AA993" s="2" t="s">
        <v>33</v>
      </c>
    </row>
    <row r="994">
      <c r="A994" s="2">
        <v>2461.0</v>
      </c>
      <c r="B994" s="2" t="s">
        <v>2928</v>
      </c>
      <c r="C994" s="2" t="s">
        <v>7</v>
      </c>
      <c r="D994" s="2" t="s">
        <v>2929</v>
      </c>
      <c r="E994" s="2" t="s">
        <v>2930</v>
      </c>
      <c r="F994" s="6">
        <v>45841.708333333336</v>
      </c>
      <c r="G994" s="2">
        <v>61142.0</v>
      </c>
      <c r="H994" s="2">
        <v>61142.0</v>
      </c>
      <c r="I994" s="2">
        <v>53479.0</v>
      </c>
      <c r="J994" s="2">
        <v>259.0</v>
      </c>
      <c r="K994" s="2">
        <v>213.0</v>
      </c>
      <c r="L994" s="2">
        <v>5.0</v>
      </c>
      <c r="M994" s="4">
        <v>10509.0</v>
      </c>
      <c r="N994" s="2" t="s">
        <v>30</v>
      </c>
      <c r="O994" s="2">
        <v>70.0</v>
      </c>
      <c r="P994" s="2" t="s">
        <v>31</v>
      </c>
      <c r="Q994" s="2" t="s">
        <v>32</v>
      </c>
      <c r="R994" s="2">
        <v>35.0</v>
      </c>
      <c r="T994" s="2" t="s">
        <v>47</v>
      </c>
      <c r="U994" s="2" t="b">
        <v>0</v>
      </c>
      <c r="V994" s="5">
        <v>0.004</v>
      </c>
      <c r="W994" s="5">
        <v>0.0235</v>
      </c>
      <c r="X994" s="5">
        <v>9.3E-5</v>
      </c>
      <c r="Y994" s="2">
        <v>49.33802817</v>
      </c>
      <c r="Z994" s="2">
        <v>5359.0</v>
      </c>
      <c r="AA994" s="2" t="s">
        <v>33</v>
      </c>
    </row>
    <row r="995">
      <c r="A995" s="2">
        <v>2465.0</v>
      </c>
      <c r="B995" s="2" t="s">
        <v>2931</v>
      </c>
      <c r="C995" s="2" t="s">
        <v>7</v>
      </c>
      <c r="D995" s="2" t="s">
        <v>2932</v>
      </c>
      <c r="E995" s="2" t="e">
        <v>#N/A</v>
      </c>
      <c r="F995" s="6">
        <v>45842.5</v>
      </c>
      <c r="G995" s="2">
        <v>4408.0</v>
      </c>
      <c r="H995" s="2">
        <v>4408.0</v>
      </c>
      <c r="I995" s="2">
        <v>3809.0</v>
      </c>
      <c r="J995" s="2">
        <v>44.0</v>
      </c>
      <c r="K995" s="2">
        <v>33.0</v>
      </c>
      <c r="L995" s="2">
        <v>0.0</v>
      </c>
      <c r="M995" s="2">
        <v>0.0</v>
      </c>
      <c r="N995" s="2" t="s">
        <v>423</v>
      </c>
      <c r="O995" s="2">
        <v>119.0</v>
      </c>
      <c r="P995" s="2" t="s">
        <v>31</v>
      </c>
      <c r="Q995" s="2" t="s">
        <v>32</v>
      </c>
      <c r="R995" s="2">
        <v>36.0</v>
      </c>
      <c r="T995" s="2" t="s">
        <v>47</v>
      </c>
      <c r="U995" s="2" t="b">
        <v>0</v>
      </c>
      <c r="V995" s="5">
        <v>0.0087</v>
      </c>
      <c r="W995" s="5">
        <v>0.0</v>
      </c>
      <c r="X995" s="5">
        <v>0.0</v>
      </c>
      <c r="Y995" s="2">
        <v>0.0</v>
      </c>
      <c r="AA995" s="2" t="s">
        <v>423</v>
      </c>
    </row>
    <row r="996">
      <c r="A996" s="2">
        <v>2464.0</v>
      </c>
      <c r="B996" s="2" t="s">
        <v>2933</v>
      </c>
      <c r="C996" s="2" t="s">
        <v>7</v>
      </c>
      <c r="D996" s="2" t="s">
        <v>2934</v>
      </c>
      <c r="E996" s="2" t="s">
        <v>2935</v>
      </c>
      <c r="F996" s="6">
        <v>45842.5</v>
      </c>
      <c r="G996" s="2">
        <v>46791.0</v>
      </c>
      <c r="H996" s="2">
        <v>46791.0</v>
      </c>
      <c r="I996" s="2">
        <v>39312.0</v>
      </c>
      <c r="J996" s="2">
        <v>308.0</v>
      </c>
      <c r="K996" s="2">
        <v>244.0</v>
      </c>
      <c r="L996" s="2">
        <v>6.0</v>
      </c>
      <c r="M996" s="4">
        <v>22850.0</v>
      </c>
      <c r="N996" s="2" t="s">
        <v>36</v>
      </c>
      <c r="O996" s="2">
        <v>71.0</v>
      </c>
      <c r="P996" s="2" t="s">
        <v>31</v>
      </c>
      <c r="Q996" s="2" t="s">
        <v>32</v>
      </c>
      <c r="R996" s="2">
        <v>27.0</v>
      </c>
      <c r="T996" s="2" t="s">
        <v>47</v>
      </c>
      <c r="U996" s="2" t="b">
        <v>0</v>
      </c>
      <c r="V996" s="5">
        <v>0.0062</v>
      </c>
      <c r="W996" s="5">
        <v>0.0246</v>
      </c>
      <c r="X996" s="5">
        <v>1.53E-4</v>
      </c>
      <c r="Y996" s="2">
        <v>93.64754098</v>
      </c>
      <c r="AA996" s="2" t="s">
        <v>33</v>
      </c>
    </row>
    <row r="997">
      <c r="A997" s="2">
        <v>2463.0</v>
      </c>
      <c r="B997" s="2" t="s">
        <v>2936</v>
      </c>
      <c r="C997" s="2" t="s">
        <v>7</v>
      </c>
      <c r="D997" s="2" t="s">
        <v>2937</v>
      </c>
      <c r="E997" s="2" t="s">
        <v>2938</v>
      </c>
      <c r="F997" s="6">
        <v>45842.5</v>
      </c>
      <c r="G997" s="2">
        <v>61135.0</v>
      </c>
      <c r="H997" s="2">
        <v>61135.0</v>
      </c>
      <c r="I997" s="2">
        <v>53386.0</v>
      </c>
      <c r="J997" s="2">
        <v>249.0</v>
      </c>
      <c r="K997" s="2">
        <v>198.0</v>
      </c>
      <c r="L997" s="2">
        <v>4.0</v>
      </c>
      <c r="M997" s="4">
        <v>6216.0</v>
      </c>
      <c r="N997" s="2" t="s">
        <v>30</v>
      </c>
      <c r="O997" s="2">
        <v>70.0</v>
      </c>
      <c r="P997" s="2" t="s">
        <v>31</v>
      </c>
      <c r="Q997" s="2" t="s">
        <v>32</v>
      </c>
      <c r="R997" s="2">
        <v>41.0</v>
      </c>
      <c r="U997" s="2" t="b">
        <v>0</v>
      </c>
      <c r="V997" s="5">
        <v>0.0037</v>
      </c>
      <c r="W997" s="5">
        <v>0.0202</v>
      </c>
      <c r="X997" s="5">
        <v>7.5E-5</v>
      </c>
      <c r="Y997" s="2">
        <v>31.39393939</v>
      </c>
      <c r="Z997" s="2" t="s">
        <v>2939</v>
      </c>
      <c r="AA997" s="2" t="s">
        <v>33</v>
      </c>
    </row>
    <row r="998">
      <c r="A998" s="2">
        <v>2466.0</v>
      </c>
      <c r="B998" s="2" t="s">
        <v>2940</v>
      </c>
      <c r="C998" s="2" t="s">
        <v>7</v>
      </c>
      <c r="D998" s="2" t="s">
        <v>2941</v>
      </c>
      <c r="E998" s="2" t="s">
        <v>2942</v>
      </c>
      <c r="F998" s="6">
        <v>45842.541666666664</v>
      </c>
      <c r="G998" s="2">
        <v>4382.0</v>
      </c>
      <c r="H998" s="2">
        <v>4382.0</v>
      </c>
      <c r="I998" s="2">
        <v>3827.0</v>
      </c>
      <c r="J998" s="2">
        <v>45.0</v>
      </c>
      <c r="K998" s="2">
        <v>38.0</v>
      </c>
      <c r="L998" s="2">
        <v>2.0</v>
      </c>
      <c r="M998" s="4">
        <v>7004.0</v>
      </c>
      <c r="N998" s="2" t="s">
        <v>423</v>
      </c>
      <c r="O998" s="2">
        <v>119.0</v>
      </c>
      <c r="P998" s="2" t="s">
        <v>31</v>
      </c>
      <c r="Q998" s="2" t="s">
        <v>32</v>
      </c>
      <c r="R998" s="2">
        <v>28.0</v>
      </c>
      <c r="T998" s="2" t="s">
        <v>47</v>
      </c>
      <c r="U998" s="2" t="b">
        <v>0</v>
      </c>
      <c r="V998" s="5">
        <v>0.0099</v>
      </c>
      <c r="W998" s="5">
        <v>0.0526</v>
      </c>
      <c r="X998" s="5">
        <v>5.23E-4</v>
      </c>
      <c r="Y998" s="2">
        <v>184.3157895</v>
      </c>
      <c r="AA998" s="2" t="s">
        <v>423</v>
      </c>
    </row>
    <row r="999">
      <c r="A999" s="2">
        <v>2467.0</v>
      </c>
      <c r="B999" s="2" t="s">
        <v>2943</v>
      </c>
      <c r="C999" s="2" t="s">
        <v>7</v>
      </c>
      <c r="D999" s="2" t="s">
        <v>2944</v>
      </c>
      <c r="E999" s="2" t="s">
        <v>2945</v>
      </c>
      <c r="F999" s="6">
        <v>45842.729166666664</v>
      </c>
      <c r="G999" s="2">
        <v>4396.0</v>
      </c>
      <c r="H999" s="2">
        <v>4396.0</v>
      </c>
      <c r="I999" s="2">
        <v>3832.0</v>
      </c>
      <c r="J999" s="2">
        <v>62.0</v>
      </c>
      <c r="K999" s="2">
        <v>53.0</v>
      </c>
      <c r="L999" s="2">
        <v>3.0</v>
      </c>
      <c r="M999" s="4">
        <v>18287.0</v>
      </c>
      <c r="N999" s="2" t="s">
        <v>423</v>
      </c>
      <c r="O999" s="2">
        <v>119.0</v>
      </c>
      <c r="P999" s="2" t="s">
        <v>31</v>
      </c>
      <c r="Q999" s="2" t="s">
        <v>32</v>
      </c>
      <c r="R999" s="2">
        <v>39.0</v>
      </c>
      <c r="T999" s="2" t="s">
        <v>2946</v>
      </c>
      <c r="U999" s="2" t="b">
        <v>0</v>
      </c>
      <c r="V999" s="5">
        <v>0.0138</v>
      </c>
      <c r="W999" s="5">
        <v>0.0566</v>
      </c>
      <c r="X999" s="5">
        <v>7.83E-4</v>
      </c>
      <c r="Y999" s="2">
        <v>345.0377358</v>
      </c>
      <c r="AA999" s="2" t="s">
        <v>423</v>
      </c>
    </row>
    <row r="1000">
      <c r="A1000" s="2">
        <v>2478.0</v>
      </c>
      <c r="B1000" s="2" t="s">
        <v>2947</v>
      </c>
      <c r="C1000" s="2" t="s">
        <v>7</v>
      </c>
      <c r="D1000" s="2" t="s">
        <v>2948</v>
      </c>
      <c r="E1000" s="2" t="s">
        <v>2949</v>
      </c>
      <c r="F1000" s="6">
        <v>45842.833333333336</v>
      </c>
      <c r="G1000" s="2">
        <v>4400.0</v>
      </c>
      <c r="H1000" s="2">
        <v>4400.0</v>
      </c>
      <c r="I1000" s="2">
        <v>3852.0</v>
      </c>
      <c r="J1000" s="2">
        <v>57.0</v>
      </c>
      <c r="K1000" s="2">
        <v>47.0</v>
      </c>
      <c r="L1000" s="2">
        <v>3.0</v>
      </c>
      <c r="M1000" s="4">
        <v>8005.0</v>
      </c>
      <c r="N1000" s="2" t="s">
        <v>423</v>
      </c>
      <c r="O1000" s="2">
        <v>119.0</v>
      </c>
      <c r="P1000" s="2" t="s">
        <v>31</v>
      </c>
      <c r="Q1000" s="2" t="s">
        <v>32</v>
      </c>
      <c r="R1000" s="2">
        <v>22.0</v>
      </c>
      <c r="T1000" s="2" t="s">
        <v>47</v>
      </c>
      <c r="U1000" s="2" t="b">
        <v>0</v>
      </c>
      <c r="V1000" s="5">
        <v>0.0122</v>
      </c>
      <c r="W1000" s="5">
        <v>0.0638</v>
      </c>
      <c r="X1000" s="5">
        <v>7.79E-4</v>
      </c>
      <c r="Y1000" s="2">
        <v>170.3191489</v>
      </c>
      <c r="AA1000" s="2" t="s">
        <v>423</v>
      </c>
    </row>
    <row r="1001">
      <c r="A1001" s="2">
        <v>2479.0</v>
      </c>
      <c r="B1001" s="2" t="s">
        <v>2950</v>
      </c>
      <c r="C1001" s="2" t="s">
        <v>7</v>
      </c>
      <c r="D1001" s="2" t="s">
        <v>2951</v>
      </c>
      <c r="E1001" s="2" t="e">
        <v>#N/A</v>
      </c>
      <c r="F1001" s="6">
        <v>45845.479166666664</v>
      </c>
      <c r="G1001" s="2">
        <v>59543.0</v>
      </c>
      <c r="H1001" s="2">
        <v>59543.0</v>
      </c>
      <c r="I1001" s="2">
        <v>51605.0</v>
      </c>
      <c r="J1001" s="2">
        <v>342.0</v>
      </c>
      <c r="K1001" s="2">
        <v>286.0</v>
      </c>
      <c r="L1001" s="2">
        <v>6.0</v>
      </c>
      <c r="M1001" s="4">
        <v>12747.0</v>
      </c>
      <c r="N1001" s="2" t="s">
        <v>30</v>
      </c>
      <c r="O1001" s="2">
        <v>70.0</v>
      </c>
      <c r="P1001" s="2" t="s">
        <v>31</v>
      </c>
      <c r="Q1001" s="2" t="s">
        <v>32</v>
      </c>
      <c r="R1001" s="2">
        <v>35.0</v>
      </c>
      <c r="T1001" s="2" t="s">
        <v>143</v>
      </c>
      <c r="U1001" s="2" t="b">
        <v>0</v>
      </c>
      <c r="V1001" s="5">
        <v>0.0055</v>
      </c>
      <c r="W1001" s="5">
        <v>0.021</v>
      </c>
      <c r="X1001" s="5">
        <v>1.16E-4</v>
      </c>
      <c r="Y1001" s="2">
        <v>44.56993007</v>
      </c>
      <c r="AA1001" s="2" t="s">
        <v>33</v>
      </c>
    </row>
    <row r="1002">
      <c r="A1002" s="2">
        <v>2480.0</v>
      </c>
      <c r="B1002" s="2" t="s">
        <v>2952</v>
      </c>
      <c r="C1002" s="2" t="s">
        <v>7</v>
      </c>
      <c r="D1002" s="2" t="s">
        <v>2953</v>
      </c>
      <c r="E1002" s="2" t="e">
        <v>#N/A</v>
      </c>
      <c r="F1002" s="6">
        <v>45845.48541666667</v>
      </c>
      <c r="G1002" s="2">
        <v>46313.0</v>
      </c>
      <c r="H1002" s="2">
        <v>46313.0</v>
      </c>
      <c r="I1002" s="2">
        <v>38951.0</v>
      </c>
      <c r="J1002" s="2">
        <v>311.0</v>
      </c>
      <c r="K1002" s="2">
        <v>254.0</v>
      </c>
      <c r="L1002" s="2">
        <v>2.0</v>
      </c>
      <c r="M1002" s="4">
        <v>5312.0</v>
      </c>
      <c r="N1002" s="2" t="s">
        <v>36</v>
      </c>
      <c r="O1002" s="2">
        <v>71.0</v>
      </c>
      <c r="P1002" s="2" t="s">
        <v>31</v>
      </c>
      <c r="Q1002" s="2" t="s">
        <v>32</v>
      </c>
      <c r="R1002" s="2">
        <v>24.0</v>
      </c>
      <c r="U1002" s="2" t="b">
        <v>1</v>
      </c>
      <c r="V1002" s="5">
        <v>0.0065</v>
      </c>
      <c r="W1002" s="5">
        <v>0.0079</v>
      </c>
      <c r="X1002" s="5">
        <v>5.1E-5</v>
      </c>
      <c r="Y1002" s="2">
        <v>20.91338583</v>
      </c>
      <c r="AA1002" s="2" t="s">
        <v>33</v>
      </c>
    </row>
    <row r="1003">
      <c r="A1003" s="2">
        <v>2482.0</v>
      </c>
      <c r="B1003" s="2" t="s">
        <v>2954</v>
      </c>
      <c r="C1003" s="2" t="s">
        <v>7</v>
      </c>
      <c r="D1003" s="2" t="s">
        <v>2955</v>
      </c>
      <c r="E1003" s="2" t="s">
        <v>2956</v>
      </c>
      <c r="F1003" s="6">
        <v>45845.635416666664</v>
      </c>
      <c r="G1003" s="2">
        <v>46185.0</v>
      </c>
      <c r="H1003" s="2">
        <v>46185.0</v>
      </c>
      <c r="I1003" s="2">
        <v>39128.0</v>
      </c>
      <c r="J1003" s="2">
        <v>334.0</v>
      </c>
      <c r="K1003" s="2">
        <v>259.0</v>
      </c>
      <c r="L1003" s="2">
        <v>8.0</v>
      </c>
      <c r="M1003" s="4">
        <v>22866.0</v>
      </c>
      <c r="N1003" s="2" t="s">
        <v>36</v>
      </c>
      <c r="O1003" s="2">
        <v>71.0</v>
      </c>
      <c r="P1003" s="2" t="s">
        <v>31</v>
      </c>
      <c r="Q1003" s="2" t="s">
        <v>32</v>
      </c>
      <c r="R1003" s="2">
        <v>25.0</v>
      </c>
      <c r="U1003" s="2" t="b">
        <v>1</v>
      </c>
      <c r="V1003" s="5">
        <v>0.0066</v>
      </c>
      <c r="W1003" s="5">
        <v>0.0309</v>
      </c>
      <c r="X1003" s="5">
        <v>2.04E-4</v>
      </c>
      <c r="Y1003" s="2">
        <v>88.28571429</v>
      </c>
      <c r="AA1003" s="2" t="s">
        <v>33</v>
      </c>
    </row>
    <row r="1004">
      <c r="A1004" s="2">
        <v>2481.0</v>
      </c>
      <c r="B1004" s="2" t="s">
        <v>2957</v>
      </c>
      <c r="C1004" s="2" t="s">
        <v>7</v>
      </c>
      <c r="D1004" s="2" t="s">
        <v>2958</v>
      </c>
      <c r="E1004" s="2" t="s">
        <v>2959</v>
      </c>
      <c r="F1004" s="6">
        <v>45845.635416666664</v>
      </c>
      <c r="G1004" s="2">
        <v>59471.0</v>
      </c>
      <c r="H1004" s="2">
        <v>59471.0</v>
      </c>
      <c r="I1004" s="2">
        <v>51824.0</v>
      </c>
      <c r="J1004" s="2">
        <v>377.0</v>
      </c>
      <c r="K1004" s="2">
        <v>322.0</v>
      </c>
      <c r="L1004" s="2">
        <v>11.0</v>
      </c>
      <c r="M1004" s="4">
        <v>30869.0</v>
      </c>
      <c r="N1004" s="2" t="s">
        <v>30</v>
      </c>
      <c r="O1004" s="2">
        <v>70.0</v>
      </c>
      <c r="P1004" s="2" t="s">
        <v>31</v>
      </c>
      <c r="Q1004" s="2" t="s">
        <v>32</v>
      </c>
      <c r="R1004" s="2">
        <v>40.0</v>
      </c>
      <c r="U1004" s="2" t="b">
        <v>0</v>
      </c>
      <c r="V1004" s="5">
        <v>0.0062</v>
      </c>
      <c r="W1004" s="5">
        <v>0.0342</v>
      </c>
      <c r="X1004" s="5">
        <v>2.12E-4</v>
      </c>
      <c r="Y1004" s="2">
        <v>95.86645963</v>
      </c>
      <c r="Z1004" s="2">
        <v>1826.0</v>
      </c>
      <c r="AA1004" s="2" t="s">
        <v>33</v>
      </c>
    </row>
    <row r="1005">
      <c r="A1005" s="2">
        <v>2483.0</v>
      </c>
      <c r="B1005" s="2" t="s">
        <v>2960</v>
      </c>
      <c r="C1005" s="2" t="s">
        <v>7</v>
      </c>
      <c r="D1005" s="2" t="s">
        <v>2961</v>
      </c>
      <c r="E1005" s="2" t="s">
        <v>2962</v>
      </c>
      <c r="F1005" s="6">
        <v>45845.63611111111</v>
      </c>
      <c r="G1005" s="2">
        <v>3825.0</v>
      </c>
      <c r="H1005" s="2">
        <v>3825.0</v>
      </c>
      <c r="I1005" s="2">
        <v>3247.0</v>
      </c>
      <c r="J1005" s="2">
        <v>32.0</v>
      </c>
      <c r="K1005" s="2">
        <v>27.0</v>
      </c>
      <c r="L1005" s="2">
        <v>1.0</v>
      </c>
      <c r="M1005" s="2">
        <v>75.0</v>
      </c>
      <c r="N1005" s="2" t="s">
        <v>423</v>
      </c>
      <c r="O1005" s="2">
        <v>119.0</v>
      </c>
      <c r="P1005" s="2" t="s">
        <v>31</v>
      </c>
      <c r="Q1005" s="2" t="s">
        <v>32</v>
      </c>
      <c r="R1005" s="2">
        <v>31.0</v>
      </c>
      <c r="T1005" s="2" t="s">
        <v>47</v>
      </c>
      <c r="U1005" s="2" t="b">
        <v>0</v>
      </c>
      <c r="V1005" s="5">
        <v>0.0083</v>
      </c>
      <c r="W1005" s="5">
        <v>0.037</v>
      </c>
      <c r="X1005" s="5">
        <v>3.08E-4</v>
      </c>
      <c r="Y1005" s="2">
        <v>2.777777778</v>
      </c>
      <c r="AA1005" s="2" t="s">
        <v>423</v>
      </c>
    </row>
    <row r="1006">
      <c r="A1006" s="2">
        <v>2484.0</v>
      </c>
      <c r="B1006" s="2" t="s">
        <v>2963</v>
      </c>
      <c r="C1006" s="2" t="s">
        <v>7</v>
      </c>
      <c r="D1006" s="2" t="s">
        <v>2964</v>
      </c>
      <c r="E1006" s="2" t="s">
        <v>2965</v>
      </c>
      <c r="F1006" s="6">
        <v>45845.708333333336</v>
      </c>
      <c r="G1006" s="2">
        <v>3806.0</v>
      </c>
      <c r="H1006" s="2">
        <v>3806.0</v>
      </c>
      <c r="I1006" s="2">
        <v>3245.0</v>
      </c>
      <c r="J1006" s="2">
        <v>55.0</v>
      </c>
      <c r="K1006" s="2">
        <v>39.0</v>
      </c>
      <c r="L1006" s="2">
        <v>1.0</v>
      </c>
      <c r="M1006" s="4">
        <v>9518.0</v>
      </c>
      <c r="N1006" s="2" t="s">
        <v>423</v>
      </c>
      <c r="O1006" s="2">
        <v>119.0</v>
      </c>
      <c r="P1006" s="2" t="s">
        <v>31</v>
      </c>
      <c r="Q1006" s="2" t="s">
        <v>32</v>
      </c>
      <c r="R1006" s="2">
        <v>34.0</v>
      </c>
      <c r="U1006" s="2" t="b">
        <v>0</v>
      </c>
      <c r="V1006" s="5">
        <v>0.012</v>
      </c>
      <c r="W1006" s="5">
        <v>0.0256</v>
      </c>
      <c r="X1006" s="5">
        <v>3.08E-4</v>
      </c>
      <c r="Y1006" s="2">
        <v>244.0512821</v>
      </c>
      <c r="AA1006" s="2" t="s">
        <v>423</v>
      </c>
    </row>
    <row r="1007">
      <c r="A1007" s="2">
        <v>2485.0</v>
      </c>
      <c r="B1007" s="2" t="s">
        <v>2966</v>
      </c>
      <c r="C1007" s="2" t="s">
        <v>7</v>
      </c>
      <c r="D1007" s="2" t="s">
        <v>2967</v>
      </c>
      <c r="E1007" s="2" t="s">
        <v>2968</v>
      </c>
      <c r="F1007" s="6">
        <v>45845.875</v>
      </c>
      <c r="G1007" s="2">
        <v>3816.0</v>
      </c>
      <c r="H1007" s="2">
        <v>3816.0</v>
      </c>
      <c r="I1007" s="2">
        <v>3243.0</v>
      </c>
      <c r="J1007" s="2">
        <v>43.0</v>
      </c>
      <c r="K1007" s="2">
        <v>36.0</v>
      </c>
      <c r="L1007" s="2">
        <v>0.0</v>
      </c>
      <c r="M1007" s="2">
        <v>0.0</v>
      </c>
      <c r="N1007" s="2" t="s">
        <v>423</v>
      </c>
      <c r="O1007" s="2">
        <v>119.0</v>
      </c>
      <c r="P1007" s="2" t="s">
        <v>31</v>
      </c>
      <c r="Q1007" s="2" t="s">
        <v>32</v>
      </c>
      <c r="R1007" s="2">
        <v>33.0</v>
      </c>
      <c r="T1007" s="2" t="s">
        <v>47</v>
      </c>
      <c r="U1007" s="2" t="b">
        <v>0</v>
      </c>
      <c r="V1007" s="5">
        <v>0.0111</v>
      </c>
      <c r="W1007" s="5">
        <v>0.0</v>
      </c>
      <c r="X1007" s="5">
        <v>0.0</v>
      </c>
      <c r="Y1007" s="2">
        <v>0.0</v>
      </c>
      <c r="AA1007" s="2" t="s">
        <v>423</v>
      </c>
    </row>
    <row r="1008">
      <c r="A1008" s="2">
        <v>2486.0</v>
      </c>
      <c r="B1008" s="2" t="s">
        <v>2969</v>
      </c>
      <c r="C1008" s="2" t="s">
        <v>7</v>
      </c>
      <c r="D1008" s="2" t="s">
        <v>2970</v>
      </c>
      <c r="E1008" s="2" t="s">
        <v>2971</v>
      </c>
      <c r="F1008" s="6">
        <v>45846.486805555556</v>
      </c>
      <c r="G1008" s="2">
        <v>59681.0</v>
      </c>
      <c r="H1008" s="2">
        <v>59681.0</v>
      </c>
      <c r="I1008" s="2">
        <v>51918.0</v>
      </c>
      <c r="J1008" s="2">
        <v>337.0</v>
      </c>
      <c r="K1008" s="2">
        <v>274.0</v>
      </c>
      <c r="L1008" s="2">
        <v>6.0</v>
      </c>
      <c r="M1008" s="4">
        <v>21669.0</v>
      </c>
      <c r="N1008" s="2" t="s">
        <v>30</v>
      </c>
      <c r="O1008" s="2">
        <v>70.0</v>
      </c>
      <c r="P1008" s="2" t="s">
        <v>31</v>
      </c>
      <c r="Q1008" s="2" t="s">
        <v>32</v>
      </c>
      <c r="R1008" s="2">
        <v>30.0</v>
      </c>
      <c r="T1008" s="2" t="s">
        <v>2972</v>
      </c>
      <c r="U1008" s="2" t="b">
        <v>0</v>
      </c>
      <c r="V1008" s="5">
        <v>0.0053</v>
      </c>
      <c r="W1008" s="5">
        <v>0.0219</v>
      </c>
      <c r="X1008" s="5">
        <v>1.16E-4</v>
      </c>
      <c r="Y1008" s="2">
        <v>79.08394161</v>
      </c>
      <c r="AA1008" s="2" t="s">
        <v>33</v>
      </c>
    </row>
    <row r="1009">
      <c r="A1009" s="2">
        <v>2487.0</v>
      </c>
      <c r="B1009" s="2" t="s">
        <v>2973</v>
      </c>
      <c r="C1009" s="2" t="s">
        <v>7</v>
      </c>
      <c r="D1009" s="2" t="s">
        <v>2974</v>
      </c>
      <c r="E1009" s="2" t="s">
        <v>2975</v>
      </c>
      <c r="F1009" s="6">
        <v>45846.49097222222</v>
      </c>
      <c r="G1009" s="2">
        <v>46355.0</v>
      </c>
      <c r="H1009" s="2">
        <v>46355.0</v>
      </c>
      <c r="I1009" s="2">
        <v>39055.0</v>
      </c>
      <c r="J1009" s="2">
        <v>245.0</v>
      </c>
      <c r="K1009" s="2">
        <v>209.0</v>
      </c>
      <c r="L1009" s="2">
        <v>6.0</v>
      </c>
      <c r="M1009" s="4">
        <v>19259.0</v>
      </c>
      <c r="N1009" s="2" t="s">
        <v>36</v>
      </c>
      <c r="O1009" s="2">
        <v>71.0</v>
      </c>
      <c r="P1009" s="2" t="s">
        <v>31</v>
      </c>
      <c r="Q1009" s="2" t="s">
        <v>32</v>
      </c>
      <c r="R1009" s="2">
        <v>27.0</v>
      </c>
      <c r="T1009" s="2" t="s">
        <v>47</v>
      </c>
      <c r="U1009" s="2" t="b">
        <v>0</v>
      </c>
      <c r="V1009" s="5">
        <v>0.0054</v>
      </c>
      <c r="W1009" s="5">
        <v>0.0287</v>
      </c>
      <c r="X1009" s="5">
        <v>1.54E-4</v>
      </c>
      <c r="Y1009" s="2">
        <v>92.14832536</v>
      </c>
      <c r="AA1009" s="2" t="s">
        <v>33</v>
      </c>
    </row>
    <row r="1010">
      <c r="A1010" s="2">
        <v>2488.0</v>
      </c>
      <c r="B1010" s="2" t="s">
        <v>2976</v>
      </c>
      <c r="C1010" s="2" t="s">
        <v>7</v>
      </c>
      <c r="D1010" s="2" t="s">
        <v>2977</v>
      </c>
      <c r="E1010" s="2" t="s">
        <v>2978</v>
      </c>
      <c r="F1010" s="6">
        <v>45846.638194444444</v>
      </c>
      <c r="G1010" s="2">
        <v>59711.0</v>
      </c>
      <c r="H1010" s="2">
        <v>59711.0</v>
      </c>
      <c r="I1010" s="2">
        <v>52022.0</v>
      </c>
      <c r="J1010" s="2">
        <v>413.0</v>
      </c>
      <c r="K1010" s="2">
        <v>355.0</v>
      </c>
      <c r="L1010" s="2">
        <v>6.0</v>
      </c>
      <c r="M1010" s="4">
        <v>13418.0</v>
      </c>
      <c r="N1010" s="2" t="s">
        <v>30</v>
      </c>
      <c r="O1010" s="2">
        <v>70.0</v>
      </c>
      <c r="P1010" s="2" t="s">
        <v>31</v>
      </c>
      <c r="Q1010" s="2" t="s">
        <v>32</v>
      </c>
      <c r="R1010" s="2">
        <v>27.0</v>
      </c>
      <c r="T1010" s="2" t="s">
        <v>2979</v>
      </c>
      <c r="U1010" s="2" t="b">
        <v>0</v>
      </c>
      <c r="V1010" s="5">
        <v>0.0068</v>
      </c>
      <c r="W1010" s="5">
        <v>0.0169</v>
      </c>
      <c r="X1010" s="5">
        <v>1.15E-4</v>
      </c>
      <c r="Y1010" s="2">
        <v>37.7971831</v>
      </c>
      <c r="Z1010" s="2">
        <v>370.0</v>
      </c>
      <c r="AA1010" s="2" t="s">
        <v>33</v>
      </c>
    </row>
    <row r="1011">
      <c r="A1011" s="2">
        <v>2489.0</v>
      </c>
      <c r="B1011" s="2" t="s">
        <v>2980</v>
      </c>
      <c r="C1011" s="2" t="s">
        <v>7</v>
      </c>
      <c r="D1011" s="2" t="s">
        <v>2981</v>
      </c>
      <c r="E1011" s="2" t="s">
        <v>2982</v>
      </c>
      <c r="F1011" s="6">
        <v>45846.64375</v>
      </c>
      <c r="G1011" s="2">
        <v>46350.0</v>
      </c>
      <c r="H1011" s="2">
        <v>46350.0</v>
      </c>
      <c r="I1011" s="2">
        <v>39144.0</v>
      </c>
      <c r="J1011" s="2">
        <v>292.0</v>
      </c>
      <c r="K1011" s="2">
        <v>249.0</v>
      </c>
      <c r="L1011" s="2">
        <v>6.0</v>
      </c>
      <c r="M1011" s="4">
        <v>19053.0</v>
      </c>
      <c r="N1011" s="2" t="s">
        <v>36</v>
      </c>
      <c r="O1011" s="2">
        <v>71.0</v>
      </c>
      <c r="P1011" s="2" t="s">
        <v>31</v>
      </c>
      <c r="Q1011" s="2" t="s">
        <v>32</v>
      </c>
      <c r="R1011" s="2">
        <v>25.0</v>
      </c>
      <c r="T1011" s="2" t="s">
        <v>405</v>
      </c>
      <c r="U1011" s="2" t="b">
        <v>1</v>
      </c>
      <c r="V1011" s="5">
        <v>0.0064</v>
      </c>
      <c r="W1011" s="5">
        <v>0.0241</v>
      </c>
      <c r="X1011" s="5">
        <v>1.53E-4</v>
      </c>
      <c r="Y1011" s="2">
        <v>76.51807229</v>
      </c>
      <c r="AA1011" s="2" t="s">
        <v>33</v>
      </c>
    </row>
    <row r="1012">
      <c r="A1012" s="2">
        <v>2492.0</v>
      </c>
      <c r="B1012" s="2" t="s">
        <v>2983</v>
      </c>
      <c r="C1012" s="2" t="s">
        <v>7</v>
      </c>
      <c r="D1012" s="2" t="s">
        <v>2984</v>
      </c>
      <c r="E1012" s="2" t="s">
        <v>2985</v>
      </c>
      <c r="F1012" s="6">
        <v>45846.66111111111</v>
      </c>
      <c r="G1012" s="2">
        <v>3843.0</v>
      </c>
      <c r="H1012" s="2">
        <v>3843.0</v>
      </c>
      <c r="I1012" s="2">
        <v>3262.0</v>
      </c>
      <c r="J1012" s="2">
        <v>56.0</v>
      </c>
      <c r="K1012" s="2">
        <v>45.0</v>
      </c>
      <c r="L1012" s="2">
        <v>0.0</v>
      </c>
      <c r="M1012" s="2">
        <v>0.0</v>
      </c>
      <c r="N1012" s="2" t="s">
        <v>423</v>
      </c>
      <c r="O1012" s="2">
        <v>119.0</v>
      </c>
      <c r="P1012" s="2" t="s">
        <v>31</v>
      </c>
      <c r="Q1012" s="2" t="s">
        <v>32</v>
      </c>
      <c r="R1012" s="2">
        <v>22.0</v>
      </c>
      <c r="T1012" s="2" t="s">
        <v>47</v>
      </c>
      <c r="U1012" s="2" t="b">
        <v>0</v>
      </c>
      <c r="V1012" s="5">
        <v>0.0138</v>
      </c>
      <c r="W1012" s="5">
        <v>0.0</v>
      </c>
      <c r="X1012" s="5">
        <v>0.0</v>
      </c>
      <c r="Y1012" s="2">
        <v>0.0</v>
      </c>
      <c r="AA1012" s="2" t="s">
        <v>423</v>
      </c>
    </row>
    <row r="1013">
      <c r="A1013" s="2">
        <v>2491.0</v>
      </c>
      <c r="B1013" s="2" t="s">
        <v>2986</v>
      </c>
      <c r="C1013" s="2" t="s">
        <v>7</v>
      </c>
      <c r="D1013" s="2" t="s">
        <v>2987</v>
      </c>
      <c r="E1013" s="2" t="s">
        <v>2988</v>
      </c>
      <c r="F1013" s="6">
        <v>45846.708333333336</v>
      </c>
      <c r="G1013" s="2">
        <v>46353.0</v>
      </c>
      <c r="H1013" s="2">
        <v>46353.0</v>
      </c>
      <c r="I1013" s="2">
        <v>39260.0</v>
      </c>
      <c r="J1013" s="2">
        <v>275.0</v>
      </c>
      <c r="K1013" s="2">
        <v>226.0</v>
      </c>
      <c r="L1013" s="2">
        <v>1.0</v>
      </c>
      <c r="M1013" s="2">
        <v>963.0</v>
      </c>
      <c r="N1013" s="2" t="s">
        <v>36</v>
      </c>
      <c r="O1013" s="2">
        <v>71.0</v>
      </c>
      <c r="P1013" s="2" t="s">
        <v>31</v>
      </c>
      <c r="Q1013" s="2" t="s">
        <v>32</v>
      </c>
      <c r="R1013" s="2">
        <v>23.0</v>
      </c>
      <c r="T1013" s="2" t="s">
        <v>58</v>
      </c>
      <c r="U1013" s="2" t="b">
        <v>1</v>
      </c>
      <c r="V1013" s="5">
        <v>0.0058</v>
      </c>
      <c r="W1013" s="5">
        <v>0.0044</v>
      </c>
      <c r="X1013" s="5">
        <v>2.5E-5</v>
      </c>
      <c r="Y1013" s="2">
        <v>4.261061947</v>
      </c>
      <c r="AA1013" s="2" t="s">
        <v>33</v>
      </c>
    </row>
    <row r="1014">
      <c r="A1014" s="2">
        <v>2490.0</v>
      </c>
      <c r="B1014" s="2" t="s">
        <v>2989</v>
      </c>
      <c r="C1014" s="2" t="s">
        <v>7</v>
      </c>
      <c r="D1014" s="2" t="s">
        <v>2990</v>
      </c>
      <c r="E1014" s="2" t="s">
        <v>2991</v>
      </c>
      <c r="F1014" s="6">
        <v>45846.708333333336</v>
      </c>
      <c r="G1014" s="2">
        <v>59742.0</v>
      </c>
      <c r="H1014" s="2">
        <v>59742.0</v>
      </c>
      <c r="I1014" s="2">
        <v>52130.0</v>
      </c>
      <c r="J1014" s="2">
        <v>361.0</v>
      </c>
      <c r="K1014" s="2">
        <v>286.0</v>
      </c>
      <c r="L1014" s="2">
        <v>4.0</v>
      </c>
      <c r="M1014" s="4">
        <v>11169.0</v>
      </c>
      <c r="N1014" s="2" t="s">
        <v>30</v>
      </c>
      <c r="O1014" s="2">
        <v>70.0</v>
      </c>
      <c r="P1014" s="2" t="s">
        <v>31</v>
      </c>
      <c r="Q1014" s="2" t="s">
        <v>32</v>
      </c>
      <c r="R1014" s="2">
        <v>34.0</v>
      </c>
      <c r="T1014" s="2" t="s">
        <v>47</v>
      </c>
      <c r="U1014" s="2" t="b">
        <v>0</v>
      </c>
      <c r="V1014" s="5">
        <v>0.0055</v>
      </c>
      <c r="W1014" s="5">
        <v>0.014</v>
      </c>
      <c r="X1014" s="5">
        <v>7.7E-5</v>
      </c>
      <c r="Y1014" s="2">
        <v>39.05244755</v>
      </c>
      <c r="Z1014" s="2">
        <v>5196.0</v>
      </c>
      <c r="AA1014" s="2" t="s">
        <v>33</v>
      </c>
    </row>
    <row r="1015">
      <c r="A1015" s="2">
        <v>2493.0</v>
      </c>
      <c r="B1015" s="2" t="s">
        <v>2992</v>
      </c>
      <c r="C1015" s="2" t="s">
        <v>7</v>
      </c>
      <c r="D1015" s="2" t="s">
        <v>2993</v>
      </c>
      <c r="E1015" s="2" t="s">
        <v>2994</v>
      </c>
      <c r="F1015" s="6">
        <v>45846.708333333336</v>
      </c>
      <c r="G1015" s="2">
        <v>3835.0</v>
      </c>
      <c r="H1015" s="2">
        <v>3835.0</v>
      </c>
      <c r="I1015" s="2">
        <v>3253.0</v>
      </c>
      <c r="J1015" s="2">
        <v>47.0</v>
      </c>
      <c r="K1015" s="2">
        <v>37.0</v>
      </c>
      <c r="L1015" s="2">
        <v>1.0</v>
      </c>
      <c r="M1015" s="2">
        <v>27.0</v>
      </c>
      <c r="N1015" s="2" t="s">
        <v>423</v>
      </c>
      <c r="O1015" s="2">
        <v>119.0</v>
      </c>
      <c r="P1015" s="2" t="s">
        <v>31</v>
      </c>
      <c r="Q1015" s="2" t="s">
        <v>32</v>
      </c>
      <c r="R1015" s="2">
        <v>30.0</v>
      </c>
      <c r="T1015" s="2" t="s">
        <v>2995</v>
      </c>
      <c r="U1015" s="2" t="b">
        <v>0</v>
      </c>
      <c r="V1015" s="5">
        <v>0.0114</v>
      </c>
      <c r="W1015" s="5">
        <v>0.027</v>
      </c>
      <c r="X1015" s="5">
        <v>3.07E-4</v>
      </c>
      <c r="Y1015" s="2">
        <v>0.7297297297</v>
      </c>
      <c r="AA1015" s="2" t="s">
        <v>423</v>
      </c>
    </row>
    <row r="1016">
      <c r="A1016" s="2">
        <v>2494.0</v>
      </c>
      <c r="B1016" s="2" t="s">
        <v>2996</v>
      </c>
      <c r="C1016" s="2" t="s">
        <v>7</v>
      </c>
      <c r="D1016" s="2" t="s">
        <v>2997</v>
      </c>
      <c r="E1016" s="2" t="s">
        <v>2998</v>
      </c>
      <c r="F1016" s="6">
        <v>45846.875</v>
      </c>
      <c r="G1016" s="2">
        <v>3843.0</v>
      </c>
      <c r="H1016" s="2">
        <v>3843.0</v>
      </c>
      <c r="I1016" s="2">
        <v>3260.0</v>
      </c>
      <c r="J1016" s="2">
        <v>47.0</v>
      </c>
      <c r="K1016" s="2">
        <v>39.0</v>
      </c>
      <c r="L1016" s="2">
        <v>1.0</v>
      </c>
      <c r="M1016" s="4">
        <v>13400.0</v>
      </c>
      <c r="N1016" s="2" t="s">
        <v>423</v>
      </c>
      <c r="O1016" s="2">
        <v>119.0</v>
      </c>
      <c r="P1016" s="2" t="s">
        <v>31</v>
      </c>
      <c r="Q1016" s="2" t="s">
        <v>32</v>
      </c>
      <c r="R1016" s="2">
        <v>35.0</v>
      </c>
      <c r="T1016" s="7" t="str">
        <f>IFERROR(__xludf.DUMMYFUNCTION("AI(""has offer Come X Pay X"",D1016)"),"Yes")</f>
        <v>Yes</v>
      </c>
      <c r="U1016" s="2" t="b">
        <v>0</v>
      </c>
      <c r="V1016" s="5">
        <v>0.012</v>
      </c>
      <c r="W1016" s="5">
        <v>0.0256</v>
      </c>
      <c r="X1016" s="5">
        <v>3.07E-4</v>
      </c>
      <c r="Y1016" s="2">
        <v>343.5897436</v>
      </c>
      <c r="AA1016" s="2" t="s">
        <v>423</v>
      </c>
    </row>
    <row r="1017">
      <c r="A1017" s="2">
        <v>2496.0</v>
      </c>
      <c r="B1017" s="2" t="s">
        <v>2999</v>
      </c>
      <c r="C1017" s="2" t="s">
        <v>7</v>
      </c>
      <c r="D1017" s="2" t="s">
        <v>172</v>
      </c>
      <c r="E1017" s="2" t="s">
        <v>290</v>
      </c>
      <c r="F1017" s="6">
        <v>45847.458333333336</v>
      </c>
      <c r="G1017" s="2">
        <v>46425.0</v>
      </c>
      <c r="H1017" s="2">
        <v>46425.0</v>
      </c>
      <c r="I1017" s="2">
        <v>38971.0</v>
      </c>
      <c r="J1017" s="2">
        <v>228.0</v>
      </c>
      <c r="K1017" s="2">
        <v>186.0</v>
      </c>
      <c r="L1017" s="2">
        <v>1.0</v>
      </c>
      <c r="M1017" s="4">
        <v>5100.0</v>
      </c>
      <c r="N1017" s="2" t="s">
        <v>36</v>
      </c>
      <c r="O1017" s="2">
        <v>71.0</v>
      </c>
      <c r="P1017" s="2" t="s">
        <v>31</v>
      </c>
      <c r="Q1017" s="2" t="s">
        <v>32</v>
      </c>
      <c r="R1017" s="2">
        <v>24.0</v>
      </c>
      <c r="U1017" s="2" t="b">
        <v>0</v>
      </c>
      <c r="V1017" s="5">
        <v>0.0048</v>
      </c>
      <c r="W1017" s="5">
        <v>0.0054</v>
      </c>
      <c r="X1017" s="5">
        <v>2.6E-5</v>
      </c>
      <c r="Y1017" s="2">
        <v>27.41935484</v>
      </c>
      <c r="AA1017" s="2" t="s">
        <v>33</v>
      </c>
    </row>
    <row r="1018">
      <c r="A1018" s="2">
        <v>2495.0</v>
      </c>
      <c r="B1018" s="2" t="s">
        <v>3000</v>
      </c>
      <c r="C1018" s="2" t="s">
        <v>7</v>
      </c>
      <c r="D1018" s="2" t="s">
        <v>170</v>
      </c>
      <c r="E1018" s="2" t="s">
        <v>288</v>
      </c>
      <c r="F1018" s="6">
        <v>45847.458333333336</v>
      </c>
      <c r="G1018" s="2">
        <v>59819.0</v>
      </c>
      <c r="H1018" s="2">
        <v>59819.0</v>
      </c>
      <c r="I1018" s="2">
        <v>51870.0</v>
      </c>
      <c r="J1018" s="2">
        <v>264.0</v>
      </c>
      <c r="K1018" s="2">
        <v>215.0</v>
      </c>
      <c r="L1018" s="2">
        <v>1.0</v>
      </c>
      <c r="M1018" s="2">
        <v>990.0</v>
      </c>
      <c r="N1018" s="2" t="s">
        <v>30</v>
      </c>
      <c r="O1018" s="2">
        <v>70.0</v>
      </c>
      <c r="P1018" s="2" t="s">
        <v>31</v>
      </c>
      <c r="Q1018" s="2" t="s">
        <v>32</v>
      </c>
      <c r="R1018" s="2">
        <v>27.0</v>
      </c>
      <c r="T1018" s="2" t="s">
        <v>47</v>
      </c>
      <c r="U1018" s="2" t="b">
        <v>0</v>
      </c>
      <c r="V1018" s="5">
        <v>0.0041</v>
      </c>
      <c r="W1018" s="5">
        <v>0.0047</v>
      </c>
      <c r="X1018" s="5">
        <v>1.9E-5</v>
      </c>
      <c r="Y1018" s="2">
        <v>4.604651163</v>
      </c>
      <c r="AA1018" s="2" t="s">
        <v>33</v>
      </c>
    </row>
    <row r="1019">
      <c r="A1019" s="2">
        <v>2498.0</v>
      </c>
      <c r="B1019" s="2" t="s">
        <v>3001</v>
      </c>
      <c r="C1019" s="2" t="s">
        <v>7</v>
      </c>
      <c r="D1019" s="2" t="s">
        <v>3002</v>
      </c>
      <c r="E1019" s="2" t="s">
        <v>3003</v>
      </c>
      <c r="F1019" s="6">
        <v>45847.625</v>
      </c>
      <c r="G1019" s="2">
        <v>46463.0</v>
      </c>
      <c r="H1019" s="2">
        <v>46463.0</v>
      </c>
      <c r="I1019" s="2">
        <v>39286.0</v>
      </c>
      <c r="J1019" s="2">
        <v>253.0</v>
      </c>
      <c r="K1019" s="2">
        <v>201.0</v>
      </c>
      <c r="L1019" s="2">
        <v>4.0</v>
      </c>
      <c r="M1019" s="4">
        <v>14468.0</v>
      </c>
      <c r="N1019" s="2" t="s">
        <v>36</v>
      </c>
      <c r="O1019" s="2">
        <v>71.0</v>
      </c>
      <c r="P1019" s="2" t="s">
        <v>31</v>
      </c>
      <c r="Q1019" s="2" t="s">
        <v>32</v>
      </c>
      <c r="R1019" s="2">
        <v>21.0</v>
      </c>
      <c r="U1019" s="2" t="b">
        <v>0</v>
      </c>
      <c r="V1019" s="5">
        <v>0.0051</v>
      </c>
      <c r="W1019" s="5">
        <v>0.0199</v>
      </c>
      <c r="X1019" s="5">
        <v>1.02E-4</v>
      </c>
      <c r="Y1019" s="2">
        <v>71.9800995</v>
      </c>
      <c r="AA1019" s="2" t="s">
        <v>33</v>
      </c>
    </row>
    <row r="1020">
      <c r="A1020" s="2">
        <v>2497.0</v>
      </c>
      <c r="B1020" s="2" t="s">
        <v>3004</v>
      </c>
      <c r="C1020" s="2" t="s">
        <v>7</v>
      </c>
      <c r="D1020" s="2" t="s">
        <v>3005</v>
      </c>
      <c r="E1020" s="2" t="s">
        <v>3006</v>
      </c>
      <c r="F1020" s="6">
        <v>45847.625</v>
      </c>
      <c r="G1020" s="2">
        <v>59877.0</v>
      </c>
      <c r="H1020" s="2">
        <v>59877.0</v>
      </c>
      <c r="I1020" s="2">
        <v>52162.0</v>
      </c>
      <c r="J1020" s="2">
        <v>351.0</v>
      </c>
      <c r="K1020" s="2">
        <v>279.0</v>
      </c>
      <c r="L1020" s="2">
        <v>5.0</v>
      </c>
      <c r="M1020" s="4">
        <v>16267.0</v>
      </c>
      <c r="N1020" s="2" t="s">
        <v>30</v>
      </c>
      <c r="O1020" s="2">
        <v>70.0</v>
      </c>
      <c r="P1020" s="2" t="s">
        <v>31</v>
      </c>
      <c r="Q1020" s="2" t="s">
        <v>32</v>
      </c>
      <c r="R1020" s="2">
        <v>26.0</v>
      </c>
      <c r="U1020" s="2" t="b">
        <v>0</v>
      </c>
      <c r="V1020" s="5">
        <v>0.0053</v>
      </c>
      <c r="W1020" s="5">
        <v>0.0179</v>
      </c>
      <c r="X1020" s="5">
        <v>9.6E-5</v>
      </c>
      <c r="Y1020" s="2">
        <v>58.3046595</v>
      </c>
      <c r="Z1020" s="2" t="s">
        <v>122</v>
      </c>
      <c r="AA1020" s="2" t="s">
        <v>33</v>
      </c>
    </row>
    <row r="1021">
      <c r="A1021" s="2">
        <v>2506.0</v>
      </c>
      <c r="B1021" s="2" t="s">
        <v>3007</v>
      </c>
      <c r="C1021" s="2" t="s">
        <v>7</v>
      </c>
      <c r="D1021" s="2" t="s">
        <v>3008</v>
      </c>
      <c r="E1021" s="2" t="s">
        <v>3009</v>
      </c>
      <c r="F1021" s="6">
        <v>45848.48402777778</v>
      </c>
      <c r="G1021" s="2">
        <v>60855.0</v>
      </c>
      <c r="H1021" s="2">
        <v>60855.0</v>
      </c>
      <c r="I1021" s="2">
        <v>52722.0</v>
      </c>
      <c r="J1021" s="2">
        <v>328.0</v>
      </c>
      <c r="K1021" s="2">
        <v>262.0</v>
      </c>
      <c r="L1021" s="2">
        <v>6.0</v>
      </c>
      <c r="M1021" s="4">
        <v>12748.0</v>
      </c>
      <c r="N1021" s="2" t="s">
        <v>30</v>
      </c>
      <c r="O1021" s="2">
        <v>70.0</v>
      </c>
      <c r="P1021" s="2" t="s">
        <v>31</v>
      </c>
      <c r="Q1021" s="2" t="s">
        <v>32</v>
      </c>
      <c r="R1021" s="2">
        <v>32.0</v>
      </c>
      <c r="T1021" s="2" t="s">
        <v>47</v>
      </c>
      <c r="U1021" s="2" t="b">
        <v>0</v>
      </c>
      <c r="V1021" s="5">
        <v>0.005</v>
      </c>
      <c r="W1021" s="5">
        <v>0.0229</v>
      </c>
      <c r="X1021" s="5">
        <v>1.14E-4</v>
      </c>
      <c r="Y1021" s="2">
        <v>48.65648855</v>
      </c>
      <c r="AA1021" s="2" t="s">
        <v>33</v>
      </c>
    </row>
    <row r="1022">
      <c r="A1022" s="2">
        <v>2507.0</v>
      </c>
      <c r="B1022" s="2" t="s">
        <v>3010</v>
      </c>
      <c r="C1022" s="2" t="s">
        <v>7</v>
      </c>
      <c r="D1022" s="2" t="s">
        <v>3011</v>
      </c>
      <c r="E1022" s="2" t="s">
        <v>3012</v>
      </c>
      <c r="F1022" s="6">
        <v>45848.48541666667</v>
      </c>
      <c r="G1022" s="2">
        <v>47003.0</v>
      </c>
      <c r="H1022" s="2">
        <v>47003.0</v>
      </c>
      <c r="I1022" s="2">
        <v>39405.0</v>
      </c>
      <c r="J1022" s="2">
        <v>279.0</v>
      </c>
      <c r="K1022" s="2">
        <v>213.0</v>
      </c>
      <c r="L1022" s="2">
        <v>1.0</v>
      </c>
      <c r="M1022" s="4">
        <v>1290.0</v>
      </c>
      <c r="N1022" s="2" t="s">
        <v>36</v>
      </c>
      <c r="O1022" s="2">
        <v>71.0</v>
      </c>
      <c r="P1022" s="2" t="s">
        <v>189</v>
      </c>
      <c r="Q1022" s="2" t="s">
        <v>32</v>
      </c>
      <c r="R1022" s="2">
        <v>40.0</v>
      </c>
      <c r="U1022" s="2" t="b">
        <v>0</v>
      </c>
      <c r="V1022" s="5">
        <v>0.0054</v>
      </c>
      <c r="W1022" s="5">
        <v>0.0047</v>
      </c>
      <c r="X1022" s="5">
        <v>2.5E-5</v>
      </c>
      <c r="Y1022" s="2">
        <v>6.056338028</v>
      </c>
      <c r="AA1022" s="2" t="s">
        <v>33</v>
      </c>
    </row>
    <row r="1023">
      <c r="A1023" s="2">
        <v>2509.0</v>
      </c>
      <c r="B1023" s="2" t="s">
        <v>3013</v>
      </c>
      <c r="C1023" s="2" t="s">
        <v>7</v>
      </c>
      <c r="D1023" s="2" t="s">
        <v>3014</v>
      </c>
      <c r="E1023" s="2" t="s">
        <v>3015</v>
      </c>
      <c r="F1023" s="6">
        <v>45848.625</v>
      </c>
      <c r="G1023" s="2">
        <v>47045.0</v>
      </c>
      <c r="H1023" s="2">
        <v>47045.0</v>
      </c>
      <c r="I1023" s="2">
        <v>39739.0</v>
      </c>
      <c r="J1023" s="2">
        <v>333.0</v>
      </c>
      <c r="K1023" s="2">
        <v>274.0</v>
      </c>
      <c r="L1023" s="2">
        <v>0.0</v>
      </c>
      <c r="M1023" s="2">
        <v>0.0</v>
      </c>
      <c r="N1023" s="2" t="s">
        <v>36</v>
      </c>
      <c r="O1023" s="2">
        <v>71.0</v>
      </c>
      <c r="P1023" s="2" t="s">
        <v>189</v>
      </c>
      <c r="Q1023" s="2" t="s">
        <v>32</v>
      </c>
      <c r="R1023" s="2">
        <v>36.0</v>
      </c>
      <c r="U1023" s="2" t="b">
        <v>0</v>
      </c>
      <c r="V1023" s="5">
        <v>0.0069</v>
      </c>
      <c r="W1023" s="5">
        <v>0.0</v>
      </c>
      <c r="X1023" s="5">
        <v>0.0</v>
      </c>
      <c r="Y1023" s="2">
        <v>0.0</v>
      </c>
      <c r="AA1023" s="2" t="s">
        <v>33</v>
      </c>
    </row>
    <row r="1024">
      <c r="A1024" s="2">
        <v>2508.0</v>
      </c>
      <c r="B1024" s="2" t="s">
        <v>3016</v>
      </c>
      <c r="C1024" s="2" t="s">
        <v>7</v>
      </c>
      <c r="D1024" s="2" t="s">
        <v>3017</v>
      </c>
      <c r="E1024" s="2" t="s">
        <v>3018</v>
      </c>
      <c r="F1024" s="6">
        <v>45848.625</v>
      </c>
      <c r="G1024" s="2">
        <v>60899.0</v>
      </c>
      <c r="H1024" s="2">
        <v>60899.0</v>
      </c>
      <c r="I1024" s="2">
        <v>52879.0</v>
      </c>
      <c r="J1024" s="2">
        <v>595.0</v>
      </c>
      <c r="K1024" s="2">
        <v>492.0</v>
      </c>
      <c r="L1024" s="2">
        <v>5.0</v>
      </c>
      <c r="M1024" s="4">
        <v>12620.0</v>
      </c>
      <c r="N1024" s="2" t="s">
        <v>30</v>
      </c>
      <c r="O1024" s="2">
        <v>70.0</v>
      </c>
      <c r="P1024" s="2" t="s">
        <v>189</v>
      </c>
      <c r="Q1024" s="2" t="s">
        <v>32</v>
      </c>
      <c r="R1024" s="2">
        <v>31.0</v>
      </c>
      <c r="U1024" s="2" t="b">
        <v>0</v>
      </c>
      <c r="V1024" s="5">
        <v>0.0093</v>
      </c>
      <c r="W1024" s="5">
        <v>0.0102</v>
      </c>
      <c r="X1024" s="5">
        <v>9.5E-5</v>
      </c>
      <c r="Y1024" s="2">
        <v>25.6504065</v>
      </c>
      <c r="Z1024" s="2">
        <v>565.0</v>
      </c>
      <c r="AA1024" s="2" t="s">
        <v>33</v>
      </c>
    </row>
    <row r="1025">
      <c r="A1025" s="2">
        <v>2511.0</v>
      </c>
      <c r="B1025" s="2" t="s">
        <v>3019</v>
      </c>
      <c r="C1025" s="2" t="s">
        <v>7</v>
      </c>
      <c r="D1025" s="2" t="s">
        <v>3020</v>
      </c>
      <c r="E1025" s="2" t="s">
        <v>1942</v>
      </c>
      <c r="F1025" s="6">
        <v>45848.708333333336</v>
      </c>
      <c r="G1025" s="2">
        <v>47065.0</v>
      </c>
      <c r="H1025" s="2">
        <v>47065.0</v>
      </c>
      <c r="I1025" s="2">
        <v>39722.0</v>
      </c>
      <c r="J1025" s="2">
        <v>225.0</v>
      </c>
      <c r="K1025" s="2">
        <v>179.0</v>
      </c>
      <c r="L1025" s="2">
        <v>4.0</v>
      </c>
      <c r="M1025" s="4">
        <v>8520.0</v>
      </c>
      <c r="N1025" s="2" t="s">
        <v>36</v>
      </c>
      <c r="O1025" s="2">
        <v>71.0</v>
      </c>
      <c r="P1025" s="2" t="s">
        <v>189</v>
      </c>
      <c r="Q1025" s="2" t="s">
        <v>32</v>
      </c>
      <c r="R1025" s="2">
        <v>30.0</v>
      </c>
      <c r="U1025" s="2" t="b">
        <v>0</v>
      </c>
      <c r="V1025" s="5">
        <v>0.0045</v>
      </c>
      <c r="W1025" s="5">
        <v>0.0223</v>
      </c>
      <c r="X1025" s="5">
        <v>1.01E-4</v>
      </c>
      <c r="Y1025" s="2">
        <v>47.59776536</v>
      </c>
      <c r="AA1025" s="2" t="s">
        <v>33</v>
      </c>
    </row>
    <row r="1026">
      <c r="A1026" s="2">
        <v>2510.0</v>
      </c>
      <c r="B1026" s="2" t="s">
        <v>3021</v>
      </c>
      <c r="C1026" s="2" t="s">
        <v>7</v>
      </c>
      <c r="D1026" s="2" t="s">
        <v>3022</v>
      </c>
      <c r="E1026" s="2" t="s">
        <v>1938</v>
      </c>
      <c r="F1026" s="6">
        <v>45848.708333333336</v>
      </c>
      <c r="G1026" s="2">
        <v>60924.0</v>
      </c>
      <c r="H1026" s="2">
        <v>60924.0</v>
      </c>
      <c r="I1026" s="2">
        <v>52986.0</v>
      </c>
      <c r="J1026" s="2">
        <v>436.0</v>
      </c>
      <c r="K1026" s="2">
        <v>364.0</v>
      </c>
      <c r="L1026" s="2">
        <v>2.0</v>
      </c>
      <c r="M1026" s="4">
        <v>7578.0</v>
      </c>
      <c r="N1026" s="2" t="s">
        <v>30</v>
      </c>
      <c r="O1026" s="2">
        <v>70.0</v>
      </c>
      <c r="P1026" s="2" t="s">
        <v>189</v>
      </c>
      <c r="Q1026" s="2" t="s">
        <v>32</v>
      </c>
      <c r="R1026" s="2">
        <v>33.0</v>
      </c>
      <c r="T1026" s="2" t="s">
        <v>47</v>
      </c>
      <c r="U1026" s="2" t="b">
        <v>0</v>
      </c>
      <c r="V1026" s="5">
        <v>0.0069</v>
      </c>
      <c r="W1026" s="5">
        <v>0.0055</v>
      </c>
      <c r="X1026" s="5">
        <v>3.8E-5</v>
      </c>
      <c r="Y1026" s="2">
        <v>20.81868132</v>
      </c>
      <c r="Z1026" s="2" t="s">
        <v>1939</v>
      </c>
      <c r="AA1026" s="2" t="s">
        <v>33</v>
      </c>
    </row>
    <row r="1027">
      <c r="A1027" s="2">
        <v>2525.0</v>
      </c>
      <c r="B1027" s="2" t="s">
        <v>3023</v>
      </c>
      <c r="C1027" s="2" t="s">
        <v>7</v>
      </c>
      <c r="D1027" s="2" t="s">
        <v>3024</v>
      </c>
      <c r="E1027" s="2" t="e">
        <v>#N/A</v>
      </c>
      <c r="F1027" s="6">
        <v>45848.782638888886</v>
      </c>
      <c r="G1027" s="2">
        <v>4570.0</v>
      </c>
      <c r="H1027" s="2">
        <v>4570.0</v>
      </c>
      <c r="I1027" s="2">
        <v>3868.0</v>
      </c>
      <c r="J1027" s="2">
        <v>51.0</v>
      </c>
      <c r="K1027" s="2">
        <v>45.0</v>
      </c>
      <c r="L1027" s="2">
        <v>2.0</v>
      </c>
      <c r="M1027" s="4">
        <v>4320.0</v>
      </c>
      <c r="N1027" s="2" t="s">
        <v>423</v>
      </c>
      <c r="O1027" s="2">
        <v>119.0</v>
      </c>
      <c r="P1027" s="2" t="s">
        <v>31</v>
      </c>
      <c r="Q1027" s="2" t="s">
        <v>32</v>
      </c>
      <c r="R1027" s="2">
        <v>33.0</v>
      </c>
      <c r="T1027" s="2" t="s">
        <v>47</v>
      </c>
      <c r="U1027" s="2" t="b">
        <v>0</v>
      </c>
      <c r="V1027" s="5">
        <v>0.0116</v>
      </c>
      <c r="W1027" s="5">
        <v>0.0444</v>
      </c>
      <c r="X1027" s="5">
        <v>5.17E-4</v>
      </c>
      <c r="Y1027" s="2">
        <v>96.0</v>
      </c>
      <c r="AA1027" s="2" t="s">
        <v>423</v>
      </c>
    </row>
    <row r="1028">
      <c r="A1028" s="2">
        <v>2513.0</v>
      </c>
      <c r="B1028" s="2" t="s">
        <v>3025</v>
      </c>
      <c r="C1028" s="2" t="s">
        <v>7</v>
      </c>
      <c r="D1028" s="2" t="s">
        <v>3026</v>
      </c>
      <c r="E1028" s="2" t="s">
        <v>3027</v>
      </c>
      <c r="F1028" s="6">
        <v>45849.458333333336</v>
      </c>
      <c r="G1028" s="2">
        <v>47150.0</v>
      </c>
      <c r="H1028" s="2">
        <v>47150.0</v>
      </c>
      <c r="I1028" s="2">
        <v>39631.0</v>
      </c>
      <c r="J1028" s="2">
        <v>329.0</v>
      </c>
      <c r="K1028" s="2">
        <v>269.0</v>
      </c>
      <c r="L1028" s="2">
        <v>7.0</v>
      </c>
      <c r="M1028" s="4">
        <v>20158.0</v>
      </c>
      <c r="N1028" s="2" t="s">
        <v>36</v>
      </c>
      <c r="O1028" s="2">
        <v>71.0</v>
      </c>
      <c r="P1028" s="2" t="s">
        <v>31</v>
      </c>
      <c r="Q1028" s="2" t="s">
        <v>32</v>
      </c>
      <c r="R1028" s="2">
        <v>38.0</v>
      </c>
      <c r="T1028" s="2" t="s">
        <v>58</v>
      </c>
      <c r="U1028" s="2" t="b">
        <v>0</v>
      </c>
      <c r="V1028" s="5">
        <v>0.0068</v>
      </c>
      <c r="W1028" s="5">
        <v>0.026</v>
      </c>
      <c r="X1028" s="5">
        <v>1.77E-4</v>
      </c>
      <c r="Y1028" s="2">
        <v>74.93680297</v>
      </c>
      <c r="AA1028" s="2" t="s">
        <v>33</v>
      </c>
    </row>
    <row r="1029">
      <c r="A1029" s="2">
        <v>2512.0</v>
      </c>
      <c r="B1029" s="2" t="s">
        <v>3028</v>
      </c>
      <c r="C1029" s="2" t="s">
        <v>7</v>
      </c>
      <c r="D1029" s="2" t="s">
        <v>3029</v>
      </c>
      <c r="E1029" s="2" t="s">
        <v>3030</v>
      </c>
      <c r="F1029" s="6">
        <v>45849.458333333336</v>
      </c>
      <c r="G1029" s="2">
        <v>60998.0</v>
      </c>
      <c r="H1029" s="2">
        <v>60998.0</v>
      </c>
      <c r="I1029" s="2">
        <v>52904.0</v>
      </c>
      <c r="J1029" s="2">
        <v>491.0</v>
      </c>
      <c r="K1029" s="2">
        <v>405.0</v>
      </c>
      <c r="L1029" s="2">
        <v>8.0</v>
      </c>
      <c r="M1029" s="4">
        <v>34466.0</v>
      </c>
      <c r="N1029" s="2" t="s">
        <v>30</v>
      </c>
      <c r="O1029" s="2">
        <v>70.0</v>
      </c>
      <c r="P1029" s="2" t="s">
        <v>31</v>
      </c>
      <c r="Q1029" s="2" t="s">
        <v>32</v>
      </c>
      <c r="R1029" s="2">
        <v>39.0</v>
      </c>
      <c r="U1029" s="2" t="b">
        <v>0</v>
      </c>
      <c r="V1029" s="5">
        <v>0.0077</v>
      </c>
      <c r="W1029" s="5">
        <v>0.0198</v>
      </c>
      <c r="X1029" s="5">
        <v>1.51E-4</v>
      </c>
      <c r="Y1029" s="2">
        <v>85.10123457</v>
      </c>
      <c r="Z1029" s="2">
        <v>4405.0</v>
      </c>
      <c r="AA1029" s="2" t="s">
        <v>33</v>
      </c>
    </row>
    <row r="1030">
      <c r="A1030" s="2">
        <v>2520.0</v>
      </c>
      <c r="B1030" s="2" t="s">
        <v>3031</v>
      </c>
      <c r="C1030" s="2" t="s">
        <v>7</v>
      </c>
      <c r="D1030" s="2" t="s">
        <v>3032</v>
      </c>
      <c r="E1030" s="2" t="s">
        <v>3033</v>
      </c>
      <c r="F1030" s="6">
        <v>45849.625</v>
      </c>
      <c r="G1030" s="2">
        <v>47198.0</v>
      </c>
      <c r="H1030" s="2">
        <v>47198.0</v>
      </c>
      <c r="I1030" s="2">
        <v>39839.0</v>
      </c>
      <c r="J1030" s="2">
        <v>217.0</v>
      </c>
      <c r="K1030" s="2">
        <v>177.0</v>
      </c>
      <c r="L1030" s="2">
        <v>2.0</v>
      </c>
      <c r="M1030" s="4">
        <v>7698.0</v>
      </c>
      <c r="N1030" s="2" t="s">
        <v>36</v>
      </c>
      <c r="O1030" s="2">
        <v>71.0</v>
      </c>
      <c r="P1030" s="2" t="s">
        <v>31</v>
      </c>
      <c r="Q1030" s="2" t="s">
        <v>32</v>
      </c>
      <c r="R1030" s="2">
        <v>39.0</v>
      </c>
      <c r="T1030" s="2" t="s">
        <v>162</v>
      </c>
      <c r="U1030" s="2" t="b">
        <v>0</v>
      </c>
      <c r="V1030" s="5">
        <v>0.0044</v>
      </c>
      <c r="W1030" s="5">
        <v>0.0113</v>
      </c>
      <c r="X1030" s="5">
        <v>5.0E-5</v>
      </c>
      <c r="Y1030" s="2">
        <v>43.49152542</v>
      </c>
      <c r="AA1030" s="2" t="s">
        <v>33</v>
      </c>
    </row>
    <row r="1031">
      <c r="A1031" s="2">
        <v>2533.0</v>
      </c>
      <c r="B1031" s="2" t="s">
        <v>3034</v>
      </c>
      <c r="C1031" s="2" t="s">
        <v>7</v>
      </c>
      <c r="D1031" s="2" t="s">
        <v>3035</v>
      </c>
      <c r="E1031" s="2" t="s">
        <v>3036</v>
      </c>
      <c r="F1031" s="6">
        <v>45849.625</v>
      </c>
      <c r="G1031" s="2">
        <v>4588.0</v>
      </c>
      <c r="H1031" s="2">
        <v>4588.0</v>
      </c>
      <c r="I1031" s="2">
        <v>3929.0</v>
      </c>
      <c r="J1031" s="2">
        <v>61.0</v>
      </c>
      <c r="K1031" s="2">
        <v>51.0</v>
      </c>
      <c r="L1031" s="2">
        <v>0.0</v>
      </c>
      <c r="M1031" s="2">
        <v>0.0</v>
      </c>
      <c r="N1031" s="2" t="s">
        <v>423</v>
      </c>
      <c r="O1031" s="2">
        <v>119.0</v>
      </c>
      <c r="P1031" s="2" t="s">
        <v>31</v>
      </c>
      <c r="Q1031" s="2" t="s">
        <v>1367</v>
      </c>
      <c r="R1031" s="2">
        <v>33.0</v>
      </c>
      <c r="T1031" s="2" t="s">
        <v>47</v>
      </c>
      <c r="U1031" s="2" t="b">
        <v>0</v>
      </c>
      <c r="V1031" s="5">
        <v>0.013</v>
      </c>
      <c r="W1031" s="5">
        <v>0.0</v>
      </c>
      <c r="X1031" s="5">
        <v>0.0</v>
      </c>
      <c r="Y1031" s="2">
        <v>0.0</v>
      </c>
      <c r="AA1031" s="2" t="s">
        <v>423</v>
      </c>
    </row>
    <row r="1032">
      <c r="A1032" s="2">
        <v>2519.0</v>
      </c>
      <c r="B1032" s="2" t="s">
        <v>3037</v>
      </c>
      <c r="C1032" s="2" t="s">
        <v>7</v>
      </c>
      <c r="D1032" s="2" t="s">
        <v>3038</v>
      </c>
      <c r="E1032" s="2" t="s">
        <v>3039</v>
      </c>
      <c r="F1032" s="6">
        <v>45849.625</v>
      </c>
      <c r="G1032" s="2">
        <v>61088.0</v>
      </c>
      <c r="H1032" s="2">
        <v>61088.0</v>
      </c>
      <c r="I1032" s="2">
        <v>53191.0</v>
      </c>
      <c r="J1032" s="2">
        <v>290.0</v>
      </c>
      <c r="K1032" s="2">
        <v>220.0</v>
      </c>
      <c r="L1032" s="2">
        <v>7.0</v>
      </c>
      <c r="M1032" s="4">
        <v>13510.0</v>
      </c>
      <c r="N1032" s="2" t="s">
        <v>30</v>
      </c>
      <c r="O1032" s="2">
        <v>70.0</v>
      </c>
      <c r="P1032" s="2" t="s">
        <v>31</v>
      </c>
      <c r="Q1032" s="2" t="s">
        <v>32</v>
      </c>
      <c r="R1032" s="2">
        <v>40.0</v>
      </c>
      <c r="U1032" s="2" t="b">
        <v>0</v>
      </c>
      <c r="V1032" s="5">
        <v>0.0041</v>
      </c>
      <c r="W1032" s="5">
        <v>0.0318</v>
      </c>
      <c r="X1032" s="5">
        <v>1.32E-4</v>
      </c>
      <c r="Y1032" s="2">
        <v>61.40909091</v>
      </c>
      <c r="AA1032" s="2" t="s">
        <v>33</v>
      </c>
    </row>
    <row r="1033">
      <c r="A1033" s="2">
        <v>2517.0</v>
      </c>
      <c r="B1033" s="2" t="s">
        <v>3040</v>
      </c>
      <c r="C1033" s="2" t="s">
        <v>7</v>
      </c>
      <c r="D1033" s="2" t="s">
        <v>3041</v>
      </c>
      <c r="E1033" s="2" t="s">
        <v>3042</v>
      </c>
      <c r="F1033" s="6">
        <v>45849.708333333336</v>
      </c>
      <c r="G1033" s="2">
        <v>47222.0</v>
      </c>
      <c r="H1033" s="2">
        <v>47222.0</v>
      </c>
      <c r="I1033" s="2">
        <v>39819.0</v>
      </c>
      <c r="J1033" s="2">
        <v>533.0</v>
      </c>
      <c r="K1033" s="2">
        <v>427.0</v>
      </c>
      <c r="L1033" s="2">
        <v>8.0</v>
      </c>
      <c r="M1033" s="4">
        <v>16571.0</v>
      </c>
      <c r="N1033" s="2" t="s">
        <v>36</v>
      </c>
      <c r="O1033" s="2">
        <v>71.0</v>
      </c>
      <c r="P1033" s="2" t="s">
        <v>31</v>
      </c>
      <c r="Q1033" s="2" t="s">
        <v>32</v>
      </c>
      <c r="R1033" s="2">
        <v>30.0</v>
      </c>
      <c r="T1033" s="2" t="s">
        <v>47</v>
      </c>
      <c r="U1033" s="2" t="b">
        <v>0</v>
      </c>
      <c r="V1033" s="5">
        <v>0.0107</v>
      </c>
      <c r="W1033" s="5">
        <v>0.0187</v>
      </c>
      <c r="X1033" s="5">
        <v>2.01E-4</v>
      </c>
      <c r="Y1033" s="2">
        <v>38.80796253</v>
      </c>
      <c r="AA1033" s="2" t="s">
        <v>33</v>
      </c>
    </row>
    <row r="1034">
      <c r="A1034" s="2">
        <v>2534.0</v>
      </c>
      <c r="B1034" s="2" t="s">
        <v>3043</v>
      </c>
      <c r="C1034" s="2" t="s">
        <v>7</v>
      </c>
      <c r="D1034" s="2" t="s">
        <v>3044</v>
      </c>
      <c r="E1034" s="2" t="s">
        <v>3045</v>
      </c>
      <c r="F1034" s="6">
        <v>45849.708333333336</v>
      </c>
      <c r="G1034" s="2">
        <v>4583.0</v>
      </c>
      <c r="H1034" s="2">
        <v>4583.0</v>
      </c>
      <c r="I1034" s="2">
        <v>3920.0</v>
      </c>
      <c r="J1034" s="2">
        <v>36.0</v>
      </c>
      <c r="K1034" s="2">
        <v>31.0</v>
      </c>
      <c r="L1034" s="2">
        <v>2.0</v>
      </c>
      <c r="M1034" s="4">
        <v>4526.0</v>
      </c>
      <c r="N1034" s="2" t="s">
        <v>423</v>
      </c>
      <c r="O1034" s="2">
        <v>119.0</v>
      </c>
      <c r="P1034" s="2" t="s">
        <v>189</v>
      </c>
      <c r="Q1034" s="2" t="s">
        <v>1367</v>
      </c>
      <c r="R1034" s="2">
        <v>32.0</v>
      </c>
      <c r="U1034" s="2" t="b">
        <v>0</v>
      </c>
      <c r="V1034" s="5">
        <v>0.0079</v>
      </c>
      <c r="W1034" s="5">
        <v>0.0645</v>
      </c>
      <c r="X1034" s="5">
        <v>5.1E-4</v>
      </c>
      <c r="Y1034" s="2">
        <v>146.0</v>
      </c>
      <c r="AA1034" s="2" t="s">
        <v>423</v>
      </c>
    </row>
    <row r="1035">
      <c r="A1035" s="2">
        <v>2516.0</v>
      </c>
      <c r="B1035" s="2" t="s">
        <v>3046</v>
      </c>
      <c r="C1035" s="2" t="s">
        <v>7</v>
      </c>
      <c r="D1035" s="2" t="s">
        <v>3047</v>
      </c>
      <c r="E1035" s="2" t="s">
        <v>3048</v>
      </c>
      <c r="F1035" s="6">
        <v>45849.708333333336</v>
      </c>
      <c r="G1035" s="2">
        <v>61129.0</v>
      </c>
      <c r="H1035" s="2">
        <v>61129.0</v>
      </c>
      <c r="I1035" s="2">
        <v>53194.0</v>
      </c>
      <c r="J1035" s="2">
        <v>546.0</v>
      </c>
      <c r="K1035" s="2">
        <v>431.0</v>
      </c>
      <c r="L1035" s="2">
        <v>9.0</v>
      </c>
      <c r="M1035" s="4">
        <v>28552.0</v>
      </c>
      <c r="N1035" s="2" t="s">
        <v>30</v>
      </c>
      <c r="O1035" s="2">
        <v>70.0</v>
      </c>
      <c r="P1035" s="2" t="s">
        <v>31</v>
      </c>
      <c r="Q1035" s="2" t="s">
        <v>32</v>
      </c>
      <c r="R1035" s="2">
        <v>32.0</v>
      </c>
      <c r="U1035" s="2" t="b">
        <v>0</v>
      </c>
      <c r="V1035" s="5">
        <v>0.0081</v>
      </c>
      <c r="W1035" s="5">
        <v>0.0209</v>
      </c>
      <c r="X1035" s="5">
        <v>1.69E-4</v>
      </c>
      <c r="Y1035" s="2">
        <v>66.24593968</v>
      </c>
      <c r="Z1035" s="2">
        <v>4227.0</v>
      </c>
      <c r="AA1035" s="2" t="s">
        <v>33</v>
      </c>
    </row>
    <row r="1036">
      <c r="A1036" s="2">
        <v>2542.0</v>
      </c>
      <c r="B1036" s="2" t="s">
        <v>3049</v>
      </c>
      <c r="C1036" s="2" t="s">
        <v>7</v>
      </c>
      <c r="D1036" s="2" t="s">
        <v>3050</v>
      </c>
      <c r="E1036" s="2" t="s">
        <v>2949</v>
      </c>
      <c r="F1036" s="6">
        <v>45849.791666666664</v>
      </c>
      <c r="G1036" s="2">
        <v>4598.0</v>
      </c>
      <c r="H1036" s="2">
        <v>4598.0</v>
      </c>
      <c r="I1036" s="2">
        <v>3998.0</v>
      </c>
      <c r="J1036" s="2">
        <v>42.0</v>
      </c>
      <c r="K1036" s="2">
        <v>34.0</v>
      </c>
      <c r="L1036" s="2">
        <v>0.0</v>
      </c>
      <c r="M1036" s="2">
        <v>0.0</v>
      </c>
      <c r="N1036" s="2" t="s">
        <v>423</v>
      </c>
      <c r="O1036" s="2">
        <v>119.0</v>
      </c>
      <c r="P1036" s="2" t="s">
        <v>31</v>
      </c>
      <c r="Q1036" s="2" t="s">
        <v>1367</v>
      </c>
      <c r="R1036" s="2">
        <v>30.0</v>
      </c>
      <c r="T1036" s="2" t="s">
        <v>47</v>
      </c>
      <c r="U1036" s="2" t="b">
        <v>0</v>
      </c>
      <c r="V1036" s="5">
        <v>0.0085</v>
      </c>
      <c r="W1036" s="5">
        <v>0.0</v>
      </c>
      <c r="X1036" s="5">
        <v>0.0</v>
      </c>
      <c r="Y1036" s="2">
        <v>0.0</v>
      </c>
      <c r="AA1036" s="2" t="s">
        <v>423</v>
      </c>
    </row>
    <row r="1037">
      <c r="A1037" s="2">
        <v>2535.0</v>
      </c>
      <c r="B1037" s="2" t="s">
        <v>3051</v>
      </c>
      <c r="C1037" s="2" t="s">
        <v>7</v>
      </c>
      <c r="D1037" s="2" t="s">
        <v>3052</v>
      </c>
      <c r="E1037" s="2" t="s">
        <v>3053</v>
      </c>
      <c r="F1037" s="6">
        <v>45849.791666666664</v>
      </c>
      <c r="G1037" s="2">
        <v>4598.0</v>
      </c>
      <c r="H1037" s="2">
        <v>4598.0</v>
      </c>
      <c r="I1037" s="2">
        <v>3874.0</v>
      </c>
      <c r="J1037" s="2">
        <v>32.0</v>
      </c>
      <c r="K1037" s="2">
        <v>25.0</v>
      </c>
      <c r="L1037" s="2">
        <v>0.0</v>
      </c>
      <c r="M1037" s="2">
        <v>0.0</v>
      </c>
      <c r="N1037" s="2" t="s">
        <v>423</v>
      </c>
      <c r="O1037" s="2">
        <v>119.0</v>
      </c>
      <c r="P1037" s="2" t="s">
        <v>189</v>
      </c>
      <c r="Q1037" s="2" t="s">
        <v>1367</v>
      </c>
      <c r="R1037" s="2">
        <v>33.0</v>
      </c>
      <c r="U1037" s="2" t="b">
        <v>0</v>
      </c>
      <c r="V1037" s="5">
        <v>0.0065</v>
      </c>
      <c r="W1037" s="5">
        <v>0.0</v>
      </c>
      <c r="X1037" s="5">
        <v>0.0</v>
      </c>
      <c r="Y1037" s="2">
        <v>0.0</v>
      </c>
      <c r="AA1037" s="2" t="s">
        <v>423</v>
      </c>
    </row>
    <row r="1038">
      <c r="A1038" s="2">
        <v>2522.0</v>
      </c>
      <c r="B1038" s="2" t="s">
        <v>3054</v>
      </c>
      <c r="C1038" s="2" t="s">
        <v>7</v>
      </c>
      <c r="D1038" s="2" t="s">
        <v>3055</v>
      </c>
      <c r="E1038" s="2" t="s">
        <v>3056</v>
      </c>
      <c r="F1038" s="6">
        <v>45850.458333333336</v>
      </c>
      <c r="G1038" s="2">
        <v>47302.0</v>
      </c>
      <c r="H1038" s="2">
        <v>47302.0</v>
      </c>
      <c r="I1038" s="2">
        <v>39591.0</v>
      </c>
      <c r="J1038" s="2">
        <v>308.0</v>
      </c>
      <c r="K1038" s="2">
        <v>241.0</v>
      </c>
      <c r="L1038" s="2">
        <v>7.0</v>
      </c>
      <c r="M1038" s="4">
        <v>25025.0</v>
      </c>
      <c r="N1038" s="2" t="s">
        <v>36</v>
      </c>
      <c r="O1038" s="2">
        <v>71.0</v>
      </c>
      <c r="P1038" s="2" t="s">
        <v>189</v>
      </c>
      <c r="Q1038" s="2" t="s">
        <v>32</v>
      </c>
      <c r="R1038" s="2">
        <v>40.0</v>
      </c>
      <c r="T1038" s="2" t="s">
        <v>58</v>
      </c>
      <c r="U1038" s="2" t="b">
        <v>0</v>
      </c>
      <c r="V1038" s="5">
        <v>0.0061</v>
      </c>
      <c r="W1038" s="5">
        <v>0.029</v>
      </c>
      <c r="X1038" s="5">
        <v>1.77E-4</v>
      </c>
      <c r="Y1038" s="2">
        <v>103.8381743</v>
      </c>
      <c r="AA1038" s="2" t="s">
        <v>33</v>
      </c>
    </row>
    <row r="1039">
      <c r="A1039" s="2">
        <v>2521.0</v>
      </c>
      <c r="B1039" s="2" t="s">
        <v>3057</v>
      </c>
      <c r="C1039" s="2" t="s">
        <v>7</v>
      </c>
      <c r="D1039" s="2" t="s">
        <v>3058</v>
      </c>
      <c r="E1039" s="2" t="s">
        <v>3059</v>
      </c>
      <c r="F1039" s="6">
        <v>45850.458333333336</v>
      </c>
      <c r="G1039" s="2">
        <v>61207.0</v>
      </c>
      <c r="H1039" s="2">
        <v>61207.0</v>
      </c>
      <c r="I1039" s="2">
        <v>52965.0</v>
      </c>
      <c r="J1039" s="2">
        <v>356.0</v>
      </c>
      <c r="K1039" s="2">
        <v>285.0</v>
      </c>
      <c r="L1039" s="2">
        <v>7.0</v>
      </c>
      <c r="M1039" s="4">
        <v>15096.0</v>
      </c>
      <c r="N1039" s="2" t="s">
        <v>30</v>
      </c>
      <c r="O1039" s="2">
        <v>70.0</v>
      </c>
      <c r="P1039" s="2" t="s">
        <v>189</v>
      </c>
      <c r="Q1039" s="2" t="s">
        <v>32</v>
      </c>
      <c r="R1039" s="2">
        <v>38.0</v>
      </c>
      <c r="U1039" s="2" t="b">
        <v>0</v>
      </c>
      <c r="V1039" s="5">
        <v>0.0054</v>
      </c>
      <c r="W1039" s="5">
        <v>0.0246</v>
      </c>
      <c r="X1039" s="5">
        <v>1.32E-4</v>
      </c>
      <c r="Y1039" s="2">
        <v>52.96842105</v>
      </c>
      <c r="Z1039" s="2">
        <v>4263.0</v>
      </c>
      <c r="AA1039" s="2" t="s">
        <v>33</v>
      </c>
    </row>
    <row r="1040">
      <c r="A1040" s="2">
        <v>2515.0</v>
      </c>
      <c r="B1040" s="2" t="s">
        <v>3060</v>
      </c>
      <c r="C1040" s="2" t="s">
        <v>7</v>
      </c>
      <c r="D1040" s="2" t="s">
        <v>3061</v>
      </c>
      <c r="E1040" s="2" t="s">
        <v>3062</v>
      </c>
      <c r="F1040" s="6">
        <v>45850.625</v>
      </c>
      <c r="G1040" s="2">
        <v>47326.0</v>
      </c>
      <c r="H1040" s="2">
        <v>47326.0</v>
      </c>
      <c r="I1040" s="2">
        <v>39652.0</v>
      </c>
      <c r="J1040" s="2">
        <v>349.0</v>
      </c>
      <c r="K1040" s="2">
        <v>280.0</v>
      </c>
      <c r="L1040" s="2">
        <v>5.0</v>
      </c>
      <c r="M1040" s="4">
        <v>30785.0</v>
      </c>
      <c r="N1040" s="2" t="s">
        <v>36</v>
      </c>
      <c r="O1040" s="2">
        <v>71.0</v>
      </c>
      <c r="P1040" s="2" t="s">
        <v>31</v>
      </c>
      <c r="Q1040" s="2" t="s">
        <v>32</v>
      </c>
      <c r="R1040" s="2">
        <v>31.0</v>
      </c>
      <c r="U1040" s="2" t="b">
        <v>0</v>
      </c>
      <c r="V1040" s="5">
        <v>0.0071</v>
      </c>
      <c r="W1040" s="5">
        <v>0.0179</v>
      </c>
      <c r="X1040" s="5">
        <v>1.26E-4</v>
      </c>
      <c r="Y1040" s="2">
        <v>109.9464286</v>
      </c>
      <c r="AA1040" s="2" t="s">
        <v>33</v>
      </c>
    </row>
    <row r="1041">
      <c r="A1041" s="2">
        <v>2536.0</v>
      </c>
      <c r="B1041" s="2" t="s">
        <v>3063</v>
      </c>
      <c r="C1041" s="2" t="s">
        <v>7</v>
      </c>
      <c r="D1041" s="2" t="s">
        <v>3064</v>
      </c>
      <c r="E1041" s="2" t="s">
        <v>3065</v>
      </c>
      <c r="F1041" s="6">
        <v>45850.625</v>
      </c>
      <c r="G1041" s="2">
        <v>4613.0</v>
      </c>
      <c r="H1041" s="2">
        <v>4613.0</v>
      </c>
      <c r="I1041" s="2">
        <v>3932.0</v>
      </c>
      <c r="J1041" s="2">
        <v>48.0</v>
      </c>
      <c r="K1041" s="2">
        <v>39.0</v>
      </c>
      <c r="L1041" s="2">
        <v>2.0</v>
      </c>
      <c r="M1041" s="4">
        <v>1974.0</v>
      </c>
      <c r="N1041" s="2" t="s">
        <v>423</v>
      </c>
      <c r="O1041" s="2">
        <v>119.0</v>
      </c>
      <c r="P1041" s="2" t="s">
        <v>189</v>
      </c>
      <c r="Q1041" s="2" t="s">
        <v>1367</v>
      </c>
      <c r="R1041" s="2">
        <v>27.0</v>
      </c>
      <c r="U1041" s="2" t="b">
        <v>0</v>
      </c>
      <c r="V1041" s="5">
        <v>0.0099</v>
      </c>
      <c r="W1041" s="5">
        <v>0.0513</v>
      </c>
      <c r="X1041" s="5">
        <v>5.09E-4</v>
      </c>
      <c r="Y1041" s="2">
        <v>50.61538462</v>
      </c>
      <c r="AA1041" s="2" t="s">
        <v>423</v>
      </c>
    </row>
    <row r="1042">
      <c r="A1042" s="2">
        <v>2514.0</v>
      </c>
      <c r="B1042" s="2" t="s">
        <v>3066</v>
      </c>
      <c r="C1042" s="2" t="s">
        <v>7</v>
      </c>
      <c r="D1042" s="2" t="s">
        <v>3067</v>
      </c>
      <c r="E1042" s="2" t="s">
        <v>3068</v>
      </c>
      <c r="F1042" s="6">
        <v>45850.625</v>
      </c>
      <c r="G1042" s="2">
        <v>61301.0</v>
      </c>
      <c r="H1042" s="2">
        <v>61301.0</v>
      </c>
      <c r="I1042" s="2">
        <v>53398.0</v>
      </c>
      <c r="J1042" s="2">
        <v>456.0</v>
      </c>
      <c r="K1042" s="2">
        <v>370.0</v>
      </c>
      <c r="L1042" s="2">
        <v>9.0</v>
      </c>
      <c r="M1042" s="4">
        <v>18859.0</v>
      </c>
      <c r="N1042" s="2" t="s">
        <v>30</v>
      </c>
      <c r="O1042" s="2">
        <v>70.0</v>
      </c>
      <c r="P1042" s="2" t="s">
        <v>189</v>
      </c>
      <c r="Q1042" s="2" t="s">
        <v>32</v>
      </c>
      <c r="R1042" s="2">
        <v>30.0</v>
      </c>
      <c r="T1042" s="2" t="s">
        <v>405</v>
      </c>
      <c r="U1042" s="2" t="b">
        <v>0</v>
      </c>
      <c r="V1042" s="5">
        <v>0.0069</v>
      </c>
      <c r="W1042" s="5">
        <v>0.0243</v>
      </c>
      <c r="X1042" s="5">
        <v>1.69E-4</v>
      </c>
      <c r="Y1042" s="2">
        <v>50.97027027</v>
      </c>
      <c r="Z1042" s="2">
        <v>4096.0</v>
      </c>
      <c r="AA1042" s="2" t="s">
        <v>33</v>
      </c>
    </row>
    <row r="1043">
      <c r="A1043" s="2">
        <v>2524.0</v>
      </c>
      <c r="B1043" s="2" t="s">
        <v>3069</v>
      </c>
      <c r="C1043" s="2" t="s">
        <v>7</v>
      </c>
      <c r="D1043" s="2" t="s">
        <v>3070</v>
      </c>
      <c r="E1043" s="2" t="s">
        <v>3071</v>
      </c>
      <c r="F1043" s="6">
        <v>45850.708333333336</v>
      </c>
      <c r="G1043" s="2">
        <v>47361.0</v>
      </c>
      <c r="H1043" s="2">
        <v>47361.0</v>
      </c>
      <c r="I1043" s="2">
        <v>39930.0</v>
      </c>
      <c r="J1043" s="2">
        <v>412.0</v>
      </c>
      <c r="K1043" s="2">
        <v>328.0</v>
      </c>
      <c r="L1043" s="2">
        <v>7.0</v>
      </c>
      <c r="M1043" s="4">
        <v>12165.0</v>
      </c>
      <c r="N1043" s="2" t="s">
        <v>36</v>
      </c>
      <c r="O1043" s="2">
        <v>71.0</v>
      </c>
      <c r="P1043" s="2" t="s">
        <v>31</v>
      </c>
      <c r="Q1043" s="2" t="s">
        <v>32</v>
      </c>
      <c r="R1043" s="2">
        <v>35.0</v>
      </c>
      <c r="T1043" s="2" t="s">
        <v>405</v>
      </c>
      <c r="U1043" s="2" t="b">
        <v>0</v>
      </c>
      <c r="V1043" s="5">
        <v>0.0082</v>
      </c>
      <c r="W1043" s="5">
        <v>0.0213</v>
      </c>
      <c r="X1043" s="5">
        <v>1.75E-4</v>
      </c>
      <c r="Y1043" s="2">
        <v>37.08841463</v>
      </c>
      <c r="AA1043" s="2" t="s">
        <v>33</v>
      </c>
    </row>
    <row r="1044">
      <c r="A1044" s="2">
        <v>2537.0</v>
      </c>
      <c r="B1044" s="2" t="s">
        <v>3072</v>
      </c>
      <c r="C1044" s="2" t="s">
        <v>7</v>
      </c>
      <c r="D1044" s="2" t="s">
        <v>3073</v>
      </c>
      <c r="E1044" s="2" t="s">
        <v>3074</v>
      </c>
      <c r="F1044" s="6">
        <v>45850.708333333336</v>
      </c>
      <c r="G1044" s="2">
        <v>4614.0</v>
      </c>
      <c r="H1044" s="2">
        <v>4614.0</v>
      </c>
      <c r="I1044" s="2">
        <v>3947.0</v>
      </c>
      <c r="J1044" s="2">
        <v>49.0</v>
      </c>
      <c r="K1044" s="2">
        <v>40.0</v>
      </c>
      <c r="L1044" s="2">
        <v>1.0</v>
      </c>
      <c r="M1044" s="4">
        <v>7594.0</v>
      </c>
      <c r="N1044" s="2" t="s">
        <v>423</v>
      </c>
      <c r="O1044" s="2">
        <v>119.0</v>
      </c>
      <c r="P1044" s="2" t="s">
        <v>31</v>
      </c>
      <c r="Q1044" s="2" t="s">
        <v>1367</v>
      </c>
      <c r="R1044" s="2">
        <v>33.0</v>
      </c>
      <c r="T1044" s="2" t="s">
        <v>47</v>
      </c>
      <c r="U1044" s="2" t="b">
        <v>0</v>
      </c>
      <c r="V1044" s="5">
        <v>0.0101</v>
      </c>
      <c r="W1044" s="5">
        <v>0.025</v>
      </c>
      <c r="X1044" s="5">
        <v>2.53E-4</v>
      </c>
      <c r="Y1044" s="2">
        <v>189.85</v>
      </c>
      <c r="AA1044" s="2" t="s">
        <v>423</v>
      </c>
    </row>
    <row r="1045">
      <c r="A1045" s="2">
        <v>2523.0</v>
      </c>
      <c r="B1045" s="2" t="s">
        <v>3075</v>
      </c>
      <c r="C1045" s="2" t="s">
        <v>7</v>
      </c>
      <c r="D1045" s="2" t="s">
        <v>3076</v>
      </c>
      <c r="E1045" s="2" t="s">
        <v>3077</v>
      </c>
      <c r="F1045" s="6">
        <v>45850.708333333336</v>
      </c>
      <c r="G1045" s="2">
        <v>61347.0</v>
      </c>
      <c r="H1045" s="2">
        <v>61347.0</v>
      </c>
      <c r="I1045" s="2">
        <v>53426.0</v>
      </c>
      <c r="J1045" s="2">
        <v>523.0</v>
      </c>
      <c r="K1045" s="2">
        <v>424.0</v>
      </c>
      <c r="L1045" s="2">
        <v>4.0</v>
      </c>
      <c r="M1045" s="4">
        <v>7855.0</v>
      </c>
      <c r="N1045" s="2" t="s">
        <v>30</v>
      </c>
      <c r="O1045" s="2">
        <v>70.0</v>
      </c>
      <c r="P1045" s="2" t="s">
        <v>31</v>
      </c>
      <c r="Q1045" s="2" t="s">
        <v>32</v>
      </c>
      <c r="R1045" s="2">
        <v>39.0</v>
      </c>
      <c r="T1045" s="2" t="s">
        <v>47</v>
      </c>
      <c r="U1045" s="2" t="b">
        <v>0</v>
      </c>
      <c r="V1045" s="5">
        <v>0.0079</v>
      </c>
      <c r="W1045" s="5">
        <v>0.0094</v>
      </c>
      <c r="X1045" s="5">
        <v>7.5E-5</v>
      </c>
      <c r="Y1045" s="2">
        <v>18.5259434</v>
      </c>
      <c r="AA1045" s="2" t="s">
        <v>33</v>
      </c>
    </row>
    <row r="1046">
      <c r="A1046" s="2">
        <v>2538.0</v>
      </c>
      <c r="B1046" s="2" t="s">
        <v>3078</v>
      </c>
      <c r="C1046" s="2" t="s">
        <v>7</v>
      </c>
      <c r="D1046" s="2" t="s">
        <v>3079</v>
      </c>
      <c r="E1046" s="2" t="s">
        <v>3080</v>
      </c>
      <c r="F1046" s="6">
        <v>45850.791666666664</v>
      </c>
      <c r="G1046" s="2">
        <v>4616.0</v>
      </c>
      <c r="H1046" s="2">
        <v>4616.0</v>
      </c>
      <c r="I1046" s="2">
        <v>3951.0</v>
      </c>
      <c r="J1046" s="2">
        <v>54.0</v>
      </c>
      <c r="K1046" s="2">
        <v>38.0</v>
      </c>
      <c r="L1046" s="2">
        <v>0.0</v>
      </c>
      <c r="M1046" s="2">
        <v>0.0</v>
      </c>
      <c r="N1046" s="2" t="s">
        <v>423</v>
      </c>
      <c r="O1046" s="2">
        <v>119.0</v>
      </c>
      <c r="P1046" s="2" t="s">
        <v>31</v>
      </c>
      <c r="Q1046" s="2" t="s">
        <v>1367</v>
      </c>
      <c r="R1046" s="2">
        <v>33.0</v>
      </c>
      <c r="U1046" s="2" t="b">
        <v>0</v>
      </c>
      <c r="V1046" s="5">
        <v>0.0096</v>
      </c>
      <c r="W1046" s="5">
        <v>0.0</v>
      </c>
      <c r="X1046" s="5">
        <v>0.0</v>
      </c>
      <c r="Y1046" s="2">
        <v>0.0</v>
      </c>
      <c r="AA1046" s="2" t="s">
        <v>423</v>
      </c>
    </row>
    <row r="1047">
      <c r="A1047" s="2">
        <v>2528.0</v>
      </c>
      <c r="B1047" s="2" t="s">
        <v>3081</v>
      </c>
      <c r="C1047" s="2" t="s">
        <v>7</v>
      </c>
      <c r="D1047" s="2" t="s">
        <v>3082</v>
      </c>
      <c r="E1047" s="2" t="s">
        <v>3083</v>
      </c>
      <c r="F1047" s="6">
        <v>45851.458333333336</v>
      </c>
      <c r="G1047" s="2">
        <v>47461.0</v>
      </c>
      <c r="H1047" s="2">
        <v>47461.0</v>
      </c>
      <c r="I1047" s="2">
        <v>39613.0</v>
      </c>
      <c r="J1047" s="2">
        <v>304.0</v>
      </c>
      <c r="K1047" s="2">
        <v>239.0</v>
      </c>
      <c r="L1047" s="2">
        <v>3.0</v>
      </c>
      <c r="M1047" s="4">
        <v>11390.0</v>
      </c>
      <c r="N1047" s="2" t="s">
        <v>36</v>
      </c>
      <c r="O1047" s="2">
        <v>71.0</v>
      </c>
      <c r="P1047" s="2" t="s">
        <v>31</v>
      </c>
      <c r="Q1047" s="2" t="s">
        <v>32</v>
      </c>
      <c r="R1047" s="2">
        <v>27.0</v>
      </c>
      <c r="T1047" s="2" t="s">
        <v>1185</v>
      </c>
      <c r="U1047" s="2" t="b">
        <v>0</v>
      </c>
      <c r="V1047" s="5">
        <v>0.006</v>
      </c>
      <c r="W1047" s="5">
        <v>0.0126</v>
      </c>
      <c r="X1047" s="5">
        <v>7.6E-5</v>
      </c>
      <c r="Y1047" s="2">
        <v>47.65690377</v>
      </c>
      <c r="AA1047" s="2" t="s">
        <v>33</v>
      </c>
    </row>
    <row r="1048">
      <c r="A1048" s="2">
        <v>2527.0</v>
      </c>
      <c r="B1048" s="2" t="s">
        <v>3084</v>
      </c>
      <c r="C1048" s="2" t="s">
        <v>7</v>
      </c>
      <c r="D1048" s="2" t="s">
        <v>3085</v>
      </c>
      <c r="E1048" s="2" t="s">
        <v>3086</v>
      </c>
      <c r="F1048" s="6">
        <v>45851.458333333336</v>
      </c>
      <c r="G1048" s="2">
        <v>61454.0</v>
      </c>
      <c r="H1048" s="2">
        <v>61454.0</v>
      </c>
      <c r="I1048" s="2">
        <v>53182.0</v>
      </c>
      <c r="J1048" s="2">
        <v>371.0</v>
      </c>
      <c r="K1048" s="2">
        <v>308.0</v>
      </c>
      <c r="L1048" s="2">
        <v>4.0</v>
      </c>
      <c r="M1048" s="4">
        <v>9819.0</v>
      </c>
      <c r="N1048" s="2" t="s">
        <v>30</v>
      </c>
      <c r="O1048" s="2">
        <v>70.0</v>
      </c>
      <c r="P1048" s="2" t="s">
        <v>31</v>
      </c>
      <c r="Q1048" s="2" t="s">
        <v>32</v>
      </c>
      <c r="R1048" s="2">
        <v>26.0</v>
      </c>
      <c r="U1048" s="2" t="b">
        <v>0</v>
      </c>
      <c r="V1048" s="5">
        <v>0.0058</v>
      </c>
      <c r="W1048" s="5">
        <v>0.013</v>
      </c>
      <c r="X1048" s="5">
        <v>7.5E-5</v>
      </c>
      <c r="Y1048" s="2">
        <v>31.87987013</v>
      </c>
      <c r="Z1048" s="2">
        <v>4669.0</v>
      </c>
      <c r="AA1048" s="2" t="s">
        <v>33</v>
      </c>
    </row>
    <row r="1049">
      <c r="A1049" s="2">
        <v>2539.0</v>
      </c>
      <c r="B1049" s="2" t="s">
        <v>3087</v>
      </c>
      <c r="C1049" s="2" t="s">
        <v>7</v>
      </c>
      <c r="D1049" s="2" t="s">
        <v>3088</v>
      </c>
      <c r="E1049" s="2" t="s">
        <v>3089</v>
      </c>
      <c r="F1049" s="6">
        <v>45851.625</v>
      </c>
      <c r="G1049" s="2">
        <v>4634.0</v>
      </c>
      <c r="H1049" s="2">
        <v>4634.0</v>
      </c>
      <c r="I1049" s="2">
        <v>3940.0</v>
      </c>
      <c r="J1049" s="2">
        <v>58.0</v>
      </c>
      <c r="K1049" s="2">
        <v>44.0</v>
      </c>
      <c r="L1049" s="2">
        <v>2.0</v>
      </c>
      <c r="M1049" s="4">
        <v>8795.0</v>
      </c>
      <c r="N1049" s="2" t="s">
        <v>423</v>
      </c>
      <c r="O1049" s="2">
        <v>119.0</v>
      </c>
      <c r="P1049" s="2" t="s">
        <v>31</v>
      </c>
      <c r="Q1049" s="2" t="s">
        <v>1367</v>
      </c>
      <c r="R1049" s="2">
        <v>35.0</v>
      </c>
      <c r="T1049" s="2" t="s">
        <v>58</v>
      </c>
      <c r="U1049" s="2" t="b">
        <v>0</v>
      </c>
      <c r="V1049" s="5">
        <v>0.0112</v>
      </c>
      <c r="W1049" s="5">
        <v>0.0455</v>
      </c>
      <c r="X1049" s="5">
        <v>5.08E-4</v>
      </c>
      <c r="Y1049" s="2">
        <v>199.8863636</v>
      </c>
      <c r="AA1049" s="2" t="s">
        <v>423</v>
      </c>
    </row>
    <row r="1050">
      <c r="A1050" s="2">
        <v>2530.0</v>
      </c>
      <c r="B1050" s="2" t="s">
        <v>3090</v>
      </c>
      <c r="C1050" s="2" t="s">
        <v>7</v>
      </c>
      <c r="D1050" s="2" t="s">
        <v>3091</v>
      </c>
      <c r="E1050" s="2" t="s">
        <v>3092</v>
      </c>
      <c r="F1050" s="6">
        <v>45851.625</v>
      </c>
      <c r="G1050" s="2">
        <v>47502.0</v>
      </c>
      <c r="H1050" s="2">
        <v>47502.0</v>
      </c>
      <c r="I1050" s="2">
        <v>40028.0</v>
      </c>
      <c r="J1050" s="2">
        <v>326.0</v>
      </c>
      <c r="K1050" s="2">
        <v>270.0</v>
      </c>
      <c r="L1050" s="2">
        <v>1.0</v>
      </c>
      <c r="M1050" s="4">
        <v>4590.0</v>
      </c>
      <c r="N1050" s="2" t="s">
        <v>36</v>
      </c>
      <c r="O1050" s="2">
        <v>71.0</v>
      </c>
      <c r="P1050" s="2" t="s">
        <v>31</v>
      </c>
      <c r="Q1050" s="2" t="s">
        <v>32</v>
      </c>
      <c r="R1050" s="2">
        <v>39.0</v>
      </c>
      <c r="U1050" s="2" t="b">
        <v>1</v>
      </c>
      <c r="V1050" s="5">
        <v>0.0067</v>
      </c>
      <c r="W1050" s="5">
        <v>0.0037</v>
      </c>
      <c r="X1050" s="5">
        <v>2.5E-5</v>
      </c>
      <c r="Y1050" s="2">
        <v>17.0</v>
      </c>
      <c r="AA1050" s="2" t="s">
        <v>33</v>
      </c>
    </row>
    <row r="1051">
      <c r="A1051" s="2">
        <v>2529.0</v>
      </c>
      <c r="B1051" s="2" t="s">
        <v>3093</v>
      </c>
      <c r="C1051" s="2" t="s">
        <v>7</v>
      </c>
      <c r="D1051" s="2" t="s">
        <v>2013</v>
      </c>
      <c r="E1051" s="2" t="s">
        <v>3094</v>
      </c>
      <c r="F1051" s="6">
        <v>45851.625</v>
      </c>
      <c r="G1051" s="2">
        <v>61492.0</v>
      </c>
      <c r="H1051" s="2">
        <v>61492.0</v>
      </c>
      <c r="I1051" s="2">
        <v>53472.0</v>
      </c>
      <c r="J1051" s="2">
        <v>442.0</v>
      </c>
      <c r="K1051" s="2">
        <v>354.0</v>
      </c>
      <c r="L1051" s="2">
        <v>3.0</v>
      </c>
      <c r="M1051" s="4">
        <v>6815.0</v>
      </c>
      <c r="N1051" s="2" t="s">
        <v>30</v>
      </c>
      <c r="O1051" s="2">
        <v>70.0</v>
      </c>
      <c r="P1051" s="2" t="s">
        <v>31</v>
      </c>
      <c r="Q1051" s="2" t="s">
        <v>32</v>
      </c>
      <c r="R1051" s="2">
        <v>37.0</v>
      </c>
      <c r="U1051" s="2" t="b">
        <v>0</v>
      </c>
      <c r="V1051" s="5">
        <v>0.0066</v>
      </c>
      <c r="W1051" s="5">
        <v>0.0085</v>
      </c>
      <c r="X1051" s="5">
        <v>5.6E-5</v>
      </c>
      <c r="Y1051" s="2">
        <v>19.25141243</v>
      </c>
      <c r="Z1051" s="2">
        <v>894.0</v>
      </c>
      <c r="AA1051" s="2" t="s">
        <v>33</v>
      </c>
    </row>
    <row r="1052">
      <c r="A1052" s="2">
        <v>2532.0</v>
      </c>
      <c r="B1052" s="2" t="s">
        <v>3095</v>
      </c>
      <c r="C1052" s="2" t="s">
        <v>7</v>
      </c>
      <c r="D1052" s="2" t="s">
        <v>3096</v>
      </c>
      <c r="E1052" s="2" t="s">
        <v>3097</v>
      </c>
      <c r="F1052" s="6">
        <v>45851.708333333336</v>
      </c>
      <c r="G1052" s="2">
        <v>47520.0</v>
      </c>
      <c r="H1052" s="2">
        <v>47520.0</v>
      </c>
      <c r="I1052" s="2">
        <v>39988.0</v>
      </c>
      <c r="J1052" s="2">
        <v>316.0</v>
      </c>
      <c r="K1052" s="2">
        <v>252.0</v>
      </c>
      <c r="L1052" s="2">
        <v>1.0</v>
      </c>
      <c r="M1052" s="4">
        <v>2700.0</v>
      </c>
      <c r="N1052" s="2" t="s">
        <v>36</v>
      </c>
      <c r="O1052" s="2">
        <v>71.0</v>
      </c>
      <c r="P1052" s="2" t="s">
        <v>189</v>
      </c>
      <c r="Q1052" s="2" t="s">
        <v>32</v>
      </c>
      <c r="R1052" s="2">
        <v>49.0</v>
      </c>
      <c r="U1052" s="2" t="b">
        <v>0</v>
      </c>
      <c r="V1052" s="5">
        <v>0.0063</v>
      </c>
      <c r="W1052" s="5">
        <v>0.004</v>
      </c>
      <c r="X1052" s="5">
        <v>2.5E-5</v>
      </c>
      <c r="Y1052" s="2">
        <v>10.71428571</v>
      </c>
      <c r="AA1052" s="2" t="s">
        <v>33</v>
      </c>
    </row>
    <row r="1053">
      <c r="A1053" s="2">
        <v>2540.0</v>
      </c>
      <c r="B1053" s="2" t="s">
        <v>3098</v>
      </c>
      <c r="C1053" s="2" t="s">
        <v>7</v>
      </c>
      <c r="D1053" s="2" t="s">
        <v>3099</v>
      </c>
      <c r="E1053" s="2" t="s">
        <v>3100</v>
      </c>
      <c r="F1053" s="6">
        <v>45851.708333333336</v>
      </c>
      <c r="G1053" s="2">
        <v>4624.0</v>
      </c>
      <c r="H1053" s="2">
        <v>4624.0</v>
      </c>
      <c r="I1053" s="2">
        <v>3949.0</v>
      </c>
      <c r="J1053" s="2">
        <v>63.0</v>
      </c>
      <c r="K1053" s="2">
        <v>53.0</v>
      </c>
      <c r="L1053" s="2">
        <v>1.0</v>
      </c>
      <c r="M1053" s="4">
        <v>1499.0</v>
      </c>
      <c r="N1053" s="2" t="s">
        <v>423</v>
      </c>
      <c r="O1053" s="2">
        <v>119.0</v>
      </c>
      <c r="P1053" s="2" t="s">
        <v>189</v>
      </c>
      <c r="Q1053" s="2" t="s">
        <v>1367</v>
      </c>
      <c r="R1053" s="2">
        <v>35.0</v>
      </c>
      <c r="T1053" s="2" t="s">
        <v>47</v>
      </c>
      <c r="U1053" s="2" t="b">
        <v>0</v>
      </c>
      <c r="V1053" s="5">
        <v>0.0134</v>
      </c>
      <c r="W1053" s="5">
        <v>0.0189</v>
      </c>
      <c r="X1053" s="5">
        <v>2.53E-4</v>
      </c>
      <c r="Y1053" s="2">
        <v>28.28301887</v>
      </c>
      <c r="AA1053" s="2" t="s">
        <v>423</v>
      </c>
    </row>
    <row r="1054">
      <c r="A1054" s="2">
        <v>2531.0</v>
      </c>
      <c r="B1054" s="2" t="s">
        <v>3101</v>
      </c>
      <c r="C1054" s="2" t="s">
        <v>7</v>
      </c>
      <c r="D1054" s="2" t="s">
        <v>3102</v>
      </c>
      <c r="E1054" s="2" t="s">
        <v>3103</v>
      </c>
      <c r="F1054" s="6">
        <v>45851.708333333336</v>
      </c>
      <c r="G1054" s="2">
        <v>61524.0</v>
      </c>
      <c r="H1054" s="2">
        <v>61524.0</v>
      </c>
      <c r="I1054" s="2">
        <v>53539.0</v>
      </c>
      <c r="J1054" s="2">
        <v>448.0</v>
      </c>
      <c r="K1054" s="2">
        <v>380.0</v>
      </c>
      <c r="L1054" s="2">
        <v>4.0</v>
      </c>
      <c r="M1054" s="4">
        <v>16017.0</v>
      </c>
      <c r="N1054" s="2" t="s">
        <v>30</v>
      </c>
      <c r="O1054" s="2">
        <v>70.0</v>
      </c>
      <c r="P1054" s="2" t="s">
        <v>189</v>
      </c>
      <c r="Q1054" s="2" t="s">
        <v>32</v>
      </c>
      <c r="R1054" s="2">
        <v>37.0</v>
      </c>
      <c r="T1054" s="2" t="s">
        <v>47</v>
      </c>
      <c r="U1054" s="2" t="b">
        <v>0</v>
      </c>
      <c r="V1054" s="5">
        <v>0.0071</v>
      </c>
      <c r="W1054" s="5">
        <v>0.0105</v>
      </c>
      <c r="X1054" s="5">
        <v>7.5E-5</v>
      </c>
      <c r="Y1054" s="2">
        <v>42.15</v>
      </c>
      <c r="Z1054" s="2">
        <v>4801.0</v>
      </c>
      <c r="AA1054" s="2" t="s">
        <v>33</v>
      </c>
    </row>
    <row r="1055">
      <c r="A1055" s="2">
        <v>2541.0</v>
      </c>
      <c r="B1055" s="2" t="s">
        <v>3104</v>
      </c>
      <c r="C1055" s="2" t="s">
        <v>7</v>
      </c>
      <c r="D1055" s="2" t="s">
        <v>3105</v>
      </c>
      <c r="E1055" s="2" t="s">
        <v>3106</v>
      </c>
      <c r="F1055" s="6">
        <v>45851.791666666664</v>
      </c>
      <c r="G1055" s="2">
        <v>4637.0</v>
      </c>
      <c r="H1055" s="2">
        <v>4637.0</v>
      </c>
      <c r="I1055" s="2">
        <v>3945.0</v>
      </c>
      <c r="J1055" s="2">
        <v>46.0</v>
      </c>
      <c r="K1055" s="2">
        <v>38.0</v>
      </c>
      <c r="L1055" s="2">
        <v>2.0</v>
      </c>
      <c r="M1055" s="4">
        <v>11429.0</v>
      </c>
      <c r="N1055" s="2" t="s">
        <v>423</v>
      </c>
      <c r="O1055" s="2">
        <v>119.0</v>
      </c>
      <c r="P1055" s="2" t="s">
        <v>189</v>
      </c>
      <c r="Q1055" s="2" t="s">
        <v>1367</v>
      </c>
      <c r="R1055" s="2">
        <v>30.0</v>
      </c>
      <c r="T1055" s="2" t="s">
        <v>47</v>
      </c>
      <c r="U1055" s="2" t="b">
        <v>0</v>
      </c>
      <c r="V1055" s="5">
        <v>0.0096</v>
      </c>
      <c r="W1055" s="5">
        <v>0.0526</v>
      </c>
      <c r="X1055" s="5">
        <v>5.07E-4</v>
      </c>
      <c r="Y1055" s="2">
        <v>300.7631579</v>
      </c>
      <c r="AA1055" s="2" t="s">
        <v>423</v>
      </c>
    </row>
    <row r="1056">
      <c r="A1056" s="2">
        <v>2548.0</v>
      </c>
      <c r="B1056" s="2" t="s">
        <v>3107</v>
      </c>
      <c r="C1056" s="2" t="s">
        <v>7</v>
      </c>
      <c r="D1056" s="2" t="s">
        <v>3108</v>
      </c>
      <c r="E1056" s="2" t="s">
        <v>3109</v>
      </c>
      <c r="F1056" s="6">
        <v>45852.51597222222</v>
      </c>
      <c r="G1056" s="2">
        <v>61566.0</v>
      </c>
      <c r="H1056" s="2">
        <v>61566.0</v>
      </c>
      <c r="I1056" s="2">
        <v>53613.0</v>
      </c>
      <c r="J1056" s="2">
        <v>345.0</v>
      </c>
      <c r="K1056" s="2">
        <v>294.0</v>
      </c>
      <c r="L1056" s="2">
        <v>4.0</v>
      </c>
      <c r="M1056" s="4">
        <v>7376.0</v>
      </c>
      <c r="N1056" s="2" t="s">
        <v>30</v>
      </c>
      <c r="O1056" s="2">
        <v>70.0</v>
      </c>
      <c r="P1056" s="2" t="s">
        <v>189</v>
      </c>
      <c r="Q1056" s="2" t="s">
        <v>32</v>
      </c>
      <c r="R1056" s="2">
        <v>29.0</v>
      </c>
      <c r="U1056" s="2" t="b">
        <v>0</v>
      </c>
      <c r="V1056" s="5">
        <v>0.0055</v>
      </c>
      <c r="W1056" s="5">
        <v>0.0136</v>
      </c>
      <c r="X1056" s="5">
        <v>7.5E-5</v>
      </c>
      <c r="Y1056" s="2">
        <v>25.08843537</v>
      </c>
      <c r="Z1056" s="2" t="s">
        <v>3110</v>
      </c>
      <c r="AA1056" s="2" t="s">
        <v>33</v>
      </c>
    </row>
    <row r="1057">
      <c r="A1057" s="2">
        <v>2549.0</v>
      </c>
      <c r="B1057" s="2" t="s">
        <v>3111</v>
      </c>
      <c r="C1057" s="2" t="s">
        <v>7</v>
      </c>
      <c r="D1057" s="2" t="s">
        <v>3112</v>
      </c>
      <c r="E1057" s="2" t="s">
        <v>3113</v>
      </c>
      <c r="F1057" s="6">
        <v>45852.51736111111</v>
      </c>
      <c r="G1057" s="2">
        <v>47581.0</v>
      </c>
      <c r="H1057" s="2">
        <v>47581.0</v>
      </c>
      <c r="I1057" s="2">
        <v>40040.0</v>
      </c>
      <c r="J1057" s="2">
        <v>316.0</v>
      </c>
      <c r="K1057" s="2">
        <v>254.0</v>
      </c>
      <c r="L1057" s="2">
        <v>2.0</v>
      </c>
      <c r="M1057" s="4">
        <v>4372.0</v>
      </c>
      <c r="N1057" s="2" t="s">
        <v>36</v>
      </c>
      <c r="O1057" s="2">
        <v>71.0</v>
      </c>
      <c r="P1057" s="2" t="s">
        <v>189</v>
      </c>
      <c r="Q1057" s="2" t="s">
        <v>32</v>
      </c>
      <c r="R1057" s="2">
        <v>32.0</v>
      </c>
      <c r="U1057" s="2" t="b">
        <v>0</v>
      </c>
      <c r="V1057" s="5">
        <v>0.0063</v>
      </c>
      <c r="W1057" s="5">
        <v>0.0079</v>
      </c>
      <c r="X1057" s="5">
        <v>5.0E-5</v>
      </c>
      <c r="Y1057" s="2">
        <v>17.21259843</v>
      </c>
      <c r="AA1057" s="2" t="s">
        <v>33</v>
      </c>
    </row>
    <row r="1058">
      <c r="A1058" s="2">
        <v>2551.0</v>
      </c>
      <c r="B1058" s="2" t="s">
        <v>3114</v>
      </c>
      <c r="C1058" s="2" t="s">
        <v>7</v>
      </c>
      <c r="D1058" s="2" t="s">
        <v>3115</v>
      </c>
      <c r="E1058" s="2" t="s">
        <v>3116</v>
      </c>
      <c r="F1058" s="6">
        <v>45852.625</v>
      </c>
      <c r="G1058" s="2">
        <v>47551.0</v>
      </c>
      <c r="H1058" s="2">
        <v>47551.0</v>
      </c>
      <c r="I1058" s="2">
        <v>40202.0</v>
      </c>
      <c r="J1058" s="2">
        <v>323.0</v>
      </c>
      <c r="K1058" s="2">
        <v>257.0</v>
      </c>
      <c r="L1058" s="2">
        <v>8.0</v>
      </c>
      <c r="M1058" s="4">
        <v>34924.0</v>
      </c>
      <c r="N1058" s="2" t="s">
        <v>36</v>
      </c>
      <c r="O1058" s="2">
        <v>71.0</v>
      </c>
      <c r="P1058" s="2" t="s">
        <v>31</v>
      </c>
      <c r="Q1058" s="2" t="s">
        <v>32</v>
      </c>
      <c r="R1058" s="2">
        <v>47.0</v>
      </c>
      <c r="U1058" s="2" t="b">
        <v>0</v>
      </c>
      <c r="V1058" s="5">
        <v>0.0064</v>
      </c>
      <c r="W1058" s="5">
        <v>0.0311</v>
      </c>
      <c r="X1058" s="5">
        <v>1.99E-4</v>
      </c>
      <c r="Y1058" s="2">
        <v>135.8910506</v>
      </c>
      <c r="AA1058" s="2" t="s">
        <v>33</v>
      </c>
    </row>
    <row r="1059">
      <c r="A1059" s="2">
        <v>2550.0</v>
      </c>
      <c r="B1059" s="2" t="s">
        <v>3117</v>
      </c>
      <c r="C1059" s="2" t="s">
        <v>7</v>
      </c>
      <c r="D1059" s="2" t="s">
        <v>3118</v>
      </c>
      <c r="E1059" s="2" t="s">
        <v>3119</v>
      </c>
      <c r="F1059" s="6">
        <v>45852.625</v>
      </c>
      <c r="G1059" s="2">
        <v>61566.0</v>
      </c>
      <c r="H1059" s="2">
        <v>61566.0</v>
      </c>
      <c r="I1059" s="2">
        <v>53599.0</v>
      </c>
      <c r="J1059" s="2">
        <v>379.0</v>
      </c>
      <c r="K1059" s="2">
        <v>308.0</v>
      </c>
      <c r="L1059" s="2">
        <v>4.0</v>
      </c>
      <c r="M1059" s="4">
        <v>69490.0</v>
      </c>
      <c r="N1059" s="2" t="s">
        <v>30</v>
      </c>
      <c r="O1059" s="2">
        <v>70.0</v>
      </c>
      <c r="P1059" s="2" t="s">
        <v>31</v>
      </c>
      <c r="Q1059" s="2" t="s">
        <v>32</v>
      </c>
      <c r="R1059" s="2">
        <v>43.0</v>
      </c>
      <c r="T1059" s="2" t="s">
        <v>47</v>
      </c>
      <c r="U1059" s="2" t="b">
        <v>0</v>
      </c>
      <c r="V1059" s="5">
        <v>0.0057</v>
      </c>
      <c r="W1059" s="5">
        <v>0.013</v>
      </c>
      <c r="X1059" s="5">
        <v>7.5E-5</v>
      </c>
      <c r="Y1059" s="2">
        <v>225.6168831</v>
      </c>
      <c r="Z1059" s="2">
        <v>6133.0</v>
      </c>
      <c r="AA1059" s="2" t="s">
        <v>33</v>
      </c>
    </row>
    <row r="1060">
      <c r="A1060" s="2">
        <v>2577.0</v>
      </c>
      <c r="B1060" s="2" t="s">
        <v>3120</v>
      </c>
      <c r="C1060" s="2" t="s">
        <v>7</v>
      </c>
      <c r="D1060" s="2" t="s">
        <v>3121</v>
      </c>
      <c r="E1060" s="2" t="s">
        <v>3122</v>
      </c>
      <c r="F1060" s="6">
        <v>45852.631944444445</v>
      </c>
      <c r="G1060" s="2">
        <v>4672.0</v>
      </c>
      <c r="H1060" s="2">
        <v>4672.0</v>
      </c>
      <c r="I1060" s="2">
        <v>3985.0</v>
      </c>
      <c r="J1060" s="2">
        <v>77.0</v>
      </c>
      <c r="K1060" s="2">
        <v>64.0</v>
      </c>
      <c r="L1060" s="2">
        <v>0.0</v>
      </c>
      <c r="M1060" s="2">
        <v>0.0</v>
      </c>
      <c r="N1060" s="2" t="s">
        <v>423</v>
      </c>
      <c r="O1060" s="2">
        <v>119.0</v>
      </c>
      <c r="P1060" s="2" t="s">
        <v>189</v>
      </c>
      <c r="Q1060" s="2" t="s">
        <v>32</v>
      </c>
      <c r="R1060" s="2">
        <v>30.0</v>
      </c>
      <c r="T1060" s="2" t="s">
        <v>47</v>
      </c>
      <c r="U1060" s="2" t="b">
        <v>0</v>
      </c>
      <c r="V1060" s="5">
        <v>0.0161</v>
      </c>
      <c r="W1060" s="5">
        <v>0.0</v>
      </c>
      <c r="X1060" s="5">
        <v>0.0</v>
      </c>
      <c r="Y1060" s="2">
        <v>0.0</v>
      </c>
      <c r="AA1060" s="2" t="s">
        <v>423</v>
      </c>
    </row>
    <row r="1061">
      <c r="A1061" s="2">
        <v>2553.0</v>
      </c>
      <c r="B1061" s="2" t="s">
        <v>3123</v>
      </c>
      <c r="C1061" s="2" t="s">
        <v>7</v>
      </c>
      <c r="D1061" s="2" t="s">
        <v>3124</v>
      </c>
      <c r="E1061" s="2" t="s">
        <v>3125</v>
      </c>
      <c r="F1061" s="6">
        <v>45852.708333333336</v>
      </c>
      <c r="G1061" s="2">
        <v>47560.0</v>
      </c>
      <c r="H1061" s="2">
        <v>47560.0</v>
      </c>
      <c r="I1061" s="2">
        <v>40157.0</v>
      </c>
      <c r="J1061" s="2">
        <v>287.0</v>
      </c>
      <c r="K1061" s="2">
        <v>230.0</v>
      </c>
      <c r="L1061" s="2">
        <v>1.0</v>
      </c>
      <c r="M1061" s="4">
        <v>1999.0</v>
      </c>
      <c r="N1061" s="2" t="s">
        <v>36</v>
      </c>
      <c r="O1061" s="2">
        <v>71.0</v>
      </c>
      <c r="P1061" s="2" t="s">
        <v>189</v>
      </c>
      <c r="Q1061" s="2" t="s">
        <v>32</v>
      </c>
      <c r="R1061" s="2">
        <v>33.0</v>
      </c>
      <c r="T1061" s="2" t="s">
        <v>47</v>
      </c>
      <c r="U1061" s="2" t="b">
        <v>0</v>
      </c>
      <c r="V1061" s="5">
        <v>0.0057</v>
      </c>
      <c r="W1061" s="5">
        <v>0.0043</v>
      </c>
      <c r="X1061" s="5">
        <v>2.5E-5</v>
      </c>
      <c r="Y1061" s="2">
        <v>8.691304348</v>
      </c>
      <c r="AA1061" s="2" t="s">
        <v>33</v>
      </c>
    </row>
    <row r="1062">
      <c r="A1062" s="2">
        <v>2552.0</v>
      </c>
      <c r="B1062" s="2" t="s">
        <v>3126</v>
      </c>
      <c r="C1062" s="2" t="s">
        <v>7</v>
      </c>
      <c r="D1062" s="2" t="s">
        <v>3127</v>
      </c>
      <c r="E1062" s="2" t="s">
        <v>3128</v>
      </c>
      <c r="F1062" s="6">
        <v>45852.708333333336</v>
      </c>
      <c r="G1062" s="2">
        <v>61597.0</v>
      </c>
      <c r="H1062" s="2">
        <v>61597.0</v>
      </c>
      <c r="I1062" s="2">
        <v>53741.0</v>
      </c>
      <c r="J1062" s="2">
        <v>333.0</v>
      </c>
      <c r="K1062" s="2">
        <v>270.0</v>
      </c>
      <c r="L1062" s="2">
        <v>2.0</v>
      </c>
      <c r="M1062" s="4">
        <v>6324.0</v>
      </c>
      <c r="N1062" s="2" t="s">
        <v>30</v>
      </c>
      <c r="O1062" s="2">
        <v>70.0</v>
      </c>
      <c r="P1062" s="2" t="s">
        <v>189</v>
      </c>
      <c r="Q1062" s="2" t="s">
        <v>32</v>
      </c>
      <c r="R1062" s="2">
        <v>31.0</v>
      </c>
      <c r="T1062" s="2" t="s">
        <v>47</v>
      </c>
      <c r="U1062" s="2" t="b">
        <v>0</v>
      </c>
      <c r="V1062" s="5">
        <v>0.005</v>
      </c>
      <c r="W1062" s="5">
        <v>0.0074</v>
      </c>
      <c r="X1062" s="5">
        <v>3.7E-5</v>
      </c>
      <c r="Y1062" s="2">
        <v>23.42222222</v>
      </c>
      <c r="Z1062" s="2">
        <v>5428.0</v>
      </c>
      <c r="AA1062" s="2" t="s">
        <v>33</v>
      </c>
    </row>
    <row r="1063">
      <c r="A1063" s="2">
        <v>2578.0</v>
      </c>
      <c r="B1063" s="2" t="s">
        <v>3129</v>
      </c>
      <c r="C1063" s="2" t="s">
        <v>7</v>
      </c>
      <c r="D1063" s="2" t="s">
        <v>3130</v>
      </c>
      <c r="E1063" s="2" t="s">
        <v>3131</v>
      </c>
      <c r="F1063" s="6">
        <v>45852.708333333336</v>
      </c>
      <c r="G1063" s="2">
        <v>4670.0</v>
      </c>
      <c r="H1063" s="2">
        <v>4670.0</v>
      </c>
      <c r="I1063" s="2">
        <v>3969.0</v>
      </c>
      <c r="J1063" s="2">
        <v>45.0</v>
      </c>
      <c r="K1063" s="2">
        <v>33.0</v>
      </c>
      <c r="L1063" s="2">
        <v>0.0</v>
      </c>
      <c r="M1063" s="2">
        <v>0.0</v>
      </c>
      <c r="N1063" s="2" t="s">
        <v>423</v>
      </c>
      <c r="O1063" s="2">
        <v>119.0</v>
      </c>
      <c r="P1063" s="2" t="s">
        <v>189</v>
      </c>
      <c r="Q1063" s="2" t="s">
        <v>32</v>
      </c>
      <c r="R1063" s="2">
        <v>32.0</v>
      </c>
      <c r="T1063" s="2" t="s">
        <v>3132</v>
      </c>
      <c r="U1063" s="2" t="b">
        <v>0</v>
      </c>
      <c r="V1063" s="5">
        <v>0.0083</v>
      </c>
      <c r="W1063" s="5">
        <v>0.0</v>
      </c>
      <c r="X1063" s="5">
        <v>0.0</v>
      </c>
      <c r="Y1063" s="2">
        <v>0.0</v>
      </c>
      <c r="AA1063" s="2" t="s">
        <v>423</v>
      </c>
    </row>
    <row r="1064">
      <c r="A1064" s="2">
        <v>2579.0</v>
      </c>
      <c r="B1064" s="2" t="s">
        <v>3133</v>
      </c>
      <c r="C1064" s="2" t="s">
        <v>7</v>
      </c>
      <c r="D1064" s="2" t="s">
        <v>3134</v>
      </c>
      <c r="E1064" s="2" t="s">
        <v>3135</v>
      </c>
      <c r="F1064" s="6">
        <v>45852.791666666664</v>
      </c>
      <c r="G1064" s="2">
        <v>4667.0</v>
      </c>
      <c r="H1064" s="2">
        <v>4667.0</v>
      </c>
      <c r="I1064" s="2">
        <v>3959.0</v>
      </c>
      <c r="J1064" s="2">
        <v>35.0</v>
      </c>
      <c r="K1064" s="2">
        <v>27.0</v>
      </c>
      <c r="L1064" s="2">
        <v>1.0</v>
      </c>
      <c r="M1064" s="4">
        <v>5090.0</v>
      </c>
      <c r="N1064" s="2" t="s">
        <v>423</v>
      </c>
      <c r="O1064" s="2">
        <v>119.0</v>
      </c>
      <c r="P1064" s="2" t="s">
        <v>189</v>
      </c>
      <c r="Q1064" s="2" t="s">
        <v>32</v>
      </c>
      <c r="R1064" s="2">
        <v>33.0</v>
      </c>
      <c r="T1064" s="2" t="s">
        <v>47</v>
      </c>
      <c r="U1064" s="2" t="b">
        <v>0</v>
      </c>
      <c r="V1064" s="5">
        <v>0.0068</v>
      </c>
      <c r="W1064" s="5">
        <v>0.037</v>
      </c>
      <c r="X1064" s="5">
        <v>2.53E-4</v>
      </c>
      <c r="Y1064" s="2">
        <v>188.5185185</v>
      </c>
      <c r="AA1064" s="2" t="s">
        <v>423</v>
      </c>
    </row>
    <row r="1065">
      <c r="A1065" s="2">
        <v>2555.0</v>
      </c>
      <c r="B1065" s="2" t="s">
        <v>3136</v>
      </c>
      <c r="C1065" s="2" t="s">
        <v>7</v>
      </c>
      <c r="D1065" s="2" t="s">
        <v>3137</v>
      </c>
      <c r="E1065" s="2" t="s">
        <v>3138</v>
      </c>
      <c r="F1065" s="6">
        <v>45853.458333333336</v>
      </c>
      <c r="G1065" s="2">
        <v>47585.0</v>
      </c>
      <c r="H1065" s="2">
        <v>47585.0</v>
      </c>
      <c r="I1065" s="2">
        <v>39897.0</v>
      </c>
      <c r="J1065" s="2">
        <v>255.0</v>
      </c>
      <c r="K1065" s="2">
        <v>203.0</v>
      </c>
      <c r="L1065" s="2">
        <v>3.0</v>
      </c>
      <c r="M1065" s="4">
        <v>16688.0</v>
      </c>
      <c r="N1065" s="2" t="s">
        <v>36</v>
      </c>
      <c r="O1065" s="2">
        <v>71.0</v>
      </c>
      <c r="P1065" s="2" t="s">
        <v>31</v>
      </c>
      <c r="Q1065" s="2" t="s">
        <v>32</v>
      </c>
      <c r="R1065" s="2">
        <v>34.0</v>
      </c>
      <c r="T1065" s="2" t="s">
        <v>58</v>
      </c>
      <c r="U1065" s="2" t="b">
        <v>0</v>
      </c>
      <c r="V1065" s="5">
        <v>0.0051</v>
      </c>
      <c r="W1065" s="5">
        <v>0.0148</v>
      </c>
      <c r="X1065" s="5">
        <v>7.5E-5</v>
      </c>
      <c r="Y1065" s="2">
        <v>82.20689655</v>
      </c>
      <c r="AA1065" s="2" t="s">
        <v>33</v>
      </c>
    </row>
    <row r="1066">
      <c r="A1066" s="2">
        <v>2554.0</v>
      </c>
      <c r="B1066" s="2" t="s">
        <v>3139</v>
      </c>
      <c r="C1066" s="2" t="s">
        <v>7</v>
      </c>
      <c r="D1066" s="2" t="s">
        <v>3140</v>
      </c>
      <c r="E1066" s="2" t="s">
        <v>3141</v>
      </c>
      <c r="F1066" s="6">
        <v>45853.458333333336</v>
      </c>
      <c r="G1066" s="2">
        <v>61574.0</v>
      </c>
      <c r="H1066" s="2">
        <v>61574.0</v>
      </c>
      <c r="I1066" s="2">
        <v>53486.0</v>
      </c>
      <c r="J1066" s="2">
        <v>247.0</v>
      </c>
      <c r="K1066" s="2">
        <v>205.0</v>
      </c>
      <c r="L1066" s="2">
        <v>5.0</v>
      </c>
      <c r="M1066" s="4">
        <v>14764.0</v>
      </c>
      <c r="N1066" s="2" t="s">
        <v>30</v>
      </c>
      <c r="O1066" s="2">
        <v>70.0</v>
      </c>
      <c r="P1066" s="2" t="s">
        <v>189</v>
      </c>
      <c r="Q1066" s="2" t="s">
        <v>32</v>
      </c>
      <c r="R1066" s="2">
        <v>29.0</v>
      </c>
      <c r="T1066" s="2" t="s">
        <v>143</v>
      </c>
      <c r="U1066" s="2" t="b">
        <v>0</v>
      </c>
      <c r="V1066" s="5">
        <v>0.0038</v>
      </c>
      <c r="W1066" s="5">
        <v>0.0244</v>
      </c>
      <c r="X1066" s="5">
        <v>9.3E-5</v>
      </c>
      <c r="Y1066" s="2">
        <v>72.0195122</v>
      </c>
      <c r="Z1066" s="2">
        <v>425.0</v>
      </c>
      <c r="AA1066" s="2" t="s">
        <v>33</v>
      </c>
    </row>
    <row r="1067">
      <c r="A1067" s="2">
        <v>2557.0</v>
      </c>
      <c r="B1067" s="2" t="s">
        <v>3142</v>
      </c>
      <c r="C1067" s="2" t="s">
        <v>7</v>
      </c>
      <c r="D1067" s="2" t="s">
        <v>3143</v>
      </c>
      <c r="E1067" s="2" t="s">
        <v>3144</v>
      </c>
      <c r="F1067" s="6">
        <v>45853.625</v>
      </c>
      <c r="G1067" s="2">
        <v>47616.0</v>
      </c>
      <c r="H1067" s="2">
        <v>47616.0</v>
      </c>
      <c r="I1067" s="2">
        <v>40224.0</v>
      </c>
      <c r="J1067" s="2">
        <v>267.0</v>
      </c>
      <c r="K1067" s="2">
        <v>216.0</v>
      </c>
      <c r="L1067" s="2">
        <v>4.0</v>
      </c>
      <c r="M1067" s="4">
        <v>10618.0</v>
      </c>
      <c r="N1067" s="2" t="s">
        <v>36</v>
      </c>
      <c r="O1067" s="2">
        <v>71.0</v>
      </c>
      <c r="P1067" s="2" t="s">
        <v>189</v>
      </c>
      <c r="Q1067" s="2" t="s">
        <v>32</v>
      </c>
      <c r="R1067" s="2">
        <v>51.0</v>
      </c>
      <c r="T1067" s="2" t="s">
        <v>47</v>
      </c>
      <c r="U1067" s="2" t="b">
        <v>0</v>
      </c>
      <c r="V1067" s="5">
        <v>0.0054</v>
      </c>
      <c r="W1067" s="5">
        <v>0.0185</v>
      </c>
      <c r="X1067" s="5">
        <v>9.9E-5</v>
      </c>
      <c r="Y1067" s="2">
        <v>49.15740741</v>
      </c>
      <c r="AA1067" s="2" t="s">
        <v>33</v>
      </c>
    </row>
    <row r="1068">
      <c r="A1068" s="2">
        <v>2556.0</v>
      </c>
      <c r="B1068" s="2" t="s">
        <v>3145</v>
      </c>
      <c r="C1068" s="2" t="s">
        <v>7</v>
      </c>
      <c r="D1068" s="2" t="s">
        <v>3146</v>
      </c>
      <c r="E1068" s="2" t="s">
        <v>3147</v>
      </c>
      <c r="F1068" s="6">
        <v>45853.625</v>
      </c>
      <c r="G1068" s="2">
        <v>61625.0</v>
      </c>
      <c r="H1068" s="2">
        <v>61625.0</v>
      </c>
      <c r="I1068" s="2">
        <v>53658.0</v>
      </c>
      <c r="J1068" s="2">
        <v>324.0</v>
      </c>
      <c r="K1068" s="2">
        <v>258.0</v>
      </c>
      <c r="L1068" s="2">
        <v>3.0</v>
      </c>
      <c r="M1068" s="4">
        <v>10834.0</v>
      </c>
      <c r="N1068" s="2" t="s">
        <v>30</v>
      </c>
      <c r="O1068" s="2">
        <v>70.0</v>
      </c>
      <c r="P1068" s="2" t="s">
        <v>189</v>
      </c>
      <c r="Q1068" s="2" t="s">
        <v>32</v>
      </c>
      <c r="R1068" s="2">
        <v>34.0</v>
      </c>
      <c r="T1068" s="2" t="s">
        <v>47</v>
      </c>
      <c r="U1068" s="2" t="b">
        <v>0</v>
      </c>
      <c r="V1068" s="5">
        <v>0.0048</v>
      </c>
      <c r="W1068" s="5">
        <v>0.0116</v>
      </c>
      <c r="X1068" s="5">
        <v>5.6E-5</v>
      </c>
      <c r="Y1068" s="2">
        <v>41.99224806</v>
      </c>
      <c r="Z1068" s="2">
        <v>712.0</v>
      </c>
      <c r="AA1068" s="2" t="s">
        <v>33</v>
      </c>
    </row>
    <row r="1069">
      <c r="A1069" s="2">
        <v>2592.0</v>
      </c>
      <c r="B1069" s="2" t="s">
        <v>3148</v>
      </c>
      <c r="C1069" s="2" t="s">
        <v>7</v>
      </c>
      <c r="D1069" s="2" t="s">
        <v>3149</v>
      </c>
      <c r="E1069" s="2" t="s">
        <v>3150</v>
      </c>
      <c r="F1069" s="6">
        <v>45853.62777777778</v>
      </c>
      <c r="G1069" s="2">
        <v>4699.0</v>
      </c>
      <c r="H1069" s="2">
        <v>4699.0</v>
      </c>
      <c r="I1069" s="2">
        <v>3993.0</v>
      </c>
      <c r="J1069" s="2">
        <v>36.0</v>
      </c>
      <c r="K1069" s="2">
        <v>29.0</v>
      </c>
      <c r="L1069" s="2">
        <v>0.0</v>
      </c>
      <c r="M1069" s="2">
        <v>0.0</v>
      </c>
      <c r="N1069" s="2" t="s">
        <v>423</v>
      </c>
      <c r="O1069" s="2">
        <v>119.0</v>
      </c>
      <c r="P1069" s="2" t="s">
        <v>31</v>
      </c>
      <c r="Q1069" s="2" t="s">
        <v>32</v>
      </c>
      <c r="R1069" s="2">
        <v>36.0</v>
      </c>
      <c r="T1069" s="2" t="s">
        <v>47</v>
      </c>
      <c r="U1069" s="2" t="b">
        <v>0</v>
      </c>
      <c r="V1069" s="5">
        <v>0.0073</v>
      </c>
      <c r="W1069" s="5">
        <v>0.0</v>
      </c>
      <c r="X1069" s="5">
        <v>0.0</v>
      </c>
      <c r="Y1069" s="2">
        <v>0.0</v>
      </c>
      <c r="AA1069" s="2" t="s">
        <v>423</v>
      </c>
    </row>
    <row r="1070">
      <c r="A1070" s="2">
        <v>2559.0</v>
      </c>
      <c r="B1070" s="2" t="s">
        <v>3151</v>
      </c>
      <c r="C1070" s="2" t="s">
        <v>7</v>
      </c>
      <c r="D1070" s="2" t="s">
        <v>3152</v>
      </c>
      <c r="E1070" s="2" t="s">
        <v>3153</v>
      </c>
      <c r="F1070" s="6">
        <v>45853.708333333336</v>
      </c>
      <c r="G1070" s="2">
        <v>47634.0</v>
      </c>
      <c r="H1070" s="2">
        <v>47634.0</v>
      </c>
      <c r="I1070" s="2">
        <v>40199.0</v>
      </c>
      <c r="J1070" s="2">
        <v>256.0</v>
      </c>
      <c r="K1070" s="2">
        <v>207.0</v>
      </c>
      <c r="L1070" s="2">
        <v>3.0</v>
      </c>
      <c r="M1070" s="4">
        <v>11519.0</v>
      </c>
      <c r="N1070" s="2" t="s">
        <v>36</v>
      </c>
      <c r="O1070" s="2">
        <v>71.0</v>
      </c>
      <c r="P1070" s="2" t="s">
        <v>31</v>
      </c>
      <c r="Q1070" s="2" t="s">
        <v>32</v>
      </c>
      <c r="R1070" s="2">
        <v>40.0</v>
      </c>
      <c r="T1070" s="2" t="s">
        <v>1185</v>
      </c>
      <c r="U1070" s="2" t="b">
        <v>1</v>
      </c>
      <c r="V1070" s="5">
        <v>0.0051</v>
      </c>
      <c r="W1070" s="5">
        <v>0.0145</v>
      </c>
      <c r="X1070" s="5">
        <v>7.5E-5</v>
      </c>
      <c r="Y1070" s="2">
        <v>55.647343</v>
      </c>
      <c r="AA1070" s="2" t="s">
        <v>33</v>
      </c>
    </row>
    <row r="1071">
      <c r="A1071" s="2">
        <v>2558.0</v>
      </c>
      <c r="B1071" s="2" t="s">
        <v>3154</v>
      </c>
      <c r="C1071" s="2" t="s">
        <v>7</v>
      </c>
      <c r="D1071" s="2" t="s">
        <v>3155</v>
      </c>
      <c r="E1071" s="2" t="s">
        <v>3156</v>
      </c>
      <c r="F1071" s="6">
        <v>45853.708333333336</v>
      </c>
      <c r="G1071" s="2">
        <v>61665.0</v>
      </c>
      <c r="H1071" s="2">
        <v>61665.0</v>
      </c>
      <c r="I1071" s="2">
        <v>53817.0</v>
      </c>
      <c r="J1071" s="2">
        <v>402.0</v>
      </c>
      <c r="K1071" s="2">
        <v>320.0</v>
      </c>
      <c r="L1071" s="2">
        <v>3.0</v>
      </c>
      <c r="M1071" s="4">
        <v>4061.0</v>
      </c>
      <c r="N1071" s="2" t="s">
        <v>30</v>
      </c>
      <c r="O1071" s="2">
        <v>70.0</v>
      </c>
      <c r="P1071" s="2" t="s">
        <v>189</v>
      </c>
      <c r="Q1071" s="2" t="s">
        <v>32</v>
      </c>
      <c r="R1071" s="2">
        <v>39.0</v>
      </c>
      <c r="T1071" s="2" t="s">
        <v>1185</v>
      </c>
      <c r="U1071" s="2" t="b">
        <v>0</v>
      </c>
      <c r="V1071" s="5">
        <v>0.0059</v>
      </c>
      <c r="W1071" s="5">
        <v>0.0094</v>
      </c>
      <c r="X1071" s="5">
        <v>5.6E-5</v>
      </c>
      <c r="Y1071" s="2">
        <v>12.690625</v>
      </c>
      <c r="Z1071" s="2">
        <v>4254.0</v>
      </c>
      <c r="AA1071" s="2" t="s">
        <v>33</v>
      </c>
    </row>
    <row r="1072">
      <c r="A1072" s="2">
        <v>2593.0</v>
      </c>
      <c r="B1072" s="2" t="s">
        <v>3157</v>
      </c>
      <c r="C1072" s="2" t="s">
        <v>7</v>
      </c>
      <c r="D1072" s="2" t="s">
        <v>3158</v>
      </c>
      <c r="E1072" s="2" t="s">
        <v>3159</v>
      </c>
      <c r="F1072" s="6">
        <v>45853.708333333336</v>
      </c>
      <c r="G1072" s="2">
        <v>4700.0</v>
      </c>
      <c r="H1072" s="2">
        <v>4700.0</v>
      </c>
      <c r="I1072" s="2">
        <v>4007.0</v>
      </c>
      <c r="J1072" s="2">
        <v>52.0</v>
      </c>
      <c r="K1072" s="2">
        <v>39.0</v>
      </c>
      <c r="L1072" s="2">
        <v>0.0</v>
      </c>
      <c r="M1072" s="2">
        <v>0.0</v>
      </c>
      <c r="N1072" s="2" t="s">
        <v>423</v>
      </c>
      <c r="O1072" s="2">
        <v>119.0</v>
      </c>
      <c r="P1072" s="2" t="s">
        <v>31</v>
      </c>
      <c r="Q1072" s="2" t="s">
        <v>1367</v>
      </c>
      <c r="R1072" s="2">
        <v>34.0</v>
      </c>
      <c r="T1072" s="7" t="str">
        <f>IFERROR(__xludf.DUMMYFUNCTION("AI(""has offer Come X Pay X"",D1072)"),"Has offer")</f>
        <v>Has offer</v>
      </c>
      <c r="U1072" s="2" t="b">
        <v>0</v>
      </c>
      <c r="V1072" s="5">
        <v>0.0097</v>
      </c>
      <c r="W1072" s="5">
        <v>0.0</v>
      </c>
      <c r="X1072" s="5">
        <v>0.0</v>
      </c>
      <c r="Y1072" s="2">
        <v>0.0</v>
      </c>
      <c r="AA1072" s="2" t="s">
        <v>423</v>
      </c>
    </row>
    <row r="1073">
      <c r="A1073" s="2">
        <v>2594.0</v>
      </c>
      <c r="B1073" s="2" t="s">
        <v>3160</v>
      </c>
      <c r="C1073" s="2" t="s">
        <v>7</v>
      </c>
      <c r="D1073" s="2" t="s">
        <v>3161</v>
      </c>
      <c r="E1073" s="2" t="s">
        <v>3162</v>
      </c>
      <c r="F1073" s="6">
        <v>45853.791666666664</v>
      </c>
      <c r="G1073" s="2">
        <v>4710.0</v>
      </c>
      <c r="H1073" s="2">
        <v>4710.0</v>
      </c>
      <c r="I1073" s="2">
        <v>4005.0</v>
      </c>
      <c r="J1073" s="2">
        <v>58.0</v>
      </c>
      <c r="K1073" s="2">
        <v>49.0</v>
      </c>
      <c r="L1073" s="2">
        <v>2.0</v>
      </c>
      <c r="M1073" s="4">
        <v>8206.0</v>
      </c>
      <c r="N1073" s="2" t="s">
        <v>423</v>
      </c>
      <c r="O1073" s="2">
        <v>119.0</v>
      </c>
      <c r="P1073" s="2" t="s">
        <v>189</v>
      </c>
      <c r="Q1073" s="2" t="s">
        <v>1367</v>
      </c>
      <c r="R1073" s="2">
        <v>33.0</v>
      </c>
      <c r="T1073" s="2" t="s">
        <v>47</v>
      </c>
      <c r="U1073" s="2" t="b">
        <v>0</v>
      </c>
      <c r="V1073" s="5">
        <v>0.0122</v>
      </c>
      <c r="W1073" s="5">
        <v>0.0408</v>
      </c>
      <c r="X1073" s="5">
        <v>4.99E-4</v>
      </c>
      <c r="Y1073" s="2">
        <v>167.4693878</v>
      </c>
      <c r="AA1073" s="2" t="s">
        <v>423</v>
      </c>
    </row>
    <row r="1074">
      <c r="A1074" s="2">
        <v>2561.0</v>
      </c>
      <c r="B1074" s="2" t="s">
        <v>3163</v>
      </c>
      <c r="C1074" s="2" t="s">
        <v>7</v>
      </c>
      <c r="D1074" s="2" t="s">
        <v>172</v>
      </c>
      <c r="E1074" s="2" t="s">
        <v>290</v>
      </c>
      <c r="F1074" s="6">
        <v>45854.458333333336</v>
      </c>
      <c r="G1074" s="2">
        <v>47669.0</v>
      </c>
      <c r="H1074" s="2">
        <v>47669.0</v>
      </c>
      <c r="I1074" s="2">
        <v>39987.0</v>
      </c>
      <c r="J1074" s="2">
        <v>234.0</v>
      </c>
      <c r="K1074" s="2">
        <v>188.0</v>
      </c>
      <c r="L1074" s="2">
        <v>2.0</v>
      </c>
      <c r="M1074" s="4">
        <v>8339.0</v>
      </c>
      <c r="N1074" s="2" t="s">
        <v>36</v>
      </c>
      <c r="O1074" s="2">
        <v>71.0</v>
      </c>
      <c r="P1074" s="2" t="s">
        <v>31</v>
      </c>
      <c r="Q1074" s="2" t="s">
        <v>32</v>
      </c>
      <c r="R1074" s="2">
        <v>24.0</v>
      </c>
      <c r="U1074" s="2" t="b">
        <v>0</v>
      </c>
      <c r="V1074" s="5">
        <v>0.0047</v>
      </c>
      <c r="W1074" s="5">
        <v>0.0106</v>
      </c>
      <c r="X1074" s="5">
        <v>5.0E-5</v>
      </c>
      <c r="Y1074" s="2">
        <v>44.35638298</v>
      </c>
      <c r="AA1074" s="2" t="s">
        <v>33</v>
      </c>
    </row>
    <row r="1075">
      <c r="A1075" s="2">
        <v>2560.0</v>
      </c>
      <c r="B1075" s="2" t="s">
        <v>3164</v>
      </c>
      <c r="C1075" s="2" t="s">
        <v>7</v>
      </c>
      <c r="D1075" s="2" t="s">
        <v>170</v>
      </c>
      <c r="E1075" s="2" t="s">
        <v>288</v>
      </c>
      <c r="F1075" s="6">
        <v>45854.458333333336</v>
      </c>
      <c r="G1075" s="2">
        <v>61648.0</v>
      </c>
      <c r="H1075" s="2">
        <v>61648.0</v>
      </c>
      <c r="I1075" s="2">
        <v>53568.0</v>
      </c>
      <c r="J1075" s="2">
        <v>252.0</v>
      </c>
      <c r="K1075" s="2">
        <v>203.0</v>
      </c>
      <c r="L1075" s="2">
        <v>2.0</v>
      </c>
      <c r="M1075" s="4">
        <v>14590.0</v>
      </c>
      <c r="N1075" s="2" t="s">
        <v>30</v>
      </c>
      <c r="O1075" s="2">
        <v>70.0</v>
      </c>
      <c r="P1075" s="2" t="s">
        <v>189</v>
      </c>
      <c r="Q1075" s="2" t="s">
        <v>32</v>
      </c>
      <c r="R1075" s="2">
        <v>27.0</v>
      </c>
      <c r="U1075" s="2" t="b">
        <v>0</v>
      </c>
      <c r="V1075" s="5">
        <v>0.0038</v>
      </c>
      <c r="W1075" s="5">
        <v>0.0099</v>
      </c>
      <c r="X1075" s="5">
        <v>3.7E-5</v>
      </c>
      <c r="Y1075" s="2">
        <v>71.87192118</v>
      </c>
      <c r="AA1075" s="2" t="s">
        <v>33</v>
      </c>
    </row>
    <row r="1076">
      <c r="A1076" s="2">
        <v>2595.0</v>
      </c>
      <c r="B1076" s="2" t="s">
        <v>3165</v>
      </c>
      <c r="C1076" s="2" t="s">
        <v>7</v>
      </c>
      <c r="D1076" s="2" t="s">
        <v>3166</v>
      </c>
      <c r="E1076" s="2" t="s">
        <v>3167</v>
      </c>
      <c r="F1076" s="6">
        <v>45854.583333333336</v>
      </c>
      <c r="G1076" s="2">
        <v>4729.0</v>
      </c>
      <c r="H1076" s="2">
        <v>4729.0</v>
      </c>
      <c r="I1076" s="2">
        <v>4014.0</v>
      </c>
      <c r="J1076" s="2">
        <v>52.0</v>
      </c>
      <c r="K1076" s="2">
        <v>40.0</v>
      </c>
      <c r="L1076" s="2">
        <v>1.0</v>
      </c>
      <c r="M1076" s="2">
        <v>138.0</v>
      </c>
      <c r="N1076" s="2" t="s">
        <v>423</v>
      </c>
      <c r="O1076" s="2">
        <v>119.0</v>
      </c>
      <c r="P1076" s="2" t="s">
        <v>31</v>
      </c>
      <c r="Q1076" s="2" t="s">
        <v>1367</v>
      </c>
      <c r="R1076" s="2">
        <v>32.0</v>
      </c>
      <c r="T1076" s="2" t="s">
        <v>47</v>
      </c>
      <c r="U1076" s="2" t="b">
        <v>0</v>
      </c>
      <c r="V1076" s="5">
        <v>0.01</v>
      </c>
      <c r="W1076" s="5">
        <v>0.025</v>
      </c>
      <c r="X1076" s="5">
        <v>2.49E-4</v>
      </c>
      <c r="Y1076" s="2">
        <v>3.45</v>
      </c>
      <c r="AA1076" s="2" t="s">
        <v>423</v>
      </c>
    </row>
    <row r="1077">
      <c r="A1077" s="2">
        <v>2610.0</v>
      </c>
      <c r="B1077" s="2" t="s">
        <v>3168</v>
      </c>
      <c r="C1077" s="2" t="s">
        <v>7</v>
      </c>
      <c r="D1077" s="2" t="s">
        <v>3169</v>
      </c>
      <c r="E1077" s="2" t="s">
        <v>3170</v>
      </c>
      <c r="F1077" s="6">
        <v>45854.625</v>
      </c>
      <c r="G1077" s="2">
        <v>61697.0</v>
      </c>
      <c r="H1077" s="2">
        <v>61697.0</v>
      </c>
      <c r="I1077" s="2">
        <v>53733.0</v>
      </c>
      <c r="J1077" s="2">
        <v>247.0</v>
      </c>
      <c r="K1077" s="2">
        <v>218.0</v>
      </c>
      <c r="L1077" s="2">
        <v>4.0</v>
      </c>
      <c r="M1077" s="4">
        <v>24119.0</v>
      </c>
      <c r="N1077" s="2" t="s">
        <v>30</v>
      </c>
      <c r="O1077" s="2">
        <v>70.0</v>
      </c>
      <c r="P1077" s="2" t="s">
        <v>189</v>
      </c>
      <c r="Q1077" s="2" t="s">
        <v>32</v>
      </c>
      <c r="R1077" s="2">
        <v>31.0</v>
      </c>
      <c r="T1077" s="2" t="s">
        <v>47</v>
      </c>
      <c r="U1077" s="2" t="b">
        <v>0</v>
      </c>
      <c r="V1077" s="5">
        <v>0.0041</v>
      </c>
      <c r="W1077" s="5">
        <v>0.0183</v>
      </c>
      <c r="X1077" s="5">
        <v>7.4E-5</v>
      </c>
      <c r="Y1077" s="2">
        <v>110.6376147</v>
      </c>
      <c r="AA1077" s="2" t="s">
        <v>33</v>
      </c>
    </row>
    <row r="1078">
      <c r="A1078" s="2">
        <v>2596.0</v>
      </c>
      <c r="B1078" s="2" t="s">
        <v>3171</v>
      </c>
      <c r="C1078" s="2" t="s">
        <v>7</v>
      </c>
      <c r="D1078" s="2" t="s">
        <v>3172</v>
      </c>
      <c r="E1078" s="2" t="s">
        <v>3173</v>
      </c>
      <c r="F1078" s="6">
        <v>45854.666666666664</v>
      </c>
      <c r="G1078" s="2">
        <v>4723.0</v>
      </c>
      <c r="H1078" s="2">
        <v>4723.0</v>
      </c>
      <c r="I1078" s="2">
        <v>4005.0</v>
      </c>
      <c r="J1078" s="2">
        <v>36.0</v>
      </c>
      <c r="K1078" s="2">
        <v>29.0</v>
      </c>
      <c r="L1078" s="2">
        <v>2.0</v>
      </c>
      <c r="M1078" s="4">
        <v>3306.0</v>
      </c>
      <c r="N1078" s="2" t="s">
        <v>423</v>
      </c>
      <c r="O1078" s="2">
        <v>119.0</v>
      </c>
      <c r="P1078" s="2" t="s">
        <v>31</v>
      </c>
      <c r="Q1078" s="2" t="s">
        <v>1367</v>
      </c>
      <c r="R1078" s="2">
        <v>32.0</v>
      </c>
      <c r="T1078" s="2" t="s">
        <v>3174</v>
      </c>
      <c r="U1078" s="2" t="b">
        <v>0</v>
      </c>
      <c r="V1078" s="5">
        <v>0.0072</v>
      </c>
      <c r="W1078" s="5">
        <v>0.069</v>
      </c>
      <c r="X1078" s="5">
        <v>4.99E-4</v>
      </c>
      <c r="Y1078" s="2">
        <v>114.0</v>
      </c>
      <c r="AA1078" s="2" t="s">
        <v>423</v>
      </c>
    </row>
    <row r="1079">
      <c r="A1079" s="2">
        <v>2563.0</v>
      </c>
      <c r="B1079" s="2" t="s">
        <v>3175</v>
      </c>
      <c r="C1079" s="2" t="s">
        <v>7</v>
      </c>
      <c r="D1079" s="2" t="s">
        <v>3176</v>
      </c>
      <c r="E1079" s="2" t="s">
        <v>3177</v>
      </c>
      <c r="F1079" s="6">
        <v>45854.708333333336</v>
      </c>
      <c r="G1079" s="2">
        <v>47757.0</v>
      </c>
      <c r="H1079" s="2">
        <v>47757.0</v>
      </c>
      <c r="I1079" s="2">
        <v>40277.0</v>
      </c>
      <c r="J1079" s="2">
        <v>256.0</v>
      </c>
      <c r="K1079" s="2">
        <v>212.0</v>
      </c>
      <c r="L1079" s="2">
        <v>2.0</v>
      </c>
      <c r="M1079" s="4">
        <v>8272.0</v>
      </c>
      <c r="N1079" s="2" t="s">
        <v>36</v>
      </c>
      <c r="O1079" s="2">
        <v>71.0</v>
      </c>
      <c r="P1079" s="2" t="s">
        <v>31</v>
      </c>
      <c r="Q1079" s="2" t="s">
        <v>32</v>
      </c>
      <c r="R1079" s="2">
        <v>43.0</v>
      </c>
      <c r="T1079" s="7" t="str">
        <f>IFERROR(__xludf.DUMMYFUNCTION("AI(""has offer Come X Pay X"",D980)"),"This subject line features an offer for a 15% to 20% discount.")</f>
        <v>This subject line features an offer for a 15% to 20% discount.</v>
      </c>
      <c r="U1079" s="2" t="b">
        <v>1</v>
      </c>
      <c r="V1079" s="5">
        <v>0.0053</v>
      </c>
      <c r="W1079" s="5">
        <v>0.0094</v>
      </c>
      <c r="X1079" s="5">
        <v>5.0E-5</v>
      </c>
      <c r="Y1079" s="2">
        <v>39.01886792</v>
      </c>
      <c r="AA1079" s="2" t="s">
        <v>33</v>
      </c>
    </row>
    <row r="1080">
      <c r="A1080" s="2">
        <v>2562.0</v>
      </c>
      <c r="B1080" s="2" t="s">
        <v>3178</v>
      </c>
      <c r="C1080" s="2" t="s">
        <v>7</v>
      </c>
      <c r="D1080" s="2" t="s">
        <v>3179</v>
      </c>
      <c r="E1080" s="2" t="s">
        <v>3180</v>
      </c>
      <c r="F1080" s="6">
        <v>45854.708333333336</v>
      </c>
      <c r="G1080" s="2">
        <v>61717.0</v>
      </c>
      <c r="H1080" s="2">
        <v>61717.0</v>
      </c>
      <c r="I1080" s="2">
        <v>53808.0</v>
      </c>
      <c r="J1080" s="2">
        <v>320.0</v>
      </c>
      <c r="K1080" s="2">
        <v>253.0</v>
      </c>
      <c r="L1080" s="2">
        <v>4.0</v>
      </c>
      <c r="M1080" s="4">
        <v>9037.0</v>
      </c>
      <c r="N1080" s="2" t="s">
        <v>30</v>
      </c>
      <c r="O1080" s="2">
        <v>70.0</v>
      </c>
      <c r="P1080" s="2" t="s">
        <v>31</v>
      </c>
      <c r="Q1080" s="2" t="s">
        <v>32</v>
      </c>
      <c r="R1080" s="2">
        <v>42.0</v>
      </c>
      <c r="T1080" s="2" t="s">
        <v>143</v>
      </c>
      <c r="U1080" s="2" t="b">
        <v>0</v>
      </c>
      <c r="V1080" s="5">
        <v>0.0047</v>
      </c>
      <c r="W1080" s="5">
        <v>0.0158</v>
      </c>
      <c r="X1080" s="5">
        <v>7.4E-5</v>
      </c>
      <c r="Y1080" s="2">
        <v>35.71936759</v>
      </c>
      <c r="Z1080" s="2">
        <v>4975.0</v>
      </c>
      <c r="AA1080" s="2" t="s">
        <v>33</v>
      </c>
    </row>
    <row r="1081">
      <c r="A1081" s="2">
        <v>2597.0</v>
      </c>
      <c r="B1081" s="2" t="s">
        <v>3181</v>
      </c>
      <c r="C1081" s="2" t="s">
        <v>7</v>
      </c>
      <c r="D1081" s="2" t="s">
        <v>3182</v>
      </c>
      <c r="E1081" s="2" t="s">
        <v>3183</v>
      </c>
      <c r="F1081" s="6">
        <v>45854.75</v>
      </c>
      <c r="G1081" s="2">
        <v>4734.0</v>
      </c>
      <c r="H1081" s="2">
        <v>4734.0</v>
      </c>
      <c r="I1081" s="2">
        <v>4022.0</v>
      </c>
      <c r="J1081" s="2">
        <v>65.0</v>
      </c>
      <c r="K1081" s="2">
        <v>52.0</v>
      </c>
      <c r="L1081" s="2">
        <v>0.0</v>
      </c>
      <c r="M1081" s="2">
        <v>0.0</v>
      </c>
      <c r="N1081" s="2" t="s">
        <v>423</v>
      </c>
      <c r="O1081" s="2">
        <v>119.0</v>
      </c>
      <c r="P1081" s="2" t="s">
        <v>31</v>
      </c>
      <c r="Q1081" s="2" t="s">
        <v>1367</v>
      </c>
      <c r="R1081" s="2">
        <v>31.0</v>
      </c>
      <c r="T1081" s="2" t="s">
        <v>47</v>
      </c>
      <c r="U1081" s="2" t="b">
        <v>0</v>
      </c>
      <c r="V1081" s="5">
        <v>0.0129</v>
      </c>
      <c r="W1081" s="5">
        <v>0.0</v>
      </c>
      <c r="X1081" s="5">
        <v>0.0</v>
      </c>
      <c r="Y1081" s="2">
        <v>0.0</v>
      </c>
      <c r="AA1081" s="2" t="s">
        <v>423</v>
      </c>
    </row>
    <row r="1082">
      <c r="A1082" s="2">
        <v>2565.0</v>
      </c>
      <c r="B1082" s="2" t="s">
        <v>3184</v>
      </c>
      <c r="C1082" s="2" t="s">
        <v>7</v>
      </c>
      <c r="D1082" s="2" t="s">
        <v>3185</v>
      </c>
      <c r="E1082" s="2" t="s">
        <v>3186</v>
      </c>
      <c r="F1082" s="6">
        <v>45855.458333333336</v>
      </c>
      <c r="G1082" s="2">
        <v>47829.0</v>
      </c>
      <c r="H1082" s="2">
        <v>47829.0</v>
      </c>
      <c r="I1082" s="2">
        <v>40108.0</v>
      </c>
      <c r="J1082" s="2">
        <v>316.0</v>
      </c>
      <c r="K1082" s="2">
        <v>260.0</v>
      </c>
      <c r="L1082" s="2">
        <v>3.0</v>
      </c>
      <c r="M1082" s="4">
        <v>4646.0</v>
      </c>
      <c r="N1082" s="2" t="s">
        <v>36</v>
      </c>
      <c r="O1082" s="2">
        <v>71.0</v>
      </c>
      <c r="P1082" s="2" t="s">
        <v>31</v>
      </c>
      <c r="Q1082" s="2" t="s">
        <v>32</v>
      </c>
      <c r="R1082" s="2">
        <v>30.0</v>
      </c>
      <c r="T1082" s="2" t="s">
        <v>58</v>
      </c>
      <c r="U1082" s="2" t="b">
        <v>0</v>
      </c>
      <c r="V1082" s="5">
        <v>0.0065</v>
      </c>
      <c r="W1082" s="5">
        <v>0.0115</v>
      </c>
      <c r="X1082" s="5">
        <v>7.5E-5</v>
      </c>
      <c r="Y1082" s="2">
        <v>17.86923077</v>
      </c>
      <c r="AA1082" s="2" t="s">
        <v>33</v>
      </c>
    </row>
    <row r="1083">
      <c r="A1083" s="2">
        <v>2564.0</v>
      </c>
      <c r="B1083" s="2" t="s">
        <v>3187</v>
      </c>
      <c r="C1083" s="2" t="s">
        <v>7</v>
      </c>
      <c r="D1083" s="2" t="s">
        <v>3188</v>
      </c>
      <c r="E1083" s="2" t="s">
        <v>3189</v>
      </c>
      <c r="F1083" s="6">
        <v>45855.458333333336</v>
      </c>
      <c r="G1083" s="2">
        <v>61769.0</v>
      </c>
      <c r="H1083" s="2">
        <v>61769.0</v>
      </c>
      <c r="I1083" s="2">
        <v>53611.0</v>
      </c>
      <c r="J1083" s="2">
        <v>455.0</v>
      </c>
      <c r="K1083" s="2">
        <v>393.0</v>
      </c>
      <c r="L1083" s="2">
        <v>7.0</v>
      </c>
      <c r="M1083" s="4">
        <v>24154.0</v>
      </c>
      <c r="N1083" s="2" t="s">
        <v>30</v>
      </c>
      <c r="O1083" s="2">
        <v>70.0</v>
      </c>
      <c r="P1083" s="2" t="s">
        <v>31</v>
      </c>
      <c r="Q1083" s="2" t="s">
        <v>32</v>
      </c>
      <c r="R1083" s="2">
        <v>28.0</v>
      </c>
      <c r="U1083" s="2" t="b">
        <v>0</v>
      </c>
      <c r="V1083" s="5">
        <v>0.0073</v>
      </c>
      <c r="W1083" s="5">
        <v>0.0178</v>
      </c>
      <c r="X1083" s="5">
        <v>1.31E-4</v>
      </c>
      <c r="Y1083" s="2">
        <v>61.4605598</v>
      </c>
      <c r="Z1083" s="2">
        <v>2925.0</v>
      </c>
      <c r="AA1083" s="2" t="s">
        <v>33</v>
      </c>
    </row>
    <row r="1084">
      <c r="A1084" s="2">
        <v>2598.0</v>
      </c>
      <c r="B1084" s="2" t="s">
        <v>3190</v>
      </c>
      <c r="C1084" s="2" t="s">
        <v>7</v>
      </c>
      <c r="D1084" s="2" t="s">
        <v>3191</v>
      </c>
      <c r="E1084" s="2" t="s">
        <v>3192</v>
      </c>
      <c r="F1084" s="6">
        <v>45855.583333333336</v>
      </c>
      <c r="G1084" s="2">
        <v>4746.0</v>
      </c>
      <c r="H1084" s="2">
        <v>4746.0</v>
      </c>
      <c r="I1084" s="2">
        <v>4026.0</v>
      </c>
      <c r="J1084" s="2">
        <v>37.0</v>
      </c>
      <c r="K1084" s="2">
        <v>32.0</v>
      </c>
      <c r="L1084" s="2">
        <v>0.0</v>
      </c>
      <c r="M1084" s="2">
        <v>0.0</v>
      </c>
      <c r="N1084" s="2" t="s">
        <v>423</v>
      </c>
      <c r="O1084" s="2">
        <v>119.0</v>
      </c>
      <c r="P1084" s="2" t="s">
        <v>189</v>
      </c>
      <c r="Q1084" s="2" t="s">
        <v>1367</v>
      </c>
      <c r="R1084" s="2">
        <v>39.0</v>
      </c>
      <c r="T1084" s="2" t="s">
        <v>162</v>
      </c>
      <c r="U1084" s="2" t="b">
        <v>0</v>
      </c>
      <c r="V1084" s="5">
        <v>0.0079</v>
      </c>
      <c r="W1084" s="5">
        <v>0.0</v>
      </c>
      <c r="X1084" s="5">
        <v>0.0</v>
      </c>
      <c r="Y1084" s="2">
        <v>0.0</v>
      </c>
      <c r="AA1084" s="2" t="s">
        <v>423</v>
      </c>
    </row>
    <row r="1085">
      <c r="A1085" s="2">
        <v>2567.0</v>
      </c>
      <c r="B1085" s="2" t="s">
        <v>3193</v>
      </c>
      <c r="C1085" s="2" t="s">
        <v>7</v>
      </c>
      <c r="D1085" s="2" t="s">
        <v>3194</v>
      </c>
      <c r="E1085" s="2" t="s">
        <v>3195</v>
      </c>
      <c r="F1085" s="6">
        <v>45855.625</v>
      </c>
      <c r="G1085" s="2">
        <v>47868.0</v>
      </c>
      <c r="H1085" s="2">
        <v>47868.0</v>
      </c>
      <c r="I1085" s="2">
        <v>40434.0</v>
      </c>
      <c r="J1085" s="2">
        <v>312.0</v>
      </c>
      <c r="K1085" s="2">
        <v>253.0</v>
      </c>
      <c r="L1085" s="2">
        <v>3.0</v>
      </c>
      <c r="M1085" s="4">
        <v>5668.0</v>
      </c>
      <c r="N1085" s="2" t="s">
        <v>36</v>
      </c>
      <c r="O1085" s="2">
        <v>71.0</v>
      </c>
      <c r="P1085" s="2" t="s">
        <v>31</v>
      </c>
      <c r="Q1085" s="2" t="s">
        <v>32</v>
      </c>
      <c r="R1085" s="2">
        <v>46.0</v>
      </c>
      <c r="T1085" s="2" t="s">
        <v>47</v>
      </c>
      <c r="U1085" s="2" t="b">
        <v>0</v>
      </c>
      <c r="V1085" s="5">
        <v>0.0063</v>
      </c>
      <c r="W1085" s="5">
        <v>0.0119</v>
      </c>
      <c r="X1085" s="5">
        <v>7.4E-5</v>
      </c>
      <c r="Y1085" s="2">
        <v>22.40316206</v>
      </c>
      <c r="AA1085" s="2" t="s">
        <v>33</v>
      </c>
    </row>
    <row r="1086">
      <c r="A1086" s="2">
        <v>2566.0</v>
      </c>
      <c r="B1086" s="2" t="s">
        <v>3196</v>
      </c>
      <c r="C1086" s="2" t="s">
        <v>7</v>
      </c>
      <c r="D1086" s="2" t="s">
        <v>3197</v>
      </c>
      <c r="E1086" s="2" t="s">
        <v>3198</v>
      </c>
      <c r="F1086" s="6">
        <v>45855.625</v>
      </c>
      <c r="G1086" s="2">
        <v>61821.0</v>
      </c>
      <c r="H1086" s="2">
        <v>61821.0</v>
      </c>
      <c r="I1086" s="2">
        <v>53872.0</v>
      </c>
      <c r="J1086" s="2">
        <v>471.0</v>
      </c>
      <c r="K1086" s="2">
        <v>390.0</v>
      </c>
      <c r="L1086" s="2">
        <v>7.0</v>
      </c>
      <c r="M1086" s="4">
        <v>22078.0</v>
      </c>
      <c r="N1086" s="2" t="s">
        <v>30</v>
      </c>
      <c r="O1086" s="2">
        <v>70.0</v>
      </c>
      <c r="P1086" s="2" t="s">
        <v>31</v>
      </c>
      <c r="Q1086" s="2" t="s">
        <v>32</v>
      </c>
      <c r="R1086" s="2">
        <v>38.0</v>
      </c>
      <c r="T1086" s="2" t="s">
        <v>3199</v>
      </c>
      <c r="U1086" s="2" t="b">
        <v>0</v>
      </c>
      <c r="V1086" s="5">
        <v>0.0072</v>
      </c>
      <c r="W1086" s="5">
        <v>0.0179</v>
      </c>
      <c r="X1086" s="5">
        <v>1.3E-4</v>
      </c>
      <c r="Y1086" s="2">
        <v>56.61025641</v>
      </c>
      <c r="Z1086" s="2" t="s">
        <v>958</v>
      </c>
      <c r="AA1086" s="2" t="s">
        <v>33</v>
      </c>
    </row>
    <row r="1087">
      <c r="A1087" s="2">
        <v>2599.0</v>
      </c>
      <c r="B1087" s="2" t="s">
        <v>3200</v>
      </c>
      <c r="C1087" s="2" t="s">
        <v>7</v>
      </c>
      <c r="D1087" s="2" t="s">
        <v>3201</v>
      </c>
      <c r="E1087" s="2" t="s">
        <v>3202</v>
      </c>
      <c r="F1087" s="6">
        <v>45855.666666666664</v>
      </c>
      <c r="G1087" s="2">
        <v>4754.0</v>
      </c>
      <c r="H1087" s="2">
        <v>4754.0</v>
      </c>
      <c r="I1087" s="2">
        <v>4030.0</v>
      </c>
      <c r="J1087" s="2">
        <v>49.0</v>
      </c>
      <c r="K1087" s="2">
        <v>39.0</v>
      </c>
      <c r="L1087" s="2">
        <v>0.0</v>
      </c>
      <c r="M1087" s="2">
        <v>0.0</v>
      </c>
      <c r="N1087" s="2" t="s">
        <v>423</v>
      </c>
      <c r="O1087" s="2">
        <v>119.0</v>
      </c>
      <c r="P1087" s="2" t="s">
        <v>189</v>
      </c>
      <c r="Q1087" s="2" t="s">
        <v>1367</v>
      </c>
      <c r="R1087" s="2">
        <v>33.0</v>
      </c>
      <c r="T1087" s="2" t="s">
        <v>47</v>
      </c>
      <c r="U1087" s="2" t="b">
        <v>0</v>
      </c>
      <c r="V1087" s="5">
        <v>0.0097</v>
      </c>
      <c r="W1087" s="5">
        <v>0.0</v>
      </c>
      <c r="X1087" s="5">
        <v>0.0</v>
      </c>
      <c r="Y1087" s="2">
        <v>0.0</v>
      </c>
      <c r="AA1087" s="2" t="s">
        <v>423</v>
      </c>
    </row>
    <row r="1088">
      <c r="A1088" s="2">
        <v>2569.0</v>
      </c>
      <c r="B1088" s="2" t="s">
        <v>3203</v>
      </c>
      <c r="C1088" s="2" t="s">
        <v>7</v>
      </c>
      <c r="D1088" s="2" t="s">
        <v>3204</v>
      </c>
      <c r="E1088" s="2" t="s">
        <v>3205</v>
      </c>
      <c r="F1088" s="6">
        <v>45855.708333333336</v>
      </c>
      <c r="G1088" s="2">
        <v>47889.0</v>
      </c>
      <c r="H1088" s="2">
        <v>47889.0</v>
      </c>
      <c r="I1088" s="2">
        <v>40378.0</v>
      </c>
      <c r="J1088" s="2">
        <v>299.0</v>
      </c>
      <c r="K1088" s="2">
        <v>247.0</v>
      </c>
      <c r="L1088" s="2">
        <v>7.0</v>
      </c>
      <c r="M1088" s="4">
        <v>29731.0</v>
      </c>
      <c r="N1088" s="2" t="s">
        <v>36</v>
      </c>
      <c r="O1088" s="2">
        <v>71.0</v>
      </c>
      <c r="P1088" s="2" t="s">
        <v>189</v>
      </c>
      <c r="Q1088" s="2" t="s">
        <v>32</v>
      </c>
      <c r="R1088" s="2">
        <v>69.0</v>
      </c>
      <c r="U1088" s="2" t="b">
        <v>0</v>
      </c>
      <c r="V1088" s="5">
        <v>0.0061</v>
      </c>
      <c r="W1088" s="5">
        <v>0.0283</v>
      </c>
      <c r="X1088" s="5">
        <v>1.73E-4</v>
      </c>
      <c r="Y1088" s="2">
        <v>120.3684211</v>
      </c>
      <c r="AA1088" s="2" t="s">
        <v>33</v>
      </c>
    </row>
    <row r="1089">
      <c r="A1089" s="2">
        <v>2568.0</v>
      </c>
      <c r="B1089" s="2" t="s">
        <v>3206</v>
      </c>
      <c r="C1089" s="2" t="s">
        <v>7</v>
      </c>
      <c r="D1089" s="2" t="s">
        <v>3207</v>
      </c>
      <c r="E1089" s="2" t="s">
        <v>3208</v>
      </c>
      <c r="F1089" s="6">
        <v>45855.708333333336</v>
      </c>
      <c r="G1089" s="2">
        <v>61850.0</v>
      </c>
      <c r="H1089" s="2">
        <v>61850.0</v>
      </c>
      <c r="I1089" s="2">
        <v>53917.0</v>
      </c>
      <c r="J1089" s="2">
        <v>342.0</v>
      </c>
      <c r="K1089" s="2">
        <v>287.0</v>
      </c>
      <c r="L1089" s="2">
        <v>4.0</v>
      </c>
      <c r="M1089" s="4">
        <v>8843.0</v>
      </c>
      <c r="N1089" s="2" t="s">
        <v>30</v>
      </c>
      <c r="O1089" s="2">
        <v>70.0</v>
      </c>
      <c r="P1089" s="2" t="s">
        <v>189</v>
      </c>
      <c r="Q1089" s="2" t="s">
        <v>32</v>
      </c>
      <c r="R1089" s="2">
        <v>51.0</v>
      </c>
      <c r="T1089" s="2" t="s">
        <v>47</v>
      </c>
      <c r="U1089" s="2" t="b">
        <v>0</v>
      </c>
      <c r="V1089" s="5">
        <v>0.0053</v>
      </c>
      <c r="W1089" s="5">
        <v>0.0139</v>
      </c>
      <c r="X1089" s="5">
        <v>7.4E-5</v>
      </c>
      <c r="Y1089" s="2">
        <v>30.81184669</v>
      </c>
      <c r="Z1089" s="2">
        <v>5692.0</v>
      </c>
      <c r="AA1089" s="2" t="s">
        <v>33</v>
      </c>
    </row>
    <row r="1090">
      <c r="A1090" s="2">
        <v>2600.0</v>
      </c>
      <c r="B1090" s="2" t="s">
        <v>3209</v>
      </c>
      <c r="C1090" s="2" t="s">
        <v>7</v>
      </c>
      <c r="D1090" s="2" t="s">
        <v>3210</v>
      </c>
      <c r="E1090" s="2" t="s">
        <v>3211</v>
      </c>
      <c r="F1090" s="6">
        <v>45855.75</v>
      </c>
      <c r="G1090" s="2">
        <v>4761.0</v>
      </c>
      <c r="H1090" s="2">
        <v>4761.0</v>
      </c>
      <c r="I1090" s="2">
        <v>4023.0</v>
      </c>
      <c r="J1090" s="2">
        <v>39.0</v>
      </c>
      <c r="K1090" s="2">
        <v>30.0</v>
      </c>
      <c r="L1090" s="2">
        <v>0.0</v>
      </c>
      <c r="M1090" s="2">
        <v>0.0</v>
      </c>
      <c r="N1090" s="2" t="s">
        <v>423</v>
      </c>
      <c r="O1090" s="2">
        <v>119.0</v>
      </c>
      <c r="P1090" s="2" t="s">
        <v>31</v>
      </c>
      <c r="Q1090" s="2" t="s">
        <v>1367</v>
      </c>
      <c r="R1090" s="2">
        <v>34.0</v>
      </c>
      <c r="U1090" s="2" t="b">
        <v>0</v>
      </c>
      <c r="V1090" s="5">
        <v>0.0075</v>
      </c>
      <c r="W1090" s="5">
        <v>0.0</v>
      </c>
      <c r="X1090" s="5">
        <v>0.0</v>
      </c>
      <c r="Y1090" s="2">
        <v>0.0</v>
      </c>
      <c r="AA1090" s="2" t="s">
        <v>423</v>
      </c>
    </row>
    <row r="1091">
      <c r="A1091" s="2">
        <v>2571.0</v>
      </c>
      <c r="B1091" s="2" t="s">
        <v>3212</v>
      </c>
      <c r="C1091" s="2" t="s">
        <v>7</v>
      </c>
      <c r="D1091" s="2" t="s">
        <v>3213</v>
      </c>
      <c r="E1091" s="2" t="s">
        <v>3214</v>
      </c>
      <c r="F1091" s="6">
        <v>45856.458333333336</v>
      </c>
      <c r="G1091" s="2">
        <v>47906.0</v>
      </c>
      <c r="H1091" s="2">
        <v>47906.0</v>
      </c>
      <c r="I1091" s="2">
        <v>40155.0</v>
      </c>
      <c r="J1091" s="2">
        <v>261.0</v>
      </c>
      <c r="K1091" s="2">
        <v>202.0</v>
      </c>
      <c r="L1091" s="2">
        <v>6.0</v>
      </c>
      <c r="M1091" s="4">
        <v>11565.0</v>
      </c>
      <c r="N1091" s="2" t="s">
        <v>36</v>
      </c>
      <c r="O1091" s="2">
        <v>71.0</v>
      </c>
      <c r="P1091" s="2" t="s">
        <v>31</v>
      </c>
      <c r="Q1091" s="2" t="s">
        <v>32</v>
      </c>
      <c r="R1091" s="2">
        <v>31.0</v>
      </c>
      <c r="T1091" s="2" t="s">
        <v>47</v>
      </c>
      <c r="U1091" s="2" t="b">
        <v>0</v>
      </c>
      <c r="V1091" s="5">
        <v>0.005</v>
      </c>
      <c r="W1091" s="5">
        <v>0.0297</v>
      </c>
      <c r="X1091" s="5">
        <v>1.49E-4</v>
      </c>
      <c r="Y1091" s="2">
        <v>57.25247525</v>
      </c>
      <c r="AA1091" s="2" t="s">
        <v>33</v>
      </c>
    </row>
    <row r="1092">
      <c r="A1092" s="2">
        <v>2570.0</v>
      </c>
      <c r="B1092" s="2" t="s">
        <v>3215</v>
      </c>
      <c r="C1092" s="2" t="s">
        <v>7</v>
      </c>
      <c r="D1092" s="2" t="s">
        <v>3216</v>
      </c>
      <c r="E1092" s="2" t="s">
        <v>3217</v>
      </c>
      <c r="F1092" s="6">
        <v>45856.458333333336</v>
      </c>
      <c r="G1092" s="2">
        <v>61870.0</v>
      </c>
      <c r="H1092" s="2">
        <v>61870.0</v>
      </c>
      <c r="I1092" s="2">
        <v>53717.0</v>
      </c>
      <c r="J1092" s="2">
        <v>290.0</v>
      </c>
      <c r="K1092" s="2">
        <v>225.0</v>
      </c>
      <c r="L1092" s="2">
        <v>3.0</v>
      </c>
      <c r="M1092" s="4">
        <v>6598.0</v>
      </c>
      <c r="N1092" s="2" t="s">
        <v>30</v>
      </c>
      <c r="O1092" s="2">
        <v>70.0</v>
      </c>
      <c r="P1092" s="2" t="s">
        <v>189</v>
      </c>
      <c r="Q1092" s="2" t="s">
        <v>32</v>
      </c>
      <c r="R1092" s="2">
        <v>28.0</v>
      </c>
      <c r="U1092" s="2" t="b">
        <v>0</v>
      </c>
      <c r="V1092" s="5">
        <v>0.0042</v>
      </c>
      <c r="W1092" s="5">
        <v>0.0133</v>
      </c>
      <c r="X1092" s="5">
        <v>5.6E-5</v>
      </c>
      <c r="Y1092" s="2">
        <v>29.32444444</v>
      </c>
      <c r="Z1092" s="2" t="s">
        <v>2731</v>
      </c>
      <c r="AA1092" s="2" t="s">
        <v>33</v>
      </c>
    </row>
    <row r="1093">
      <c r="A1093" s="2">
        <v>2601.0</v>
      </c>
      <c r="B1093" s="2" t="s">
        <v>3218</v>
      </c>
      <c r="C1093" s="2" t="s">
        <v>7</v>
      </c>
      <c r="D1093" s="2" t="s">
        <v>3219</v>
      </c>
      <c r="E1093" s="2" t="s">
        <v>3220</v>
      </c>
      <c r="F1093" s="6">
        <v>45856.583333333336</v>
      </c>
      <c r="G1093" s="2">
        <v>4787.0</v>
      </c>
      <c r="H1093" s="2">
        <v>4787.0</v>
      </c>
      <c r="I1093" s="2">
        <v>4034.0</v>
      </c>
      <c r="J1093" s="2">
        <v>41.0</v>
      </c>
      <c r="K1093" s="2">
        <v>35.0</v>
      </c>
      <c r="L1093" s="2">
        <v>0.0</v>
      </c>
      <c r="M1093" s="2">
        <v>0.0</v>
      </c>
      <c r="N1093" s="2" t="s">
        <v>423</v>
      </c>
      <c r="O1093" s="2">
        <v>119.0</v>
      </c>
      <c r="P1093" s="2" t="s">
        <v>189</v>
      </c>
      <c r="Q1093" s="2" t="s">
        <v>1367</v>
      </c>
      <c r="R1093" s="2">
        <v>27.0</v>
      </c>
      <c r="T1093" s="2" t="s">
        <v>47</v>
      </c>
      <c r="U1093" s="2" t="b">
        <v>0</v>
      </c>
      <c r="V1093" s="5">
        <v>0.0087</v>
      </c>
      <c r="W1093" s="5">
        <v>0.0</v>
      </c>
      <c r="X1093" s="5">
        <v>0.0</v>
      </c>
      <c r="Y1093" s="2">
        <v>0.0</v>
      </c>
      <c r="AA1093" s="2" t="s">
        <v>423</v>
      </c>
    </row>
    <row r="1094">
      <c r="A1094" s="2">
        <v>2573.0</v>
      </c>
      <c r="B1094" s="2" t="s">
        <v>3221</v>
      </c>
      <c r="C1094" s="2" t="s">
        <v>7</v>
      </c>
      <c r="D1094" s="2" t="s">
        <v>3222</v>
      </c>
      <c r="E1094" s="2" t="s">
        <v>3223</v>
      </c>
      <c r="F1094" s="6">
        <v>45856.625</v>
      </c>
      <c r="G1094" s="2">
        <v>47942.0</v>
      </c>
      <c r="H1094" s="2">
        <v>47942.0</v>
      </c>
      <c r="I1094" s="2">
        <v>40456.0</v>
      </c>
      <c r="J1094" s="2">
        <v>301.0</v>
      </c>
      <c r="K1094" s="2">
        <v>238.0</v>
      </c>
      <c r="L1094" s="2">
        <v>3.0</v>
      </c>
      <c r="M1094" s="4">
        <v>5375.0</v>
      </c>
      <c r="N1094" s="2" t="s">
        <v>36</v>
      </c>
      <c r="O1094" s="2">
        <v>71.0</v>
      </c>
      <c r="P1094" s="2" t="s">
        <v>189</v>
      </c>
      <c r="Q1094" s="2" t="s">
        <v>32</v>
      </c>
      <c r="R1094" s="2">
        <v>35.0</v>
      </c>
      <c r="T1094" s="2" t="s">
        <v>58</v>
      </c>
      <c r="U1094" s="2" t="b">
        <v>1</v>
      </c>
      <c r="V1094" s="5">
        <v>0.0059</v>
      </c>
      <c r="W1094" s="5">
        <v>0.0126</v>
      </c>
      <c r="X1094" s="5">
        <v>7.4E-5</v>
      </c>
      <c r="Y1094" s="2">
        <v>22.58403361</v>
      </c>
      <c r="AA1094" s="2" t="s">
        <v>33</v>
      </c>
    </row>
    <row r="1095">
      <c r="A1095" s="2">
        <v>2572.0</v>
      </c>
      <c r="B1095" s="2" t="s">
        <v>3224</v>
      </c>
      <c r="C1095" s="2" t="s">
        <v>7</v>
      </c>
      <c r="D1095" s="2" t="s">
        <v>3225</v>
      </c>
      <c r="E1095" s="2" t="s">
        <v>3226</v>
      </c>
      <c r="F1095" s="6">
        <v>45856.625</v>
      </c>
      <c r="G1095" s="2">
        <v>61934.0</v>
      </c>
      <c r="H1095" s="2">
        <v>61934.0</v>
      </c>
      <c r="I1095" s="2">
        <v>53926.0</v>
      </c>
      <c r="J1095" s="2">
        <v>367.0</v>
      </c>
      <c r="K1095" s="2">
        <v>297.0</v>
      </c>
      <c r="L1095" s="2">
        <v>8.0</v>
      </c>
      <c r="M1095" s="4">
        <v>14277.0</v>
      </c>
      <c r="N1095" s="2" t="s">
        <v>30</v>
      </c>
      <c r="O1095" s="2">
        <v>70.0</v>
      </c>
      <c r="P1095" s="2" t="s">
        <v>189</v>
      </c>
      <c r="Q1095" s="2" t="s">
        <v>32</v>
      </c>
      <c r="R1095" s="2">
        <v>34.0</v>
      </c>
      <c r="T1095" s="2" t="s">
        <v>405</v>
      </c>
      <c r="U1095" s="2" t="b">
        <v>0</v>
      </c>
      <c r="V1095" s="5">
        <v>0.0055</v>
      </c>
      <c r="W1095" s="5">
        <v>0.0269</v>
      </c>
      <c r="X1095" s="5">
        <v>1.48E-4</v>
      </c>
      <c r="Y1095" s="2">
        <v>48.07070707</v>
      </c>
      <c r="AA1095" s="2" t="s">
        <v>33</v>
      </c>
    </row>
    <row r="1096">
      <c r="A1096" s="2">
        <v>2602.0</v>
      </c>
      <c r="B1096" s="2" t="s">
        <v>3227</v>
      </c>
      <c r="C1096" s="2" t="s">
        <v>7</v>
      </c>
      <c r="D1096" s="2" t="s">
        <v>3228</v>
      </c>
      <c r="E1096" s="2" t="s">
        <v>3229</v>
      </c>
      <c r="F1096" s="6">
        <v>45856.666666666664</v>
      </c>
      <c r="G1096" s="2">
        <v>4781.0</v>
      </c>
      <c r="H1096" s="2">
        <v>4781.0</v>
      </c>
      <c r="I1096" s="2">
        <v>4032.0</v>
      </c>
      <c r="J1096" s="2">
        <v>62.0</v>
      </c>
      <c r="K1096" s="2">
        <v>47.0</v>
      </c>
      <c r="L1096" s="2">
        <v>1.0</v>
      </c>
      <c r="M1096" s="4">
        <v>2200.0</v>
      </c>
      <c r="N1096" s="2" t="s">
        <v>423</v>
      </c>
      <c r="O1096" s="2">
        <v>119.0</v>
      </c>
      <c r="P1096" s="2" t="s">
        <v>31</v>
      </c>
      <c r="Q1096" s="2" t="s">
        <v>1367</v>
      </c>
      <c r="R1096" s="2">
        <v>30.0</v>
      </c>
      <c r="T1096" s="2" t="s">
        <v>162</v>
      </c>
      <c r="U1096" s="2" t="b">
        <v>0</v>
      </c>
      <c r="V1096" s="5">
        <v>0.0117</v>
      </c>
      <c r="W1096" s="5">
        <v>0.0213</v>
      </c>
      <c r="X1096" s="5">
        <v>2.48E-4</v>
      </c>
      <c r="Y1096" s="2">
        <v>46.80851064</v>
      </c>
      <c r="AA1096" s="2" t="s">
        <v>423</v>
      </c>
    </row>
    <row r="1097">
      <c r="A1097" s="2">
        <v>2576.0</v>
      </c>
      <c r="B1097" s="2" t="s">
        <v>3230</v>
      </c>
      <c r="C1097" s="2" t="s">
        <v>7</v>
      </c>
      <c r="D1097" s="2" t="s">
        <v>3231</v>
      </c>
      <c r="E1097" s="2" t="s">
        <v>3232</v>
      </c>
      <c r="F1097" s="6">
        <v>45856.708333333336</v>
      </c>
      <c r="G1097" s="2">
        <v>47971.0</v>
      </c>
      <c r="H1097" s="2">
        <v>47971.0</v>
      </c>
      <c r="I1097" s="2">
        <v>40458.0</v>
      </c>
      <c r="J1097" s="2">
        <v>306.0</v>
      </c>
      <c r="K1097" s="2">
        <v>240.0</v>
      </c>
      <c r="L1097" s="2">
        <v>5.0</v>
      </c>
      <c r="M1097" s="4">
        <v>26759.0</v>
      </c>
      <c r="N1097" s="2" t="s">
        <v>36</v>
      </c>
      <c r="O1097" s="2">
        <v>71.0</v>
      </c>
      <c r="P1097" s="2" t="s">
        <v>189</v>
      </c>
      <c r="Q1097" s="2" t="s">
        <v>32</v>
      </c>
      <c r="R1097" s="2">
        <v>44.0</v>
      </c>
      <c r="U1097" s="2" t="b">
        <v>0</v>
      </c>
      <c r="V1097" s="5">
        <v>0.0059</v>
      </c>
      <c r="W1097" s="5">
        <v>0.0208</v>
      </c>
      <c r="X1097" s="5">
        <v>1.24E-4</v>
      </c>
      <c r="Y1097" s="2">
        <v>111.4958333</v>
      </c>
      <c r="AA1097" s="2" t="s">
        <v>33</v>
      </c>
    </row>
    <row r="1098">
      <c r="A1098" s="2">
        <v>2575.0</v>
      </c>
      <c r="B1098" s="2" t="s">
        <v>3233</v>
      </c>
      <c r="C1098" s="2" t="s">
        <v>7</v>
      </c>
      <c r="D1098" s="2" t="s">
        <v>3234</v>
      </c>
      <c r="E1098" s="2" t="s">
        <v>3235</v>
      </c>
      <c r="F1098" s="6">
        <v>45856.708333333336</v>
      </c>
      <c r="G1098" s="2">
        <v>61960.0</v>
      </c>
      <c r="H1098" s="2">
        <v>61960.0</v>
      </c>
      <c r="I1098" s="2">
        <v>53974.0</v>
      </c>
      <c r="J1098" s="2">
        <v>379.0</v>
      </c>
      <c r="K1098" s="2">
        <v>304.0</v>
      </c>
      <c r="L1098" s="2">
        <v>2.0</v>
      </c>
      <c r="M1098" s="4">
        <v>2330.0</v>
      </c>
      <c r="N1098" s="2" t="s">
        <v>30</v>
      </c>
      <c r="O1098" s="2">
        <v>70.0</v>
      </c>
      <c r="P1098" s="2" t="s">
        <v>189</v>
      </c>
      <c r="Q1098" s="2" t="s">
        <v>32</v>
      </c>
      <c r="R1098" s="2">
        <v>39.0</v>
      </c>
      <c r="T1098" s="2" t="s">
        <v>47</v>
      </c>
      <c r="U1098" s="2" t="b">
        <v>0</v>
      </c>
      <c r="V1098" s="5">
        <v>0.0056</v>
      </c>
      <c r="W1098" s="5">
        <v>0.0066</v>
      </c>
      <c r="X1098" s="5">
        <v>3.7E-5</v>
      </c>
      <c r="Y1098" s="2">
        <v>7.664473684</v>
      </c>
      <c r="Z1098" s="2">
        <v>4619.0</v>
      </c>
      <c r="AA1098" s="2" t="s">
        <v>33</v>
      </c>
    </row>
    <row r="1099">
      <c r="A1099" s="2">
        <v>2603.0</v>
      </c>
      <c r="B1099" s="2" t="s">
        <v>3236</v>
      </c>
      <c r="C1099" s="2" t="s">
        <v>7</v>
      </c>
      <c r="D1099" s="2" t="s">
        <v>3237</v>
      </c>
      <c r="E1099" s="2" t="s">
        <v>3238</v>
      </c>
      <c r="F1099" s="6">
        <v>45856.75</v>
      </c>
      <c r="G1099" s="2">
        <v>4792.0</v>
      </c>
      <c r="H1099" s="2">
        <v>4792.0</v>
      </c>
      <c r="I1099" s="2">
        <v>3984.0</v>
      </c>
      <c r="J1099" s="2">
        <v>21.0</v>
      </c>
      <c r="K1099" s="2">
        <v>18.0</v>
      </c>
      <c r="L1099" s="2">
        <v>1.0</v>
      </c>
      <c r="M1099" s="2">
        <v>150.0</v>
      </c>
      <c r="N1099" s="2" t="s">
        <v>423</v>
      </c>
      <c r="O1099" s="2">
        <v>119.0</v>
      </c>
      <c r="P1099" s="2" t="s">
        <v>31</v>
      </c>
      <c r="Q1099" s="2" t="s">
        <v>1367</v>
      </c>
      <c r="R1099" s="2">
        <v>27.0</v>
      </c>
      <c r="T1099" s="2" t="s">
        <v>47</v>
      </c>
      <c r="U1099" s="2" t="b">
        <v>0</v>
      </c>
      <c r="V1099" s="5">
        <v>0.0045</v>
      </c>
      <c r="W1099" s="5">
        <v>0.0556</v>
      </c>
      <c r="X1099" s="5">
        <v>2.51E-4</v>
      </c>
      <c r="Y1099" s="2">
        <v>8.333333333</v>
      </c>
      <c r="AA1099" s="2" t="s">
        <v>423</v>
      </c>
    </row>
    <row r="1100">
      <c r="A1100" s="2">
        <v>2621.0</v>
      </c>
      <c r="B1100" s="2" t="s">
        <v>3239</v>
      </c>
      <c r="C1100" s="2" t="s">
        <v>7</v>
      </c>
      <c r="D1100" s="2" t="s">
        <v>3240</v>
      </c>
      <c r="E1100" s="2" t="s">
        <v>3241</v>
      </c>
      <c r="F1100" s="6">
        <v>45856.75</v>
      </c>
      <c r="G1100" s="2">
        <v>4792.0</v>
      </c>
      <c r="H1100" s="2">
        <v>4792.0</v>
      </c>
      <c r="I1100" s="2">
        <v>4098.0</v>
      </c>
      <c r="J1100" s="2">
        <v>63.0</v>
      </c>
      <c r="K1100" s="2">
        <v>50.0</v>
      </c>
      <c r="L1100" s="2">
        <v>0.0</v>
      </c>
      <c r="M1100" s="2">
        <v>0.0</v>
      </c>
      <c r="N1100" s="2" t="s">
        <v>423</v>
      </c>
      <c r="O1100" s="2">
        <v>119.0</v>
      </c>
      <c r="P1100" s="2" t="s">
        <v>31</v>
      </c>
      <c r="Q1100" s="2" t="s">
        <v>32</v>
      </c>
      <c r="R1100" s="2">
        <v>34.0</v>
      </c>
      <c r="U1100" s="2" t="b">
        <v>0</v>
      </c>
      <c r="V1100" s="5">
        <v>0.0122</v>
      </c>
      <c r="W1100" s="5">
        <v>0.0</v>
      </c>
      <c r="X1100" s="5">
        <v>0.0</v>
      </c>
      <c r="Y1100" s="2">
        <v>0.0</v>
      </c>
      <c r="AA1100" s="2" t="s">
        <v>423</v>
      </c>
    </row>
    <row r="1101">
      <c r="A1101" s="2">
        <v>2581.0</v>
      </c>
      <c r="B1101" s="2" t="s">
        <v>3242</v>
      </c>
      <c r="C1101" s="2" t="s">
        <v>7</v>
      </c>
      <c r="D1101" s="2" t="s">
        <v>3243</v>
      </c>
      <c r="E1101" s="2" t="s">
        <v>3244</v>
      </c>
      <c r="F1101" s="6">
        <v>45857.458333333336</v>
      </c>
      <c r="G1101" s="2">
        <v>48007.0</v>
      </c>
      <c r="H1101" s="2">
        <v>48007.0</v>
      </c>
      <c r="I1101" s="2">
        <v>40097.0</v>
      </c>
      <c r="J1101" s="2">
        <v>315.0</v>
      </c>
      <c r="K1101" s="2">
        <v>246.0</v>
      </c>
      <c r="L1101" s="2">
        <v>6.0</v>
      </c>
      <c r="M1101" s="4">
        <v>32381.0</v>
      </c>
      <c r="N1101" s="2" t="s">
        <v>36</v>
      </c>
      <c r="O1101" s="2">
        <v>71.0</v>
      </c>
      <c r="P1101" s="2" t="s">
        <v>31</v>
      </c>
      <c r="Q1101" s="2" t="s">
        <v>32</v>
      </c>
      <c r="R1101" s="2">
        <v>33.0</v>
      </c>
      <c r="U1101" s="2" t="b">
        <v>0</v>
      </c>
      <c r="V1101" s="5">
        <v>0.0061</v>
      </c>
      <c r="W1101" s="5">
        <v>0.0244</v>
      </c>
      <c r="X1101" s="5">
        <v>1.5E-4</v>
      </c>
      <c r="Y1101" s="2">
        <v>131.6300813</v>
      </c>
      <c r="AA1101" s="2" t="s">
        <v>33</v>
      </c>
    </row>
    <row r="1102">
      <c r="A1102" s="2">
        <v>2580.0</v>
      </c>
      <c r="B1102" s="2" t="s">
        <v>3245</v>
      </c>
      <c r="C1102" s="2" t="s">
        <v>7</v>
      </c>
      <c r="D1102" s="2" t="s">
        <v>3246</v>
      </c>
      <c r="E1102" s="2" t="s">
        <v>3247</v>
      </c>
      <c r="F1102" s="6">
        <v>45857.458333333336</v>
      </c>
      <c r="G1102" s="2">
        <v>62066.0</v>
      </c>
      <c r="H1102" s="2">
        <v>62066.0</v>
      </c>
      <c r="I1102" s="2">
        <v>53769.0</v>
      </c>
      <c r="J1102" s="2">
        <v>367.0</v>
      </c>
      <c r="K1102" s="2">
        <v>309.0</v>
      </c>
      <c r="L1102" s="2">
        <v>1.0</v>
      </c>
      <c r="M1102" s="4">
        <v>2398.0</v>
      </c>
      <c r="N1102" s="2" t="s">
        <v>30</v>
      </c>
      <c r="O1102" s="2">
        <v>70.0</v>
      </c>
      <c r="P1102" s="2" t="s">
        <v>189</v>
      </c>
      <c r="Q1102" s="2" t="s">
        <v>32</v>
      </c>
      <c r="R1102" s="2">
        <v>34.0</v>
      </c>
      <c r="U1102" s="2" t="b">
        <v>0</v>
      </c>
      <c r="V1102" s="5">
        <v>0.0057</v>
      </c>
      <c r="W1102" s="5">
        <v>0.0032</v>
      </c>
      <c r="X1102" s="5">
        <v>1.9E-5</v>
      </c>
      <c r="Y1102" s="2">
        <v>7.760517799</v>
      </c>
      <c r="Z1102" s="2">
        <v>949.0</v>
      </c>
      <c r="AA1102" s="2" t="s">
        <v>33</v>
      </c>
    </row>
    <row r="1103">
      <c r="A1103" s="2">
        <v>2604.0</v>
      </c>
      <c r="B1103" s="2" t="s">
        <v>3248</v>
      </c>
      <c r="C1103" s="2" t="s">
        <v>7</v>
      </c>
      <c r="D1103" s="2" t="s">
        <v>3249</v>
      </c>
      <c r="E1103" s="2" t="s">
        <v>3250</v>
      </c>
      <c r="F1103" s="6">
        <v>45857.583333333336</v>
      </c>
      <c r="G1103" s="2">
        <v>4934.0</v>
      </c>
      <c r="H1103" s="2">
        <v>4934.0</v>
      </c>
      <c r="I1103" s="2">
        <v>4142.0</v>
      </c>
      <c r="J1103" s="2">
        <v>40.0</v>
      </c>
      <c r="K1103" s="2">
        <v>32.0</v>
      </c>
      <c r="L1103" s="2">
        <v>1.0</v>
      </c>
      <c r="M1103" s="4">
        <v>7996.0</v>
      </c>
      <c r="N1103" s="2" t="s">
        <v>423</v>
      </c>
      <c r="O1103" s="2">
        <v>119.0</v>
      </c>
      <c r="P1103" s="2" t="s">
        <v>189</v>
      </c>
      <c r="Q1103" s="2" t="s">
        <v>1367</v>
      </c>
      <c r="R1103" s="2">
        <v>30.0</v>
      </c>
      <c r="U1103" s="2" t="b">
        <v>0</v>
      </c>
      <c r="V1103" s="5">
        <v>0.0077</v>
      </c>
      <c r="W1103" s="5">
        <v>0.0313</v>
      </c>
      <c r="X1103" s="5">
        <v>2.41E-4</v>
      </c>
      <c r="Y1103" s="2">
        <v>249.875</v>
      </c>
      <c r="AA1103" s="2" t="s">
        <v>423</v>
      </c>
    </row>
    <row r="1104">
      <c r="A1104" s="2">
        <v>2583.0</v>
      </c>
      <c r="B1104" s="2" t="s">
        <v>3251</v>
      </c>
      <c r="C1104" s="2" t="s">
        <v>7</v>
      </c>
      <c r="D1104" s="2" t="s">
        <v>3252</v>
      </c>
      <c r="E1104" s="2" t="s">
        <v>3253</v>
      </c>
      <c r="F1104" s="6">
        <v>45857.625</v>
      </c>
      <c r="G1104" s="2">
        <v>48063.0</v>
      </c>
      <c r="H1104" s="2">
        <v>48063.0</v>
      </c>
      <c r="I1104" s="2">
        <v>40441.0</v>
      </c>
      <c r="J1104" s="2">
        <v>281.0</v>
      </c>
      <c r="K1104" s="2">
        <v>224.0</v>
      </c>
      <c r="L1104" s="2">
        <v>3.0</v>
      </c>
      <c r="M1104" s="4">
        <v>8102.0</v>
      </c>
      <c r="N1104" s="2" t="s">
        <v>36</v>
      </c>
      <c r="O1104" s="2">
        <v>71.0</v>
      </c>
      <c r="P1104" s="2" t="s">
        <v>189</v>
      </c>
      <c r="Q1104" s="2" t="s">
        <v>32</v>
      </c>
      <c r="R1104" s="2">
        <v>41.0</v>
      </c>
      <c r="T1104" s="7" t="str">
        <f>IFERROR(__xludf.DUMMYFUNCTION("AI(""has offer Come X Pay X"",D1104)"),"has offer Come 4 Pay 3")</f>
        <v>has offer Come 4 Pay 3</v>
      </c>
      <c r="U1104" s="2" t="b">
        <v>0</v>
      </c>
      <c r="V1104" s="5">
        <v>0.0055</v>
      </c>
      <c r="W1104" s="5">
        <v>0.0134</v>
      </c>
      <c r="X1104" s="5">
        <v>7.4E-5</v>
      </c>
      <c r="Y1104" s="2">
        <v>36.16964286</v>
      </c>
      <c r="AA1104" s="2" t="s">
        <v>33</v>
      </c>
    </row>
    <row r="1105">
      <c r="A1105" s="2">
        <v>2582.0</v>
      </c>
      <c r="B1105" s="2" t="s">
        <v>3254</v>
      </c>
      <c r="C1105" s="2" t="s">
        <v>7</v>
      </c>
      <c r="D1105" s="2" t="s">
        <v>3255</v>
      </c>
      <c r="E1105" s="2" t="s">
        <v>3256</v>
      </c>
      <c r="F1105" s="6">
        <v>45857.625</v>
      </c>
      <c r="G1105" s="2">
        <v>62128.0</v>
      </c>
      <c r="H1105" s="2">
        <v>62128.0</v>
      </c>
      <c r="I1105" s="2">
        <v>54069.0</v>
      </c>
      <c r="J1105" s="2">
        <v>311.0</v>
      </c>
      <c r="K1105" s="2">
        <v>253.0</v>
      </c>
      <c r="L1105" s="2">
        <v>3.0</v>
      </c>
      <c r="M1105" s="4">
        <v>7992.0</v>
      </c>
      <c r="N1105" s="2" t="s">
        <v>30</v>
      </c>
      <c r="O1105" s="2">
        <v>70.0</v>
      </c>
      <c r="P1105" s="2" t="s">
        <v>189</v>
      </c>
      <c r="Q1105" s="2" t="s">
        <v>32</v>
      </c>
      <c r="R1105" s="2">
        <v>35.0</v>
      </c>
      <c r="T1105" s="2" t="s">
        <v>143</v>
      </c>
      <c r="U1105" s="2" t="b">
        <v>0</v>
      </c>
      <c r="V1105" s="5">
        <v>0.0047</v>
      </c>
      <c r="W1105" s="5">
        <v>0.0119</v>
      </c>
      <c r="X1105" s="5">
        <v>5.5E-5</v>
      </c>
      <c r="Y1105" s="2">
        <v>31.58893281</v>
      </c>
      <c r="Z1105" s="2">
        <v>4889.0</v>
      </c>
      <c r="AA1105" s="2" t="s">
        <v>33</v>
      </c>
    </row>
    <row r="1106">
      <c r="A1106" s="2">
        <v>2605.0</v>
      </c>
      <c r="B1106" s="2" t="s">
        <v>3257</v>
      </c>
      <c r="C1106" s="2" t="s">
        <v>7</v>
      </c>
      <c r="D1106" s="2" t="s">
        <v>3258</v>
      </c>
      <c r="E1106" s="2" t="s">
        <v>3259</v>
      </c>
      <c r="F1106" s="6">
        <v>45857.666666666664</v>
      </c>
      <c r="G1106" s="2">
        <v>4952.0</v>
      </c>
      <c r="H1106" s="2">
        <v>4952.0</v>
      </c>
      <c r="I1106" s="2">
        <v>4167.0</v>
      </c>
      <c r="J1106" s="2">
        <v>27.0</v>
      </c>
      <c r="K1106" s="2">
        <v>23.0</v>
      </c>
      <c r="L1106" s="2">
        <v>0.0</v>
      </c>
      <c r="M1106" s="2">
        <v>0.0</v>
      </c>
      <c r="N1106" s="2" t="s">
        <v>423</v>
      </c>
      <c r="O1106" s="2">
        <v>119.0</v>
      </c>
      <c r="P1106" s="2" t="s">
        <v>189</v>
      </c>
      <c r="Q1106" s="2" t="s">
        <v>1367</v>
      </c>
      <c r="R1106" s="2">
        <v>34.0</v>
      </c>
      <c r="U1106" s="2" t="b">
        <v>0</v>
      </c>
      <c r="V1106" s="5">
        <v>0.0055</v>
      </c>
      <c r="W1106" s="5">
        <v>0.0</v>
      </c>
      <c r="X1106" s="5">
        <v>0.0</v>
      </c>
      <c r="Y1106" s="2">
        <v>0.0</v>
      </c>
      <c r="AA1106" s="2" t="s">
        <v>423</v>
      </c>
    </row>
    <row r="1107">
      <c r="A1107" s="2">
        <v>2585.0</v>
      </c>
      <c r="B1107" s="2" t="s">
        <v>3260</v>
      </c>
      <c r="C1107" s="2" t="s">
        <v>7</v>
      </c>
      <c r="D1107" s="2" t="s">
        <v>3261</v>
      </c>
      <c r="E1107" s="2" t="s">
        <v>3262</v>
      </c>
      <c r="F1107" s="6">
        <v>45857.708333333336</v>
      </c>
      <c r="G1107" s="2">
        <v>48074.0</v>
      </c>
      <c r="H1107" s="2">
        <v>48074.0</v>
      </c>
      <c r="I1107" s="2">
        <v>40372.0</v>
      </c>
      <c r="J1107" s="2">
        <v>341.0</v>
      </c>
      <c r="K1107" s="2">
        <v>266.0</v>
      </c>
      <c r="L1107" s="2">
        <v>2.0</v>
      </c>
      <c r="M1107" s="4">
        <v>28363.0</v>
      </c>
      <c r="N1107" s="2" t="s">
        <v>36</v>
      </c>
      <c r="O1107" s="2">
        <v>71.0</v>
      </c>
      <c r="P1107" s="2" t="s">
        <v>189</v>
      </c>
      <c r="Q1107" s="2" t="s">
        <v>32</v>
      </c>
      <c r="R1107" s="2">
        <v>37.0</v>
      </c>
      <c r="T1107" s="2" t="s">
        <v>58</v>
      </c>
      <c r="U1107" s="2" t="b">
        <v>1</v>
      </c>
      <c r="V1107" s="5">
        <v>0.0066</v>
      </c>
      <c r="W1107" s="5">
        <v>0.0075</v>
      </c>
      <c r="X1107" s="5">
        <v>5.0E-5</v>
      </c>
      <c r="Y1107" s="2">
        <v>106.6278195</v>
      </c>
      <c r="AA1107" s="2" t="s">
        <v>33</v>
      </c>
    </row>
    <row r="1108">
      <c r="A1108" s="2">
        <v>2584.0</v>
      </c>
      <c r="B1108" s="2" t="s">
        <v>3263</v>
      </c>
      <c r="C1108" s="2" t="s">
        <v>7</v>
      </c>
      <c r="D1108" s="2" t="s">
        <v>3264</v>
      </c>
      <c r="E1108" s="2" t="s">
        <v>3265</v>
      </c>
      <c r="F1108" s="6">
        <v>45857.708333333336</v>
      </c>
      <c r="G1108" s="2">
        <v>62157.0</v>
      </c>
      <c r="H1108" s="2">
        <v>62157.0</v>
      </c>
      <c r="I1108" s="2">
        <v>54110.0</v>
      </c>
      <c r="J1108" s="2">
        <v>401.0</v>
      </c>
      <c r="K1108" s="2">
        <v>322.0</v>
      </c>
      <c r="L1108" s="2">
        <v>6.0</v>
      </c>
      <c r="M1108" s="4">
        <v>16659.0</v>
      </c>
      <c r="N1108" s="2" t="s">
        <v>30</v>
      </c>
      <c r="O1108" s="2">
        <v>70.0</v>
      </c>
      <c r="P1108" s="2" t="s">
        <v>189</v>
      </c>
      <c r="Q1108" s="2" t="s">
        <v>32</v>
      </c>
      <c r="R1108" s="2">
        <v>36.0</v>
      </c>
      <c r="T1108" s="2" t="s">
        <v>405</v>
      </c>
      <c r="U1108" s="2" t="b">
        <v>0</v>
      </c>
      <c r="V1108" s="5">
        <v>0.006</v>
      </c>
      <c r="W1108" s="5">
        <v>0.0186</v>
      </c>
      <c r="X1108" s="5">
        <v>1.11E-4</v>
      </c>
      <c r="Y1108" s="2">
        <v>51.73602484</v>
      </c>
      <c r="Z1108" s="2">
        <v>3377.0</v>
      </c>
      <c r="AA1108" s="2" t="s">
        <v>33</v>
      </c>
    </row>
    <row r="1109">
      <c r="A1109" s="2">
        <v>2606.0</v>
      </c>
      <c r="B1109" s="2" t="s">
        <v>3266</v>
      </c>
      <c r="C1109" s="2" t="s">
        <v>7</v>
      </c>
      <c r="D1109" s="2" t="s">
        <v>3267</v>
      </c>
      <c r="E1109" s="2" t="s">
        <v>3268</v>
      </c>
      <c r="F1109" s="6">
        <v>45857.75</v>
      </c>
      <c r="G1109" s="2">
        <v>4966.0</v>
      </c>
      <c r="H1109" s="2">
        <v>4966.0</v>
      </c>
      <c r="I1109" s="2">
        <v>4178.0</v>
      </c>
      <c r="J1109" s="2">
        <v>39.0</v>
      </c>
      <c r="K1109" s="2">
        <v>33.0</v>
      </c>
      <c r="L1109" s="2">
        <v>1.0</v>
      </c>
      <c r="M1109" s="4">
        <v>1998.0</v>
      </c>
      <c r="N1109" s="2" t="s">
        <v>423</v>
      </c>
      <c r="O1109" s="2">
        <v>119.0</v>
      </c>
      <c r="P1109" s="2" t="s">
        <v>31</v>
      </c>
      <c r="Q1109" s="2" t="s">
        <v>1367</v>
      </c>
      <c r="R1109" s="2">
        <v>29.0</v>
      </c>
      <c r="U1109" s="2" t="b">
        <v>0</v>
      </c>
      <c r="V1109" s="5">
        <v>0.0079</v>
      </c>
      <c r="W1109" s="5">
        <v>0.0303</v>
      </c>
      <c r="X1109" s="5">
        <v>2.39E-4</v>
      </c>
      <c r="Y1109" s="2">
        <v>60.54545455</v>
      </c>
      <c r="AA1109" s="2" t="s">
        <v>423</v>
      </c>
    </row>
    <row r="1110">
      <c r="A1110" s="2">
        <v>2587.0</v>
      </c>
      <c r="B1110" s="2" t="s">
        <v>3269</v>
      </c>
      <c r="C1110" s="2" t="s">
        <v>7</v>
      </c>
      <c r="D1110" s="2" t="s">
        <v>3270</v>
      </c>
      <c r="E1110" s="2" t="s">
        <v>3271</v>
      </c>
      <c r="F1110" s="6">
        <v>45858.458333333336</v>
      </c>
      <c r="G1110" s="2">
        <v>48073.0</v>
      </c>
      <c r="H1110" s="2">
        <v>48073.0</v>
      </c>
      <c r="I1110" s="2">
        <v>40067.0</v>
      </c>
      <c r="J1110" s="2">
        <v>391.0</v>
      </c>
      <c r="K1110" s="2">
        <v>326.0</v>
      </c>
      <c r="L1110" s="2">
        <v>11.0</v>
      </c>
      <c r="M1110" s="4">
        <v>40979.0</v>
      </c>
      <c r="N1110" s="2" t="s">
        <v>36</v>
      </c>
      <c r="O1110" s="2">
        <v>71.0</v>
      </c>
      <c r="P1110" s="2" t="s">
        <v>189</v>
      </c>
      <c r="Q1110" s="2" t="s">
        <v>32</v>
      </c>
      <c r="R1110" s="2">
        <v>38.0</v>
      </c>
      <c r="T1110" s="2" t="s">
        <v>3272</v>
      </c>
      <c r="U1110" s="2" t="b">
        <v>0</v>
      </c>
      <c r="V1110" s="5">
        <v>0.0081</v>
      </c>
      <c r="W1110" s="5">
        <v>0.0337</v>
      </c>
      <c r="X1110" s="5">
        <v>2.75E-4</v>
      </c>
      <c r="Y1110" s="2">
        <v>125.702454</v>
      </c>
      <c r="AA1110" s="2" t="s">
        <v>33</v>
      </c>
    </row>
    <row r="1111">
      <c r="A1111" s="2">
        <v>2586.0</v>
      </c>
      <c r="B1111" s="2" t="s">
        <v>3273</v>
      </c>
      <c r="C1111" s="2" t="s">
        <v>7</v>
      </c>
      <c r="D1111" s="2" t="s">
        <v>3274</v>
      </c>
      <c r="E1111" s="2" t="s">
        <v>3275</v>
      </c>
      <c r="F1111" s="6">
        <v>45858.458333333336</v>
      </c>
      <c r="G1111" s="2">
        <v>62270.0</v>
      </c>
      <c r="H1111" s="2">
        <v>62270.0</v>
      </c>
      <c r="I1111" s="2">
        <v>53798.0</v>
      </c>
      <c r="J1111" s="2">
        <v>353.0</v>
      </c>
      <c r="K1111" s="2">
        <v>292.0</v>
      </c>
      <c r="L1111" s="2">
        <v>9.0</v>
      </c>
      <c r="M1111" s="4">
        <v>16384.0</v>
      </c>
      <c r="N1111" s="2" t="s">
        <v>30</v>
      </c>
      <c r="O1111" s="2">
        <v>70.0</v>
      </c>
      <c r="P1111" s="2" t="s">
        <v>189</v>
      </c>
      <c r="Q1111" s="2" t="s">
        <v>32</v>
      </c>
      <c r="R1111" s="2">
        <v>30.0</v>
      </c>
      <c r="U1111" s="2" t="b">
        <v>0</v>
      </c>
      <c r="V1111" s="5">
        <v>0.0054</v>
      </c>
      <c r="W1111" s="5">
        <v>0.0308</v>
      </c>
      <c r="X1111" s="5">
        <v>1.67E-4</v>
      </c>
      <c r="Y1111" s="2">
        <v>56.10958904</v>
      </c>
      <c r="AA1111" s="2" t="s">
        <v>33</v>
      </c>
    </row>
    <row r="1112">
      <c r="A1112" s="2">
        <v>2607.0</v>
      </c>
      <c r="B1112" s="2" t="s">
        <v>3276</v>
      </c>
      <c r="C1112" s="2" t="s">
        <v>7</v>
      </c>
      <c r="D1112" s="2" t="s">
        <v>3277</v>
      </c>
      <c r="E1112" s="2" t="s">
        <v>3278</v>
      </c>
      <c r="F1112" s="6">
        <v>45858.583333333336</v>
      </c>
      <c r="G1112" s="2">
        <v>5047.0</v>
      </c>
      <c r="H1112" s="2">
        <v>5047.0</v>
      </c>
      <c r="I1112" s="2">
        <v>4241.0</v>
      </c>
      <c r="J1112" s="2">
        <v>52.0</v>
      </c>
      <c r="K1112" s="2">
        <v>45.0</v>
      </c>
      <c r="L1112" s="2">
        <v>1.0</v>
      </c>
      <c r="M1112" s="4">
        <v>4396.0</v>
      </c>
      <c r="N1112" s="2" t="s">
        <v>423</v>
      </c>
      <c r="O1112" s="2">
        <v>119.0</v>
      </c>
      <c r="P1112" s="2" t="s">
        <v>189</v>
      </c>
      <c r="Q1112" s="2" t="s">
        <v>1367</v>
      </c>
      <c r="R1112" s="2">
        <v>35.0</v>
      </c>
      <c r="U1112" s="2" t="b">
        <v>0</v>
      </c>
      <c r="V1112" s="5">
        <v>0.0106</v>
      </c>
      <c r="W1112" s="5">
        <v>0.0222</v>
      </c>
      <c r="X1112" s="5">
        <v>2.36E-4</v>
      </c>
      <c r="Y1112" s="2">
        <v>97.68888889</v>
      </c>
      <c r="AA1112" s="2" t="s">
        <v>423</v>
      </c>
    </row>
    <row r="1113">
      <c r="A1113" s="2">
        <v>2608.0</v>
      </c>
      <c r="B1113" s="2" t="s">
        <v>3279</v>
      </c>
      <c r="C1113" s="2" t="s">
        <v>7</v>
      </c>
      <c r="D1113" s="2" t="s">
        <v>3280</v>
      </c>
      <c r="E1113" s="2" t="s">
        <v>3281</v>
      </c>
      <c r="F1113" s="6">
        <v>45858.666666666664</v>
      </c>
      <c r="G1113" s="2">
        <v>5055.0</v>
      </c>
      <c r="H1113" s="2">
        <v>5055.0</v>
      </c>
      <c r="I1113" s="2">
        <v>4230.0</v>
      </c>
      <c r="J1113" s="2">
        <v>45.0</v>
      </c>
      <c r="K1113" s="2">
        <v>38.0</v>
      </c>
      <c r="L1113" s="2">
        <v>1.0</v>
      </c>
      <c r="M1113" s="4">
        <v>6594.0</v>
      </c>
      <c r="N1113" s="2" t="s">
        <v>423</v>
      </c>
      <c r="O1113" s="2">
        <v>119.0</v>
      </c>
      <c r="P1113" s="2" t="s">
        <v>189</v>
      </c>
      <c r="Q1113" s="2" t="s">
        <v>1367</v>
      </c>
      <c r="R1113" s="2">
        <v>33.0</v>
      </c>
      <c r="T1113" s="2" t="s">
        <v>47</v>
      </c>
      <c r="U1113" s="2" t="b">
        <v>0</v>
      </c>
      <c r="V1113" s="5">
        <v>0.009</v>
      </c>
      <c r="W1113" s="5">
        <v>0.0263</v>
      </c>
      <c r="X1113" s="5">
        <v>2.36E-4</v>
      </c>
      <c r="Y1113" s="2">
        <v>173.5263158</v>
      </c>
      <c r="AA1113" s="2" t="s">
        <v>423</v>
      </c>
    </row>
    <row r="1114">
      <c r="A1114" s="2">
        <v>2609.0</v>
      </c>
      <c r="B1114" s="2" t="s">
        <v>3282</v>
      </c>
      <c r="C1114" s="2" t="s">
        <v>7</v>
      </c>
      <c r="D1114" s="2" t="s">
        <v>3283</v>
      </c>
      <c r="E1114" s="2" t="s">
        <v>3284</v>
      </c>
      <c r="F1114" s="6">
        <v>45858.75</v>
      </c>
      <c r="G1114" s="2">
        <v>5070.0</v>
      </c>
      <c r="H1114" s="2">
        <v>5070.0</v>
      </c>
      <c r="I1114" s="2">
        <v>4245.0</v>
      </c>
      <c r="J1114" s="2">
        <v>49.0</v>
      </c>
      <c r="K1114" s="2">
        <v>39.0</v>
      </c>
      <c r="L1114" s="2">
        <v>0.0</v>
      </c>
      <c r="M1114" s="2">
        <v>0.0</v>
      </c>
      <c r="N1114" s="2" t="s">
        <v>423</v>
      </c>
      <c r="O1114" s="2">
        <v>119.0</v>
      </c>
      <c r="P1114" s="2" t="s">
        <v>189</v>
      </c>
      <c r="Q1114" s="2" t="s">
        <v>1367</v>
      </c>
      <c r="R1114" s="2">
        <v>35.0</v>
      </c>
      <c r="T1114" s="2" t="s">
        <v>47</v>
      </c>
      <c r="U1114" s="2" t="b">
        <v>0</v>
      </c>
      <c r="V1114" s="5">
        <v>0.0092</v>
      </c>
      <c r="W1114" s="5">
        <v>0.0</v>
      </c>
      <c r="X1114" s="5">
        <v>0.0</v>
      </c>
      <c r="Y1114" s="2">
        <v>0.0</v>
      </c>
      <c r="AA1114" s="2" t="s">
        <v>423</v>
      </c>
    </row>
    <row r="1115">
      <c r="A1115" s="2">
        <v>2627.0</v>
      </c>
      <c r="B1115" s="2" t="s">
        <v>3285</v>
      </c>
      <c r="C1115" s="2" t="s">
        <v>7</v>
      </c>
      <c r="D1115" s="2" t="s">
        <v>3286</v>
      </c>
      <c r="E1115" s="2" t="s">
        <v>3287</v>
      </c>
      <c r="F1115" s="6">
        <v>45859.479166666664</v>
      </c>
      <c r="G1115" s="2">
        <v>62338.0</v>
      </c>
      <c r="H1115" s="2">
        <v>62338.0</v>
      </c>
      <c r="I1115" s="2">
        <v>54382.0</v>
      </c>
      <c r="J1115" s="2">
        <v>343.0</v>
      </c>
      <c r="K1115" s="2">
        <v>278.0</v>
      </c>
      <c r="L1115" s="2">
        <v>5.0</v>
      </c>
      <c r="M1115" s="4">
        <v>8698.0</v>
      </c>
      <c r="N1115" s="2" t="s">
        <v>30</v>
      </c>
      <c r="O1115" s="2">
        <v>70.0</v>
      </c>
      <c r="P1115" s="2" t="s">
        <v>189</v>
      </c>
      <c r="Q1115" s="2" t="s">
        <v>32</v>
      </c>
      <c r="R1115" s="2">
        <v>38.0</v>
      </c>
      <c r="T1115" s="2" t="s">
        <v>47</v>
      </c>
      <c r="U1115" s="2" t="b">
        <v>0</v>
      </c>
      <c r="V1115" s="5">
        <v>0.0051</v>
      </c>
      <c r="W1115" s="5">
        <v>0.018</v>
      </c>
      <c r="X1115" s="5">
        <v>9.2E-5</v>
      </c>
      <c r="Y1115" s="2">
        <v>31.28776978</v>
      </c>
      <c r="Z1115" s="2">
        <v>837.0</v>
      </c>
      <c r="AA1115" s="2" t="s">
        <v>33</v>
      </c>
    </row>
    <row r="1116">
      <c r="A1116" s="2">
        <v>2628.0</v>
      </c>
      <c r="B1116" s="2" t="s">
        <v>3288</v>
      </c>
      <c r="C1116" s="2" t="s">
        <v>7</v>
      </c>
      <c r="D1116" s="2" t="s">
        <v>3289</v>
      </c>
      <c r="E1116" s="2" t="s">
        <v>3290</v>
      </c>
      <c r="F1116" s="6">
        <v>45859.47986111111</v>
      </c>
      <c r="G1116" s="2">
        <v>48147.0</v>
      </c>
      <c r="H1116" s="2">
        <v>48147.0</v>
      </c>
      <c r="I1116" s="2">
        <v>40505.0</v>
      </c>
      <c r="J1116" s="2">
        <v>316.0</v>
      </c>
      <c r="K1116" s="2">
        <v>253.0</v>
      </c>
      <c r="L1116" s="2">
        <v>4.0</v>
      </c>
      <c r="M1116" s="4">
        <v>21927.0</v>
      </c>
      <c r="N1116" s="2" t="s">
        <v>36</v>
      </c>
      <c r="O1116" s="2">
        <v>71.0</v>
      </c>
      <c r="P1116" s="2" t="s">
        <v>189</v>
      </c>
      <c r="Q1116" s="2" t="s">
        <v>32</v>
      </c>
      <c r="R1116" s="2">
        <v>43.0</v>
      </c>
      <c r="U1116" s="2" t="b">
        <v>0</v>
      </c>
      <c r="V1116" s="5">
        <v>0.0062</v>
      </c>
      <c r="W1116" s="5">
        <v>0.0158</v>
      </c>
      <c r="X1116" s="5">
        <v>9.9E-5</v>
      </c>
      <c r="Y1116" s="2">
        <v>86.66798419</v>
      </c>
      <c r="AA1116" s="2" t="s">
        <v>33</v>
      </c>
    </row>
    <row r="1117">
      <c r="A1117" s="2">
        <v>2589.0</v>
      </c>
      <c r="B1117" s="2" t="s">
        <v>3291</v>
      </c>
      <c r="C1117" s="2" t="s">
        <v>7</v>
      </c>
      <c r="D1117" s="2" t="s">
        <v>3292</v>
      </c>
      <c r="E1117" s="2" t="s">
        <v>3293</v>
      </c>
      <c r="F1117" s="6">
        <v>45859.625</v>
      </c>
      <c r="G1117" s="2">
        <v>48153.0</v>
      </c>
      <c r="H1117" s="2">
        <v>48153.0</v>
      </c>
      <c r="I1117" s="2">
        <v>40509.0</v>
      </c>
      <c r="J1117" s="2">
        <v>232.0</v>
      </c>
      <c r="K1117" s="2">
        <v>191.0</v>
      </c>
      <c r="L1117" s="2">
        <v>1.0</v>
      </c>
      <c r="M1117" s="4">
        <v>1990.0</v>
      </c>
      <c r="N1117" s="2" t="s">
        <v>36</v>
      </c>
      <c r="O1117" s="2">
        <v>71.0</v>
      </c>
      <c r="P1117" s="2" t="s">
        <v>31</v>
      </c>
      <c r="Q1117" s="2" t="s">
        <v>32</v>
      </c>
      <c r="R1117" s="2">
        <v>48.0</v>
      </c>
      <c r="U1117" s="2" t="b">
        <v>0</v>
      </c>
      <c r="V1117" s="5">
        <v>0.0047</v>
      </c>
      <c r="W1117" s="5">
        <v>0.0052</v>
      </c>
      <c r="X1117" s="5">
        <v>2.5E-5</v>
      </c>
      <c r="Y1117" s="2">
        <v>10.41884817</v>
      </c>
      <c r="AA1117" s="2" t="s">
        <v>33</v>
      </c>
    </row>
    <row r="1118">
      <c r="A1118" s="2">
        <v>2588.0</v>
      </c>
      <c r="B1118" s="2" t="s">
        <v>3294</v>
      </c>
      <c r="C1118" s="2" t="s">
        <v>7</v>
      </c>
      <c r="D1118" s="2" t="s">
        <v>3295</v>
      </c>
      <c r="E1118" s="2" t="s">
        <v>3296</v>
      </c>
      <c r="F1118" s="6">
        <v>45859.625</v>
      </c>
      <c r="G1118" s="2">
        <v>62354.0</v>
      </c>
      <c r="H1118" s="2">
        <v>62354.0</v>
      </c>
      <c r="I1118" s="2">
        <v>54320.0</v>
      </c>
      <c r="J1118" s="2">
        <v>287.0</v>
      </c>
      <c r="K1118" s="2">
        <v>239.0</v>
      </c>
      <c r="L1118" s="2">
        <v>4.0</v>
      </c>
      <c r="M1118" s="4">
        <v>6776.0</v>
      </c>
      <c r="N1118" s="2" t="s">
        <v>30</v>
      </c>
      <c r="O1118" s="2">
        <v>70.0</v>
      </c>
      <c r="P1118" s="2" t="s">
        <v>31</v>
      </c>
      <c r="Q1118" s="2" t="s">
        <v>32</v>
      </c>
      <c r="R1118" s="2">
        <v>43.0</v>
      </c>
      <c r="T1118" s="2" t="s">
        <v>47</v>
      </c>
      <c r="U1118" s="2" t="b">
        <v>0</v>
      </c>
      <c r="V1118" s="5">
        <v>0.0044</v>
      </c>
      <c r="W1118" s="5">
        <v>0.0167</v>
      </c>
      <c r="X1118" s="5">
        <v>7.4E-5</v>
      </c>
      <c r="Y1118" s="2">
        <v>28.35146444</v>
      </c>
      <c r="Z1118" s="2">
        <v>1594.0</v>
      </c>
      <c r="AA1118" s="2" t="s">
        <v>33</v>
      </c>
    </row>
    <row r="1119">
      <c r="A1119" s="2">
        <v>2591.0</v>
      </c>
      <c r="B1119" s="2" t="s">
        <v>3297</v>
      </c>
      <c r="C1119" s="2" t="s">
        <v>7</v>
      </c>
      <c r="D1119" s="2" t="s">
        <v>3298</v>
      </c>
      <c r="E1119" s="2" t="s">
        <v>3299</v>
      </c>
      <c r="F1119" s="6">
        <v>45859.708333333336</v>
      </c>
      <c r="G1119" s="2">
        <v>48179.0</v>
      </c>
      <c r="H1119" s="2">
        <v>48179.0</v>
      </c>
      <c r="I1119" s="2">
        <v>40515.0</v>
      </c>
      <c r="J1119" s="2">
        <v>256.0</v>
      </c>
      <c r="K1119" s="2">
        <v>202.0</v>
      </c>
      <c r="L1119" s="2">
        <v>7.0</v>
      </c>
      <c r="M1119" s="4">
        <v>29599.0</v>
      </c>
      <c r="N1119" s="2" t="s">
        <v>36</v>
      </c>
      <c r="O1119" s="2">
        <v>71.0</v>
      </c>
      <c r="P1119" s="2" t="s">
        <v>189</v>
      </c>
      <c r="Q1119" s="2" t="s">
        <v>32</v>
      </c>
      <c r="R1119" s="2">
        <v>44.0</v>
      </c>
      <c r="T1119" s="2" t="s">
        <v>58</v>
      </c>
      <c r="U1119" s="2" t="b">
        <v>1</v>
      </c>
      <c r="V1119" s="5">
        <v>0.005</v>
      </c>
      <c r="W1119" s="5">
        <v>0.0347</v>
      </c>
      <c r="X1119" s="5">
        <v>1.73E-4</v>
      </c>
      <c r="Y1119" s="2">
        <v>146.529703</v>
      </c>
      <c r="AA1119" s="2" t="s">
        <v>33</v>
      </c>
    </row>
    <row r="1120">
      <c r="A1120" s="2">
        <v>2590.0</v>
      </c>
      <c r="B1120" s="2" t="s">
        <v>3300</v>
      </c>
      <c r="C1120" s="2" t="s">
        <v>7</v>
      </c>
      <c r="D1120" s="2" t="s">
        <v>3301</v>
      </c>
      <c r="E1120" s="2" t="s">
        <v>3302</v>
      </c>
      <c r="F1120" s="6">
        <v>45859.708333333336</v>
      </c>
      <c r="G1120" s="2">
        <v>62393.0</v>
      </c>
      <c r="H1120" s="2">
        <v>62393.0</v>
      </c>
      <c r="I1120" s="2">
        <v>54250.0</v>
      </c>
      <c r="J1120" s="2">
        <v>274.0</v>
      </c>
      <c r="K1120" s="2">
        <v>218.0</v>
      </c>
      <c r="L1120" s="2">
        <v>3.0</v>
      </c>
      <c r="M1120" s="4">
        <v>20068.0</v>
      </c>
      <c r="N1120" s="2" t="s">
        <v>30</v>
      </c>
      <c r="O1120" s="2">
        <v>70.0</v>
      </c>
      <c r="P1120" s="2" t="s">
        <v>189</v>
      </c>
      <c r="Q1120" s="2" t="s">
        <v>32</v>
      </c>
      <c r="R1120" s="2">
        <v>43.0</v>
      </c>
      <c r="T1120" s="2" t="s">
        <v>143</v>
      </c>
      <c r="U1120" s="2" t="b">
        <v>0</v>
      </c>
      <c r="V1120" s="5">
        <v>0.004</v>
      </c>
      <c r="W1120" s="5">
        <v>0.0138</v>
      </c>
      <c r="X1120" s="5">
        <v>5.5E-5</v>
      </c>
      <c r="Y1120" s="2">
        <v>92.05504587</v>
      </c>
      <c r="Z1120" s="2">
        <v>1648.0</v>
      </c>
      <c r="AA1120" s="2" t="s">
        <v>33</v>
      </c>
    </row>
    <row r="1121">
      <c r="A1121" s="2">
        <v>2632.0</v>
      </c>
      <c r="B1121" s="2" t="s">
        <v>3303</v>
      </c>
      <c r="C1121" s="2" t="s">
        <v>7</v>
      </c>
      <c r="D1121" s="2" t="s">
        <v>3304</v>
      </c>
      <c r="E1121" s="2" t="s">
        <v>3305</v>
      </c>
      <c r="F1121" s="6">
        <v>45860.458333333336</v>
      </c>
      <c r="G1121" s="2">
        <v>48194.0</v>
      </c>
      <c r="H1121" s="2">
        <v>48194.0</v>
      </c>
      <c r="I1121" s="2">
        <v>40309.0</v>
      </c>
      <c r="J1121" s="2">
        <v>241.0</v>
      </c>
      <c r="K1121" s="2">
        <v>183.0</v>
      </c>
      <c r="L1121" s="2">
        <v>3.0</v>
      </c>
      <c r="M1121" s="4">
        <v>5617.0</v>
      </c>
      <c r="N1121" s="2" t="s">
        <v>36</v>
      </c>
      <c r="O1121" s="2">
        <v>71.0</v>
      </c>
      <c r="P1121" s="2" t="s">
        <v>189</v>
      </c>
      <c r="Q1121" s="2" t="s">
        <v>32</v>
      </c>
      <c r="R1121" s="2">
        <v>36.0</v>
      </c>
      <c r="U1121" s="2" t="b">
        <v>0</v>
      </c>
      <c r="V1121" s="5">
        <v>0.0045</v>
      </c>
      <c r="W1121" s="5">
        <v>0.0164</v>
      </c>
      <c r="X1121" s="5">
        <v>7.4E-5</v>
      </c>
      <c r="Y1121" s="2">
        <v>30.69398907</v>
      </c>
      <c r="AA1121" s="2" t="s">
        <v>33</v>
      </c>
    </row>
    <row r="1122">
      <c r="A1122" s="2">
        <v>2631.0</v>
      </c>
      <c r="B1122" s="2" t="s">
        <v>3306</v>
      </c>
      <c r="C1122" s="2" t="s">
        <v>7</v>
      </c>
      <c r="D1122" s="2" t="s">
        <v>3307</v>
      </c>
      <c r="E1122" s="2" t="s">
        <v>3308</v>
      </c>
      <c r="F1122" s="6">
        <v>45860.458333333336</v>
      </c>
      <c r="G1122" s="2">
        <v>62429.0</v>
      </c>
      <c r="H1122" s="2">
        <v>62429.0</v>
      </c>
      <c r="I1122" s="2">
        <v>54114.0</v>
      </c>
      <c r="J1122" s="2">
        <v>247.0</v>
      </c>
      <c r="K1122" s="2">
        <v>195.0</v>
      </c>
      <c r="L1122" s="2">
        <v>5.0</v>
      </c>
      <c r="M1122" s="4">
        <v>5060.0</v>
      </c>
      <c r="N1122" s="2" t="s">
        <v>30</v>
      </c>
      <c r="O1122" s="2">
        <v>70.0</v>
      </c>
      <c r="P1122" s="2" t="s">
        <v>189</v>
      </c>
      <c r="Q1122" s="2" t="s">
        <v>32</v>
      </c>
      <c r="R1122" s="2">
        <v>35.0</v>
      </c>
      <c r="T1122" s="2" t="s">
        <v>47</v>
      </c>
      <c r="U1122" s="2" t="b">
        <v>0</v>
      </c>
      <c r="V1122" s="5">
        <v>0.0036</v>
      </c>
      <c r="W1122" s="5">
        <v>0.0256</v>
      </c>
      <c r="X1122" s="5">
        <v>9.2E-5</v>
      </c>
      <c r="Y1122" s="2">
        <v>25.94871795</v>
      </c>
      <c r="AA1122" s="2" t="s">
        <v>33</v>
      </c>
    </row>
    <row r="1123">
      <c r="A1123" s="2">
        <v>2629.0</v>
      </c>
      <c r="B1123" s="2" t="s">
        <v>3309</v>
      </c>
      <c r="C1123" s="2" t="s">
        <v>7</v>
      </c>
      <c r="D1123" s="2" t="s">
        <v>3310</v>
      </c>
      <c r="F1123" s="6">
        <v>45860.475694444445</v>
      </c>
      <c r="G1123" s="2">
        <v>5126.0</v>
      </c>
      <c r="H1123" s="2">
        <v>5126.0</v>
      </c>
      <c r="I1123" s="2">
        <v>4283.0</v>
      </c>
      <c r="J1123" s="2">
        <v>124.0</v>
      </c>
      <c r="K1123" s="2">
        <v>104.0</v>
      </c>
      <c r="L1123" s="2">
        <v>1.0</v>
      </c>
      <c r="M1123" s="4">
        <v>1900.0</v>
      </c>
      <c r="N1123" s="2" t="s">
        <v>3311</v>
      </c>
      <c r="O1123" s="2">
        <v>228.0</v>
      </c>
      <c r="P1123" s="2" t="s">
        <v>31</v>
      </c>
      <c r="Q1123" s="2" t="s">
        <v>32</v>
      </c>
      <c r="R1123" s="2">
        <v>42.0</v>
      </c>
      <c r="U1123" s="2" t="b">
        <v>0</v>
      </c>
      <c r="V1123" s="5">
        <v>0.0243</v>
      </c>
      <c r="W1123" s="5">
        <v>0.0096</v>
      </c>
      <c r="X1123" s="5">
        <v>2.33E-4</v>
      </c>
      <c r="Y1123" s="2">
        <v>18.26923077</v>
      </c>
    </row>
    <row r="1124">
      <c r="A1124" s="2">
        <v>2668.0</v>
      </c>
      <c r="B1124" s="2" t="s">
        <v>3312</v>
      </c>
      <c r="C1124" s="2" t="s">
        <v>7</v>
      </c>
      <c r="D1124" s="2" t="s">
        <v>3313</v>
      </c>
      <c r="F1124" s="6">
        <v>45860.479166666664</v>
      </c>
      <c r="G1124" s="2">
        <v>5122.0</v>
      </c>
      <c r="H1124" s="2">
        <v>5122.0</v>
      </c>
      <c r="I1124" s="2">
        <v>4370.0</v>
      </c>
      <c r="J1124" s="2">
        <v>139.0</v>
      </c>
      <c r="K1124" s="2">
        <v>123.0</v>
      </c>
      <c r="L1124" s="2">
        <v>1.0</v>
      </c>
      <c r="M1124" s="4">
        <v>2995.0</v>
      </c>
      <c r="N1124" s="2" t="s">
        <v>3311</v>
      </c>
      <c r="O1124" s="2">
        <v>228.0</v>
      </c>
      <c r="P1124" s="2" t="s">
        <v>31</v>
      </c>
      <c r="Q1124" s="2" t="s">
        <v>32</v>
      </c>
      <c r="R1124" s="2">
        <v>43.0</v>
      </c>
      <c r="T1124" s="2" t="s">
        <v>47</v>
      </c>
      <c r="U1124" s="2" t="b">
        <v>0</v>
      </c>
      <c r="V1124" s="5">
        <v>0.0281</v>
      </c>
      <c r="W1124" s="5">
        <v>0.0081</v>
      </c>
      <c r="X1124" s="5">
        <v>2.29E-4</v>
      </c>
      <c r="Y1124" s="2">
        <v>24.3495935</v>
      </c>
    </row>
    <row r="1125">
      <c r="A1125" s="2">
        <v>2634.0</v>
      </c>
      <c r="B1125" s="2" t="s">
        <v>3314</v>
      </c>
      <c r="C1125" s="2" t="s">
        <v>7</v>
      </c>
      <c r="D1125" s="2" t="s">
        <v>3315</v>
      </c>
      <c r="E1125" s="2" t="s">
        <v>3316</v>
      </c>
      <c r="F1125" s="6">
        <v>45860.625</v>
      </c>
      <c r="G1125" s="2">
        <v>48204.0</v>
      </c>
      <c r="H1125" s="2">
        <v>48204.0</v>
      </c>
      <c r="I1125" s="2">
        <v>40564.0</v>
      </c>
      <c r="J1125" s="2">
        <v>233.0</v>
      </c>
      <c r="K1125" s="2">
        <v>192.0</v>
      </c>
      <c r="L1125" s="2">
        <v>1.0</v>
      </c>
      <c r="M1125" s="4">
        <v>3345.0</v>
      </c>
      <c r="N1125" s="2" t="s">
        <v>36</v>
      </c>
      <c r="O1125" s="2">
        <v>71.0</v>
      </c>
      <c r="P1125" s="2" t="s">
        <v>31</v>
      </c>
      <c r="Q1125" s="2" t="s">
        <v>32</v>
      </c>
      <c r="R1125" s="2">
        <v>37.0</v>
      </c>
      <c r="T1125" s="2" t="s">
        <v>47</v>
      </c>
      <c r="U1125" s="2" t="b">
        <v>0</v>
      </c>
      <c r="V1125" s="5">
        <v>0.0047</v>
      </c>
      <c r="W1125" s="5">
        <v>0.0052</v>
      </c>
      <c r="X1125" s="5">
        <v>2.5E-5</v>
      </c>
      <c r="Y1125" s="2">
        <v>17.421875</v>
      </c>
      <c r="AA1125" s="2" t="s">
        <v>33</v>
      </c>
    </row>
    <row r="1126">
      <c r="A1126" s="2">
        <v>2633.0</v>
      </c>
      <c r="B1126" s="2" t="s">
        <v>3317</v>
      </c>
      <c r="C1126" s="2" t="s">
        <v>7</v>
      </c>
      <c r="D1126" s="2" t="s">
        <v>3318</v>
      </c>
      <c r="E1126" s="2" t="s">
        <v>3319</v>
      </c>
      <c r="F1126" s="6">
        <v>45860.625</v>
      </c>
      <c r="G1126" s="2">
        <v>62412.0</v>
      </c>
      <c r="H1126" s="2">
        <v>62412.0</v>
      </c>
      <c r="I1126" s="2">
        <v>54337.0</v>
      </c>
      <c r="J1126" s="2">
        <v>247.0</v>
      </c>
      <c r="K1126" s="2">
        <v>206.0</v>
      </c>
      <c r="L1126" s="2">
        <v>4.0</v>
      </c>
      <c r="M1126" s="4">
        <v>15820.0</v>
      </c>
      <c r="N1126" s="2" t="s">
        <v>30</v>
      </c>
      <c r="O1126" s="2">
        <v>70.0</v>
      </c>
      <c r="P1126" s="2" t="s">
        <v>189</v>
      </c>
      <c r="Q1126" s="2" t="s">
        <v>32</v>
      </c>
      <c r="R1126" s="2">
        <v>34.0</v>
      </c>
      <c r="T1126" s="2" t="s">
        <v>47</v>
      </c>
      <c r="U1126" s="2" t="b">
        <v>0</v>
      </c>
      <c r="V1126" s="5">
        <v>0.0038</v>
      </c>
      <c r="W1126" s="5">
        <v>0.0194</v>
      </c>
      <c r="X1126" s="5">
        <v>7.4E-5</v>
      </c>
      <c r="Y1126" s="2">
        <v>76.7961165</v>
      </c>
      <c r="AA1126" s="2" t="s">
        <v>33</v>
      </c>
    </row>
    <row r="1127">
      <c r="A1127" s="2">
        <v>2682.0</v>
      </c>
      <c r="B1127" s="2" t="s">
        <v>3320</v>
      </c>
      <c r="C1127" s="2" t="s">
        <v>7</v>
      </c>
      <c r="D1127" s="2" t="s">
        <v>3321</v>
      </c>
      <c r="F1127" s="6">
        <v>45860.680555555555</v>
      </c>
      <c r="G1127" s="2">
        <v>13748.0</v>
      </c>
      <c r="H1127" s="2">
        <v>13748.0</v>
      </c>
      <c r="I1127" s="2">
        <v>12263.0</v>
      </c>
      <c r="J1127" s="2">
        <v>82.0</v>
      </c>
      <c r="K1127" s="2">
        <v>66.0</v>
      </c>
      <c r="L1127" s="2">
        <v>0.0</v>
      </c>
      <c r="M1127" s="2">
        <v>0.0</v>
      </c>
      <c r="N1127" s="2" t="s">
        <v>3322</v>
      </c>
      <c r="O1127" s="2">
        <v>242.0</v>
      </c>
      <c r="P1127" s="2" t="s">
        <v>31</v>
      </c>
      <c r="Q1127" s="2" t="s">
        <v>32</v>
      </c>
      <c r="R1127" s="2">
        <v>41.0</v>
      </c>
      <c r="T1127" s="2" t="s">
        <v>162</v>
      </c>
      <c r="U1127" s="2" t="b">
        <v>0</v>
      </c>
      <c r="V1127" s="5">
        <v>0.0054</v>
      </c>
      <c r="W1127" s="5">
        <v>0.0</v>
      </c>
      <c r="X1127" s="5">
        <v>0.0</v>
      </c>
      <c r="Y1127" s="2">
        <v>0.0</v>
      </c>
    </row>
    <row r="1128">
      <c r="A1128" s="2">
        <v>2684.0</v>
      </c>
      <c r="B1128" s="2" t="s">
        <v>3323</v>
      </c>
      <c r="C1128" s="2" t="s">
        <v>7</v>
      </c>
      <c r="D1128" s="2" t="s">
        <v>3324</v>
      </c>
      <c r="F1128" s="6">
        <v>45860.694444444445</v>
      </c>
      <c r="G1128" s="2">
        <v>8888.0</v>
      </c>
      <c r="H1128" s="2">
        <v>8888.0</v>
      </c>
      <c r="I1128" s="2">
        <v>7821.0</v>
      </c>
      <c r="J1128" s="2">
        <v>48.0</v>
      </c>
      <c r="K1128" s="2">
        <v>43.0</v>
      </c>
      <c r="L1128" s="2">
        <v>0.0</v>
      </c>
      <c r="M1128" s="2">
        <v>0.0</v>
      </c>
      <c r="N1128" s="2" t="s">
        <v>3325</v>
      </c>
      <c r="O1128" s="2">
        <v>243.0</v>
      </c>
      <c r="P1128" s="2" t="s">
        <v>31</v>
      </c>
      <c r="Q1128" s="2" t="s">
        <v>32</v>
      </c>
      <c r="R1128" s="2">
        <v>36.0</v>
      </c>
      <c r="T1128" s="2" t="s">
        <v>162</v>
      </c>
      <c r="U1128" s="2" t="b">
        <v>0</v>
      </c>
      <c r="V1128" s="5">
        <v>0.0055</v>
      </c>
      <c r="W1128" s="5">
        <v>0.0</v>
      </c>
      <c r="X1128" s="5">
        <v>0.0</v>
      </c>
      <c r="Y1128" s="2">
        <v>0.0</v>
      </c>
    </row>
    <row r="1129">
      <c r="A1129" s="2">
        <v>2636.0</v>
      </c>
      <c r="B1129" s="2" t="s">
        <v>3326</v>
      </c>
      <c r="C1129" s="2" t="s">
        <v>7</v>
      </c>
      <c r="D1129" s="2" t="s">
        <v>3327</v>
      </c>
      <c r="E1129" s="2" t="s">
        <v>3328</v>
      </c>
      <c r="F1129" s="6">
        <v>45860.708333333336</v>
      </c>
      <c r="G1129" s="2">
        <v>48206.0</v>
      </c>
      <c r="H1129" s="2">
        <v>48206.0</v>
      </c>
      <c r="I1129" s="2">
        <v>40551.0</v>
      </c>
      <c r="J1129" s="2">
        <v>305.0</v>
      </c>
      <c r="K1129" s="2">
        <v>236.0</v>
      </c>
      <c r="L1129" s="2">
        <v>6.0</v>
      </c>
      <c r="M1129" s="4">
        <v>26739.0</v>
      </c>
      <c r="N1129" s="2" t="s">
        <v>36</v>
      </c>
      <c r="O1129" s="2">
        <v>71.0</v>
      </c>
      <c r="P1129" s="2" t="s">
        <v>189</v>
      </c>
      <c r="Q1129" s="2" t="s">
        <v>32</v>
      </c>
      <c r="R1129" s="2">
        <v>45.0</v>
      </c>
      <c r="T1129" s="2" t="s">
        <v>2396</v>
      </c>
      <c r="U1129" s="2" t="b">
        <v>1</v>
      </c>
      <c r="V1129" s="5">
        <v>0.0058</v>
      </c>
      <c r="W1129" s="5">
        <v>0.0254</v>
      </c>
      <c r="X1129" s="5">
        <v>1.48E-4</v>
      </c>
      <c r="Y1129" s="2">
        <v>113.3008475</v>
      </c>
      <c r="AA1129" s="2" t="s">
        <v>33</v>
      </c>
    </row>
    <row r="1130">
      <c r="A1130" s="2">
        <v>2635.0</v>
      </c>
      <c r="B1130" s="2" t="s">
        <v>3329</v>
      </c>
      <c r="C1130" s="2" t="s">
        <v>7</v>
      </c>
      <c r="D1130" s="2" t="s">
        <v>3330</v>
      </c>
      <c r="E1130" s="2" t="s">
        <v>3331</v>
      </c>
      <c r="F1130" s="6">
        <v>45860.708333333336</v>
      </c>
      <c r="G1130" s="2">
        <v>62448.0</v>
      </c>
      <c r="H1130" s="2">
        <v>62448.0</v>
      </c>
      <c r="I1130" s="2">
        <v>54330.0</v>
      </c>
      <c r="J1130" s="2">
        <v>462.0</v>
      </c>
      <c r="K1130" s="2">
        <v>358.0</v>
      </c>
      <c r="L1130" s="2">
        <v>6.0</v>
      </c>
      <c r="M1130" s="4">
        <v>12212.0</v>
      </c>
      <c r="N1130" s="2" t="s">
        <v>30</v>
      </c>
      <c r="O1130" s="2">
        <v>70.0</v>
      </c>
      <c r="P1130" s="2" t="s">
        <v>189</v>
      </c>
      <c r="Q1130" s="2" t="s">
        <v>32</v>
      </c>
      <c r="R1130" s="2">
        <v>44.0</v>
      </c>
      <c r="T1130" s="2" t="s">
        <v>405</v>
      </c>
      <c r="U1130" s="2" t="b">
        <v>0</v>
      </c>
      <c r="V1130" s="5">
        <v>0.0066</v>
      </c>
      <c r="W1130" s="5">
        <v>0.0168</v>
      </c>
      <c r="X1130" s="5">
        <v>1.1E-4</v>
      </c>
      <c r="Y1130" s="2">
        <v>34.11173184</v>
      </c>
      <c r="Z1130" s="2">
        <v>3596.0</v>
      </c>
      <c r="AA1130" s="2" t="s">
        <v>33</v>
      </c>
    </row>
    <row r="1131">
      <c r="A1131" s="2">
        <v>2639.0</v>
      </c>
      <c r="B1131" s="2" t="s">
        <v>3332</v>
      </c>
      <c r="C1131" s="2" t="s">
        <v>7</v>
      </c>
      <c r="D1131" s="2" t="s">
        <v>3333</v>
      </c>
      <c r="E1131" s="2" t="s">
        <v>3334</v>
      </c>
      <c r="F1131" s="6">
        <v>45861.458333333336</v>
      </c>
      <c r="G1131" s="2">
        <v>48210.0</v>
      </c>
      <c r="H1131" s="2">
        <v>48210.0</v>
      </c>
      <c r="I1131" s="2">
        <v>40313.0</v>
      </c>
      <c r="J1131" s="2">
        <v>271.0</v>
      </c>
      <c r="K1131" s="2">
        <v>221.0</v>
      </c>
      <c r="L1131" s="2">
        <v>1.0</v>
      </c>
      <c r="M1131" s="4">
        <v>4950.0</v>
      </c>
      <c r="N1131" s="2" t="s">
        <v>36</v>
      </c>
      <c r="O1131" s="2">
        <v>71.0</v>
      </c>
      <c r="P1131" s="2" t="s">
        <v>189</v>
      </c>
      <c r="Q1131" s="2" t="s">
        <v>32</v>
      </c>
      <c r="R1131" s="2">
        <v>43.0</v>
      </c>
      <c r="U1131" s="2" t="b">
        <v>0</v>
      </c>
      <c r="V1131" s="5">
        <v>0.0055</v>
      </c>
      <c r="W1131" s="5">
        <v>0.0045</v>
      </c>
      <c r="X1131" s="5">
        <v>2.5E-5</v>
      </c>
      <c r="Y1131" s="2">
        <v>22.39819005</v>
      </c>
      <c r="AA1131" s="2" t="s">
        <v>33</v>
      </c>
    </row>
    <row r="1132">
      <c r="A1132" s="2">
        <v>2638.0</v>
      </c>
      <c r="B1132" s="2" t="s">
        <v>3335</v>
      </c>
      <c r="C1132" s="2" t="s">
        <v>7</v>
      </c>
      <c r="D1132" s="2" t="s">
        <v>3336</v>
      </c>
      <c r="E1132" s="2" t="s">
        <v>3337</v>
      </c>
      <c r="F1132" s="6">
        <v>45861.458333333336</v>
      </c>
      <c r="G1132" s="2">
        <v>62443.0</v>
      </c>
      <c r="H1132" s="2">
        <v>62443.0</v>
      </c>
      <c r="I1132" s="2">
        <v>54061.0</v>
      </c>
      <c r="J1132" s="2">
        <v>282.0</v>
      </c>
      <c r="K1132" s="2">
        <v>234.0</v>
      </c>
      <c r="L1132" s="2">
        <v>2.0</v>
      </c>
      <c r="M1132" s="4">
        <v>12834.0</v>
      </c>
      <c r="N1132" s="2" t="s">
        <v>30</v>
      </c>
      <c r="O1132" s="2">
        <v>70.0</v>
      </c>
      <c r="P1132" s="2" t="s">
        <v>31</v>
      </c>
      <c r="Q1132" s="2" t="s">
        <v>32</v>
      </c>
      <c r="R1132" s="2">
        <v>35.0</v>
      </c>
      <c r="T1132" s="2" t="s">
        <v>2206</v>
      </c>
      <c r="U1132" s="2" t="b">
        <v>0</v>
      </c>
      <c r="V1132" s="5">
        <v>0.0043</v>
      </c>
      <c r="W1132" s="5">
        <v>0.0085</v>
      </c>
      <c r="X1132" s="5">
        <v>3.7E-5</v>
      </c>
      <c r="Y1132" s="2">
        <v>54.84615385</v>
      </c>
      <c r="AA1132" s="2" t="s">
        <v>33</v>
      </c>
    </row>
    <row r="1133">
      <c r="A1133" s="2">
        <v>2686.0</v>
      </c>
      <c r="B1133" s="2" t="s">
        <v>3338</v>
      </c>
      <c r="C1133" s="2" t="s">
        <v>7</v>
      </c>
      <c r="D1133" s="2" t="s">
        <v>3339</v>
      </c>
      <c r="E1133" s="2" t="s">
        <v>3340</v>
      </c>
      <c r="F1133" s="6">
        <v>45861.583333333336</v>
      </c>
      <c r="G1133" s="2">
        <v>5230.0</v>
      </c>
      <c r="H1133" s="2">
        <v>5230.0</v>
      </c>
      <c r="I1133" s="2">
        <v>4362.0</v>
      </c>
      <c r="J1133" s="2">
        <v>55.0</v>
      </c>
      <c r="K1133" s="2">
        <v>43.0</v>
      </c>
      <c r="L1133" s="2">
        <v>0.0</v>
      </c>
      <c r="M1133" s="2">
        <v>0.0</v>
      </c>
      <c r="N1133" s="2" t="s">
        <v>423</v>
      </c>
      <c r="O1133" s="2">
        <v>119.0</v>
      </c>
      <c r="P1133" s="2" t="s">
        <v>189</v>
      </c>
      <c r="Q1133" s="2" t="s">
        <v>1367</v>
      </c>
      <c r="R1133" s="2">
        <v>28.0</v>
      </c>
      <c r="T1133" s="2" t="s">
        <v>47</v>
      </c>
      <c r="U1133" s="2" t="b">
        <v>0</v>
      </c>
      <c r="V1133" s="5">
        <v>0.0099</v>
      </c>
      <c r="W1133" s="5">
        <v>0.0</v>
      </c>
      <c r="X1133" s="5">
        <v>0.0</v>
      </c>
      <c r="Y1133" s="2">
        <v>0.0</v>
      </c>
      <c r="AA1133" s="2" t="s">
        <v>423</v>
      </c>
    </row>
    <row r="1134">
      <c r="A1134" s="2">
        <v>2641.0</v>
      </c>
      <c r="B1134" s="2" t="s">
        <v>3341</v>
      </c>
      <c r="C1134" s="2" t="s">
        <v>7</v>
      </c>
      <c r="D1134" s="2" t="s">
        <v>3342</v>
      </c>
      <c r="E1134" s="2" t="s">
        <v>3343</v>
      </c>
      <c r="F1134" s="6">
        <v>45861.625</v>
      </c>
      <c r="G1134" s="2">
        <v>48248.0</v>
      </c>
      <c r="H1134" s="2">
        <v>48248.0</v>
      </c>
      <c r="I1134" s="2">
        <v>40550.0</v>
      </c>
      <c r="J1134" s="2">
        <v>229.0</v>
      </c>
      <c r="K1134" s="2">
        <v>176.0</v>
      </c>
      <c r="L1134" s="2">
        <v>2.0</v>
      </c>
      <c r="M1134" s="4">
        <v>4026.0</v>
      </c>
      <c r="N1134" s="2" t="s">
        <v>36</v>
      </c>
      <c r="O1134" s="2">
        <v>71.0</v>
      </c>
      <c r="P1134" s="2" t="s">
        <v>189</v>
      </c>
      <c r="Q1134" s="2" t="s">
        <v>32</v>
      </c>
      <c r="R1134" s="2">
        <v>44.0</v>
      </c>
      <c r="T1134" s="7" t="str">
        <f>IFERROR(__xludf.DUMMYFUNCTION("AI(""has offer Come X Pay X"",D1134)"),"Come 4 Pay 3")</f>
        <v>Come 4 Pay 3</v>
      </c>
      <c r="U1134" s="2" t="b">
        <v>0</v>
      </c>
      <c r="V1134" s="5">
        <v>0.0043</v>
      </c>
      <c r="W1134" s="5">
        <v>0.0114</v>
      </c>
      <c r="X1134" s="5">
        <v>4.9E-5</v>
      </c>
      <c r="Y1134" s="2">
        <v>22.875</v>
      </c>
      <c r="AA1134" s="2" t="s">
        <v>33</v>
      </c>
    </row>
    <row r="1135">
      <c r="A1135" s="2">
        <v>2640.0</v>
      </c>
      <c r="B1135" s="2" t="s">
        <v>3344</v>
      </c>
      <c r="C1135" s="2" t="s">
        <v>7</v>
      </c>
      <c r="D1135" s="2" t="s">
        <v>3345</v>
      </c>
      <c r="E1135" s="2" t="s">
        <v>3346</v>
      </c>
      <c r="F1135" s="6">
        <v>45861.625</v>
      </c>
      <c r="G1135" s="2">
        <v>62537.0</v>
      </c>
      <c r="H1135" s="2">
        <v>62537.0</v>
      </c>
      <c r="I1135" s="2">
        <v>54375.0</v>
      </c>
      <c r="J1135" s="2">
        <v>318.0</v>
      </c>
      <c r="K1135" s="2">
        <v>257.0</v>
      </c>
      <c r="L1135" s="2">
        <v>4.0</v>
      </c>
      <c r="M1135" s="4">
        <v>13549.0</v>
      </c>
      <c r="N1135" s="2" t="s">
        <v>30</v>
      </c>
      <c r="O1135" s="2">
        <v>70.0</v>
      </c>
      <c r="P1135" s="2" t="s">
        <v>31</v>
      </c>
      <c r="Q1135" s="2" t="s">
        <v>32</v>
      </c>
      <c r="R1135" s="2">
        <v>46.0</v>
      </c>
      <c r="T1135" s="2" t="s">
        <v>58</v>
      </c>
      <c r="U1135" s="2" t="b">
        <v>0</v>
      </c>
      <c r="V1135" s="5">
        <v>0.0047</v>
      </c>
      <c r="W1135" s="5">
        <v>0.0156</v>
      </c>
      <c r="X1135" s="5">
        <v>7.4E-5</v>
      </c>
      <c r="Y1135" s="2">
        <v>52.71984436</v>
      </c>
      <c r="Z1135" s="2">
        <v>1582.0</v>
      </c>
      <c r="AA1135" s="2" t="s">
        <v>33</v>
      </c>
    </row>
    <row r="1136">
      <c r="A1136" s="2">
        <v>2687.0</v>
      </c>
      <c r="B1136" s="2" t="s">
        <v>3347</v>
      </c>
      <c r="C1136" s="2" t="s">
        <v>7</v>
      </c>
      <c r="D1136" s="2" t="s">
        <v>3348</v>
      </c>
      <c r="E1136" s="2" t="s">
        <v>3349</v>
      </c>
      <c r="F1136" s="6">
        <v>45861.666666666664</v>
      </c>
      <c r="G1136" s="2">
        <v>5207.0</v>
      </c>
      <c r="H1136" s="2">
        <v>5207.0</v>
      </c>
      <c r="I1136" s="2">
        <v>4368.0</v>
      </c>
      <c r="J1136" s="2">
        <v>50.0</v>
      </c>
      <c r="K1136" s="2">
        <v>38.0</v>
      </c>
      <c r="L1136" s="2">
        <v>0.0</v>
      </c>
      <c r="M1136" s="2">
        <v>0.0</v>
      </c>
      <c r="N1136" s="2" t="s">
        <v>423</v>
      </c>
      <c r="O1136" s="2">
        <v>119.0</v>
      </c>
      <c r="P1136" s="2" t="s">
        <v>189</v>
      </c>
      <c r="Q1136" s="2" t="s">
        <v>1367</v>
      </c>
      <c r="R1136" s="2">
        <v>39.0</v>
      </c>
      <c r="U1136" s="2" t="b">
        <v>0</v>
      </c>
      <c r="V1136" s="5">
        <v>0.0087</v>
      </c>
      <c r="W1136" s="5">
        <v>0.0</v>
      </c>
      <c r="X1136" s="5">
        <v>0.0</v>
      </c>
      <c r="Y1136" s="2">
        <v>0.0</v>
      </c>
      <c r="AA1136" s="2" t="s">
        <v>423</v>
      </c>
    </row>
    <row r="1137">
      <c r="A1137" s="2">
        <v>2643.0</v>
      </c>
      <c r="B1137" s="2" t="s">
        <v>3350</v>
      </c>
      <c r="C1137" s="2" t="s">
        <v>7</v>
      </c>
      <c r="D1137" s="2" t="s">
        <v>3351</v>
      </c>
      <c r="E1137" s="2" t="s">
        <v>3352</v>
      </c>
      <c r="F1137" s="6">
        <v>45861.708333333336</v>
      </c>
      <c r="G1137" s="2">
        <v>48276.0</v>
      </c>
      <c r="H1137" s="2">
        <v>48276.0</v>
      </c>
      <c r="I1137" s="2">
        <v>40376.0</v>
      </c>
      <c r="J1137" s="2">
        <v>284.0</v>
      </c>
      <c r="K1137" s="2">
        <v>233.0</v>
      </c>
      <c r="L1137" s="2">
        <v>3.0</v>
      </c>
      <c r="M1137" s="4">
        <v>17082.0</v>
      </c>
      <c r="N1137" s="2" t="s">
        <v>36</v>
      </c>
      <c r="O1137" s="2">
        <v>71.0</v>
      </c>
      <c r="P1137" s="2" t="s">
        <v>189</v>
      </c>
      <c r="Q1137" s="2" t="s">
        <v>32</v>
      </c>
      <c r="R1137" s="2">
        <v>35.0</v>
      </c>
      <c r="T1137" s="2" t="s">
        <v>58</v>
      </c>
      <c r="U1137" s="2" t="b">
        <v>1</v>
      </c>
      <c r="V1137" s="5">
        <v>0.0058</v>
      </c>
      <c r="W1137" s="5">
        <v>0.0129</v>
      </c>
      <c r="X1137" s="5">
        <v>7.4E-5</v>
      </c>
      <c r="Y1137" s="2">
        <v>73.31330472</v>
      </c>
      <c r="AA1137" s="2" t="s">
        <v>33</v>
      </c>
    </row>
    <row r="1138">
      <c r="A1138" s="2">
        <v>2642.0</v>
      </c>
      <c r="B1138" s="2" t="s">
        <v>3353</v>
      </c>
      <c r="C1138" s="2" t="s">
        <v>7</v>
      </c>
      <c r="D1138" s="2" t="s">
        <v>3354</v>
      </c>
      <c r="E1138" s="2" t="s">
        <v>3355</v>
      </c>
      <c r="F1138" s="6">
        <v>45861.708333333336</v>
      </c>
      <c r="G1138" s="2">
        <v>62553.0</v>
      </c>
      <c r="H1138" s="2">
        <v>62553.0</v>
      </c>
      <c r="I1138" s="2">
        <v>54314.0</v>
      </c>
      <c r="J1138" s="2">
        <v>412.0</v>
      </c>
      <c r="K1138" s="2">
        <v>333.0</v>
      </c>
      <c r="L1138" s="2">
        <v>5.0</v>
      </c>
      <c r="M1138" s="4">
        <v>27067.0</v>
      </c>
      <c r="N1138" s="2" t="s">
        <v>30</v>
      </c>
      <c r="O1138" s="2">
        <v>70.0</v>
      </c>
      <c r="P1138" s="2" t="s">
        <v>31</v>
      </c>
      <c r="Q1138" s="2" t="s">
        <v>32</v>
      </c>
      <c r="R1138" s="2">
        <v>34.0</v>
      </c>
      <c r="U1138" s="2" t="b">
        <v>0</v>
      </c>
      <c r="V1138" s="5">
        <v>0.0061</v>
      </c>
      <c r="W1138" s="5">
        <v>0.015</v>
      </c>
      <c r="X1138" s="5">
        <v>9.2E-5</v>
      </c>
      <c r="Y1138" s="2">
        <v>81.28228228</v>
      </c>
      <c r="Z1138" s="2">
        <v>1768.0</v>
      </c>
      <c r="AA1138" s="2" t="s">
        <v>33</v>
      </c>
    </row>
    <row r="1139">
      <c r="A1139" s="2">
        <v>2688.0</v>
      </c>
      <c r="B1139" s="2" t="s">
        <v>3356</v>
      </c>
      <c r="C1139" s="2" t="s">
        <v>7</v>
      </c>
      <c r="D1139" s="2" t="s">
        <v>3357</v>
      </c>
      <c r="E1139" s="2" t="s">
        <v>3358</v>
      </c>
      <c r="F1139" s="6">
        <v>45861.75</v>
      </c>
      <c r="G1139" s="2">
        <v>5217.0</v>
      </c>
      <c r="H1139" s="2">
        <v>5217.0</v>
      </c>
      <c r="I1139" s="2">
        <v>4370.0</v>
      </c>
      <c r="J1139" s="2">
        <v>45.0</v>
      </c>
      <c r="K1139" s="2">
        <v>36.0</v>
      </c>
      <c r="L1139" s="2">
        <v>0.0</v>
      </c>
      <c r="M1139" s="2">
        <v>0.0</v>
      </c>
      <c r="N1139" s="2" t="s">
        <v>423</v>
      </c>
      <c r="O1139" s="2">
        <v>119.0</v>
      </c>
      <c r="P1139" s="2" t="s">
        <v>189</v>
      </c>
      <c r="Q1139" s="2" t="s">
        <v>1367</v>
      </c>
      <c r="R1139" s="2">
        <v>31.0</v>
      </c>
      <c r="T1139" s="2" t="s">
        <v>47</v>
      </c>
      <c r="U1139" s="2" t="b">
        <v>0</v>
      </c>
      <c r="V1139" s="5">
        <v>0.0082</v>
      </c>
      <c r="W1139" s="5">
        <v>0.0</v>
      </c>
      <c r="X1139" s="5">
        <v>0.0</v>
      </c>
      <c r="Y1139" s="2">
        <v>0.0</v>
      </c>
      <c r="AA1139" s="2" t="s">
        <v>423</v>
      </c>
    </row>
    <row r="1140">
      <c r="A1140" s="2">
        <v>2645.0</v>
      </c>
      <c r="B1140" s="2" t="s">
        <v>3359</v>
      </c>
      <c r="C1140" s="2" t="s">
        <v>7</v>
      </c>
      <c r="D1140" s="2" t="s">
        <v>3360</v>
      </c>
      <c r="E1140" s="2" t="s">
        <v>3361</v>
      </c>
      <c r="F1140" s="6">
        <v>45862.458333333336</v>
      </c>
      <c r="G1140" s="2">
        <v>48379.0</v>
      </c>
      <c r="H1140" s="2">
        <v>48379.0</v>
      </c>
      <c r="I1140" s="2">
        <v>40322.0</v>
      </c>
      <c r="J1140" s="2">
        <v>301.0</v>
      </c>
      <c r="K1140" s="2">
        <v>241.0</v>
      </c>
      <c r="L1140" s="2">
        <v>9.0</v>
      </c>
      <c r="M1140" s="4">
        <v>44570.0</v>
      </c>
      <c r="N1140" s="2" t="s">
        <v>36</v>
      </c>
      <c r="O1140" s="2">
        <v>71.0</v>
      </c>
      <c r="P1140" s="2" t="s">
        <v>189</v>
      </c>
      <c r="Q1140" s="2" t="s">
        <v>32</v>
      </c>
      <c r="R1140" s="2">
        <v>37.0</v>
      </c>
      <c r="T1140" s="2" t="s">
        <v>47</v>
      </c>
      <c r="U1140" s="2" t="b">
        <v>0</v>
      </c>
      <c r="V1140" s="5">
        <v>0.006</v>
      </c>
      <c r="W1140" s="5">
        <v>0.0373</v>
      </c>
      <c r="X1140" s="5">
        <v>2.23E-4</v>
      </c>
      <c r="Y1140" s="2">
        <v>184.9377593</v>
      </c>
      <c r="AA1140" s="2" t="s">
        <v>33</v>
      </c>
    </row>
    <row r="1141">
      <c r="A1141" s="2">
        <v>2644.0</v>
      </c>
      <c r="B1141" s="2" t="s">
        <v>3362</v>
      </c>
      <c r="C1141" s="2" t="s">
        <v>7</v>
      </c>
      <c r="D1141" s="2" t="s">
        <v>3363</v>
      </c>
      <c r="E1141" s="2" t="s">
        <v>3364</v>
      </c>
      <c r="F1141" s="6">
        <v>45862.458333333336</v>
      </c>
      <c r="G1141" s="2">
        <v>62692.0</v>
      </c>
      <c r="H1141" s="2">
        <v>62692.0</v>
      </c>
      <c r="I1141" s="2">
        <v>54342.0</v>
      </c>
      <c r="J1141" s="2">
        <v>356.0</v>
      </c>
      <c r="K1141" s="2">
        <v>294.0</v>
      </c>
      <c r="L1141" s="2">
        <v>3.0</v>
      </c>
      <c r="M1141" s="4">
        <v>13914.0</v>
      </c>
      <c r="N1141" s="2" t="s">
        <v>30</v>
      </c>
      <c r="O1141" s="2">
        <v>70.0</v>
      </c>
      <c r="P1141" s="2" t="s">
        <v>31</v>
      </c>
      <c r="Q1141" s="2" t="s">
        <v>32</v>
      </c>
      <c r="R1141" s="2">
        <v>41.0</v>
      </c>
      <c r="T1141" s="2" t="s">
        <v>3365</v>
      </c>
      <c r="U1141" s="2" t="b">
        <v>0</v>
      </c>
      <c r="V1141" s="5">
        <v>0.0054</v>
      </c>
      <c r="W1141" s="5">
        <v>0.0102</v>
      </c>
      <c r="X1141" s="5">
        <v>5.5E-5</v>
      </c>
      <c r="Y1141" s="2">
        <v>47.32653061</v>
      </c>
      <c r="Z1141" s="2">
        <v>1023.0</v>
      </c>
      <c r="AA1141" s="2" t="s">
        <v>33</v>
      </c>
    </row>
    <row r="1142">
      <c r="A1142" s="2">
        <v>2689.0</v>
      </c>
      <c r="B1142" s="2" t="s">
        <v>3366</v>
      </c>
      <c r="C1142" s="2" t="s">
        <v>7</v>
      </c>
      <c r="D1142" s="2" t="s">
        <v>3367</v>
      </c>
      <c r="E1142" s="2" t="s">
        <v>3368</v>
      </c>
      <c r="F1142" s="6">
        <v>45862.583333333336</v>
      </c>
      <c r="G1142" s="2">
        <v>5320.0</v>
      </c>
      <c r="H1142" s="2">
        <v>5320.0</v>
      </c>
      <c r="I1142" s="2">
        <v>4445.0</v>
      </c>
      <c r="J1142" s="2">
        <v>40.0</v>
      </c>
      <c r="K1142" s="2">
        <v>33.0</v>
      </c>
      <c r="L1142" s="2">
        <v>0.0</v>
      </c>
      <c r="M1142" s="2">
        <v>0.0</v>
      </c>
      <c r="N1142" s="2" t="s">
        <v>423</v>
      </c>
      <c r="O1142" s="2">
        <v>119.0</v>
      </c>
      <c r="P1142" s="2" t="s">
        <v>189</v>
      </c>
      <c r="Q1142" s="2" t="s">
        <v>1367</v>
      </c>
      <c r="R1142" s="2">
        <v>33.0</v>
      </c>
      <c r="U1142" s="2" t="b">
        <v>0</v>
      </c>
      <c r="V1142" s="5">
        <v>0.0074</v>
      </c>
      <c r="W1142" s="5">
        <v>0.0</v>
      </c>
      <c r="X1142" s="5">
        <v>0.0</v>
      </c>
      <c r="Y1142" s="2">
        <v>0.0</v>
      </c>
      <c r="AA1142" s="2" t="s">
        <v>423</v>
      </c>
    </row>
    <row r="1143">
      <c r="A1143" s="2">
        <v>2647.0</v>
      </c>
      <c r="B1143" s="2" t="s">
        <v>3369</v>
      </c>
      <c r="C1143" s="2" t="s">
        <v>7</v>
      </c>
      <c r="D1143" s="2" t="s">
        <v>3370</v>
      </c>
      <c r="E1143" s="2" t="s">
        <v>3371</v>
      </c>
      <c r="F1143" s="6">
        <v>45862.625</v>
      </c>
      <c r="G1143" s="2">
        <v>48577.0</v>
      </c>
      <c r="H1143" s="2">
        <v>48577.0</v>
      </c>
      <c r="I1143" s="2">
        <v>40786.0</v>
      </c>
      <c r="J1143" s="2">
        <v>262.0</v>
      </c>
      <c r="K1143" s="2">
        <v>202.0</v>
      </c>
      <c r="L1143" s="2">
        <v>5.0</v>
      </c>
      <c r="M1143" s="4">
        <v>19784.0</v>
      </c>
      <c r="N1143" s="2" t="s">
        <v>36</v>
      </c>
      <c r="O1143" s="2">
        <v>71.0</v>
      </c>
      <c r="P1143" s="2" t="s">
        <v>31</v>
      </c>
      <c r="Q1143" s="2" t="s">
        <v>32</v>
      </c>
      <c r="R1143" s="2">
        <v>33.0</v>
      </c>
      <c r="U1143" s="2" t="b">
        <v>1</v>
      </c>
      <c r="V1143" s="5">
        <v>0.005</v>
      </c>
      <c r="W1143" s="5">
        <v>0.0248</v>
      </c>
      <c r="X1143" s="5">
        <v>1.23E-4</v>
      </c>
      <c r="Y1143" s="2">
        <v>97.94059406</v>
      </c>
      <c r="AA1143" s="2" t="s">
        <v>33</v>
      </c>
    </row>
    <row r="1144">
      <c r="A1144" s="2">
        <v>2646.0</v>
      </c>
      <c r="B1144" s="2" t="s">
        <v>3372</v>
      </c>
      <c r="C1144" s="2" t="s">
        <v>7</v>
      </c>
      <c r="D1144" s="2" t="s">
        <v>3373</v>
      </c>
      <c r="E1144" s="2" t="s">
        <v>3374</v>
      </c>
      <c r="F1144" s="6">
        <v>45862.625</v>
      </c>
      <c r="G1144" s="2">
        <v>63165.0</v>
      </c>
      <c r="H1144" s="2">
        <v>63165.0</v>
      </c>
      <c r="I1144" s="2">
        <v>54881.0</v>
      </c>
      <c r="J1144" s="2">
        <v>399.0</v>
      </c>
      <c r="K1144" s="2">
        <v>326.0</v>
      </c>
      <c r="L1144" s="2">
        <v>6.0</v>
      </c>
      <c r="M1144" s="4">
        <v>9961.0</v>
      </c>
      <c r="N1144" s="2" t="s">
        <v>30</v>
      </c>
      <c r="O1144" s="2">
        <v>70.0</v>
      </c>
      <c r="P1144" s="2" t="s">
        <v>31</v>
      </c>
      <c r="Q1144" s="2" t="s">
        <v>32</v>
      </c>
      <c r="R1144" s="2">
        <v>32.0</v>
      </c>
      <c r="U1144" s="2" t="b">
        <v>0</v>
      </c>
      <c r="V1144" s="5">
        <v>0.0059</v>
      </c>
      <c r="W1144" s="5">
        <v>0.0184</v>
      </c>
      <c r="X1144" s="5">
        <v>1.09E-4</v>
      </c>
      <c r="Y1144" s="2">
        <v>30.55521472</v>
      </c>
      <c r="Z1144" s="2">
        <v>1826.0</v>
      </c>
      <c r="AA1144" s="2" t="s">
        <v>33</v>
      </c>
    </row>
    <row r="1145">
      <c r="A1145" s="2">
        <v>2691.0</v>
      </c>
      <c r="B1145" s="2" t="s">
        <v>3375</v>
      </c>
      <c r="C1145" s="2" t="s">
        <v>7</v>
      </c>
      <c r="D1145" s="2" t="s">
        <v>3376</v>
      </c>
      <c r="E1145" s="2" t="s">
        <v>3377</v>
      </c>
      <c r="F1145" s="6">
        <v>45862.666666666664</v>
      </c>
      <c r="G1145" s="2">
        <v>5325.0</v>
      </c>
      <c r="H1145" s="2">
        <v>5325.0</v>
      </c>
      <c r="I1145" s="2">
        <v>4452.0</v>
      </c>
      <c r="J1145" s="2">
        <v>64.0</v>
      </c>
      <c r="K1145" s="2">
        <v>55.0</v>
      </c>
      <c r="L1145" s="2">
        <v>4.0</v>
      </c>
      <c r="M1145" s="4">
        <v>5468.0</v>
      </c>
      <c r="N1145" s="2" t="s">
        <v>423</v>
      </c>
      <c r="O1145" s="2">
        <v>119.0</v>
      </c>
      <c r="P1145" s="2" t="s">
        <v>189</v>
      </c>
      <c r="Q1145" s="2" t="s">
        <v>32</v>
      </c>
      <c r="R1145" s="2">
        <v>35.0</v>
      </c>
      <c r="T1145" s="2" t="s">
        <v>3378</v>
      </c>
      <c r="U1145" s="2" t="b">
        <v>0</v>
      </c>
      <c r="V1145" s="5">
        <v>0.0124</v>
      </c>
      <c r="W1145" s="5">
        <v>0.0727</v>
      </c>
      <c r="X1145" s="5">
        <v>8.98E-4</v>
      </c>
      <c r="Y1145" s="2">
        <v>99.41818182</v>
      </c>
      <c r="AA1145" s="2" t="s">
        <v>423</v>
      </c>
    </row>
    <row r="1146">
      <c r="A1146" s="2">
        <v>2649.0</v>
      </c>
      <c r="B1146" s="2" t="s">
        <v>3379</v>
      </c>
      <c r="C1146" s="2" t="s">
        <v>7</v>
      </c>
      <c r="D1146" s="2" t="s">
        <v>3380</v>
      </c>
      <c r="E1146" s="2" t="s">
        <v>3381</v>
      </c>
      <c r="F1146" s="6">
        <v>45862.708333333336</v>
      </c>
      <c r="G1146" s="2">
        <v>48603.0</v>
      </c>
      <c r="H1146" s="2">
        <v>48603.0</v>
      </c>
      <c r="I1146" s="2">
        <v>40541.0</v>
      </c>
      <c r="J1146" s="2">
        <v>235.0</v>
      </c>
      <c r="K1146" s="2">
        <v>186.0</v>
      </c>
      <c r="L1146" s="2">
        <v>5.0</v>
      </c>
      <c r="M1146" s="4">
        <v>16895.0</v>
      </c>
      <c r="N1146" s="2" t="s">
        <v>36</v>
      </c>
      <c r="O1146" s="2">
        <v>71.0</v>
      </c>
      <c r="P1146" s="2" t="s">
        <v>31</v>
      </c>
      <c r="Q1146" s="2" t="s">
        <v>32</v>
      </c>
      <c r="R1146" s="2">
        <v>37.0</v>
      </c>
      <c r="U1146" s="2" t="b">
        <v>0</v>
      </c>
      <c r="V1146" s="5">
        <v>0.0046</v>
      </c>
      <c r="W1146" s="5">
        <v>0.0269</v>
      </c>
      <c r="X1146" s="5">
        <v>1.23E-4</v>
      </c>
      <c r="Y1146" s="2">
        <v>90.83333333</v>
      </c>
      <c r="AA1146" s="2" t="s">
        <v>33</v>
      </c>
    </row>
    <row r="1147">
      <c r="A1147" s="2">
        <v>2648.0</v>
      </c>
      <c r="B1147" s="2" t="s">
        <v>3382</v>
      </c>
      <c r="C1147" s="2" t="s">
        <v>7</v>
      </c>
      <c r="D1147" s="2" t="s">
        <v>3383</v>
      </c>
      <c r="E1147" s="2" t="s">
        <v>3384</v>
      </c>
      <c r="F1147" s="6">
        <v>45862.708333333336</v>
      </c>
      <c r="G1147" s="2">
        <v>63210.0</v>
      </c>
      <c r="H1147" s="2">
        <v>63210.0</v>
      </c>
      <c r="I1147" s="2">
        <v>54699.0</v>
      </c>
      <c r="J1147" s="2">
        <v>369.0</v>
      </c>
      <c r="K1147" s="2">
        <v>306.0</v>
      </c>
      <c r="L1147" s="2">
        <v>4.0</v>
      </c>
      <c r="M1147" s="4">
        <v>5701.0</v>
      </c>
      <c r="N1147" s="2" t="s">
        <v>30</v>
      </c>
      <c r="O1147" s="2">
        <v>70.0</v>
      </c>
      <c r="P1147" s="2" t="s">
        <v>31</v>
      </c>
      <c r="Q1147" s="2" t="s">
        <v>32</v>
      </c>
      <c r="R1147" s="2">
        <v>36.0</v>
      </c>
      <c r="U1147" s="2" t="b">
        <v>0</v>
      </c>
      <c r="V1147" s="5">
        <v>0.0056</v>
      </c>
      <c r="W1147" s="5">
        <v>0.0131</v>
      </c>
      <c r="X1147" s="5">
        <v>7.3E-5</v>
      </c>
      <c r="Y1147" s="2">
        <v>18.63071895</v>
      </c>
      <c r="Z1147" s="2" t="s">
        <v>3385</v>
      </c>
      <c r="AA1147" s="2" t="s">
        <v>33</v>
      </c>
    </row>
    <row r="1148">
      <c r="A1148" s="2">
        <v>2692.0</v>
      </c>
      <c r="B1148" s="2" t="s">
        <v>3386</v>
      </c>
      <c r="C1148" s="2" t="s">
        <v>7</v>
      </c>
      <c r="D1148" s="2" t="s">
        <v>3387</v>
      </c>
      <c r="E1148" s="2" t="s">
        <v>3388</v>
      </c>
      <c r="F1148" s="6">
        <v>45862.75</v>
      </c>
      <c r="G1148" s="2">
        <v>5337.0</v>
      </c>
      <c r="H1148" s="2">
        <v>5337.0</v>
      </c>
      <c r="I1148" s="2">
        <v>4466.0</v>
      </c>
      <c r="J1148" s="2">
        <v>54.0</v>
      </c>
      <c r="K1148" s="2">
        <v>42.0</v>
      </c>
      <c r="L1148" s="2">
        <v>1.0</v>
      </c>
      <c r="M1148" s="2">
        <v>339.0</v>
      </c>
      <c r="N1148" s="2" t="s">
        <v>423</v>
      </c>
      <c r="O1148" s="2">
        <v>119.0</v>
      </c>
      <c r="P1148" s="2" t="s">
        <v>189</v>
      </c>
      <c r="Q1148" s="2" t="s">
        <v>1367</v>
      </c>
      <c r="R1148" s="2">
        <v>39.0</v>
      </c>
      <c r="U1148" s="2" t="b">
        <v>0</v>
      </c>
      <c r="V1148" s="5">
        <v>0.0094</v>
      </c>
      <c r="W1148" s="5">
        <v>0.0238</v>
      </c>
      <c r="X1148" s="5">
        <v>2.24E-4</v>
      </c>
      <c r="Y1148" s="2">
        <v>8.071428571</v>
      </c>
      <c r="AA1148" s="2" t="s">
        <v>423</v>
      </c>
    </row>
    <row r="1149">
      <c r="A1149" s="2">
        <v>2651.0</v>
      </c>
      <c r="B1149" s="2" t="s">
        <v>3389</v>
      </c>
      <c r="C1149" s="2" t="s">
        <v>7</v>
      </c>
      <c r="D1149" s="2" t="s">
        <v>3390</v>
      </c>
      <c r="E1149" s="2" t="e">
        <v>#N/A</v>
      </c>
      <c r="F1149" s="6">
        <v>45863.458333333336</v>
      </c>
      <c r="G1149" s="2">
        <v>64016.0</v>
      </c>
      <c r="H1149" s="2">
        <v>64016.0</v>
      </c>
      <c r="I1149" s="2">
        <v>55431.0</v>
      </c>
      <c r="J1149" s="2">
        <v>243.0</v>
      </c>
      <c r="K1149" s="2">
        <v>208.0</v>
      </c>
      <c r="L1149" s="2">
        <v>4.0</v>
      </c>
      <c r="M1149" s="4">
        <v>6674.0</v>
      </c>
      <c r="N1149" s="2" t="s">
        <v>30</v>
      </c>
      <c r="O1149" s="2">
        <v>70.0</v>
      </c>
      <c r="P1149" s="2" t="s">
        <v>31</v>
      </c>
      <c r="Q1149" s="2" t="s">
        <v>32</v>
      </c>
      <c r="R1149" s="2">
        <v>39.0</v>
      </c>
      <c r="T1149" s="2" t="s">
        <v>47</v>
      </c>
      <c r="U1149" s="2" t="b">
        <v>0</v>
      </c>
      <c r="V1149" s="5">
        <v>0.0038</v>
      </c>
      <c r="W1149" s="5">
        <v>0.0192</v>
      </c>
      <c r="X1149" s="5">
        <v>7.2E-5</v>
      </c>
      <c r="Y1149" s="2">
        <v>32.08653846</v>
      </c>
      <c r="AA1149" s="2" t="s">
        <v>33</v>
      </c>
    </row>
    <row r="1150">
      <c r="A1150" s="2">
        <v>2650.0</v>
      </c>
      <c r="B1150" s="2" t="s">
        <v>3391</v>
      </c>
      <c r="C1150" s="2" t="s">
        <v>7</v>
      </c>
      <c r="D1150" s="2" t="s">
        <v>3392</v>
      </c>
      <c r="E1150" s="2" t="s">
        <v>3393</v>
      </c>
      <c r="F1150" s="6">
        <v>45863.458333333336</v>
      </c>
      <c r="G1150" s="2">
        <v>64015.0</v>
      </c>
      <c r="H1150" s="2">
        <v>64015.0</v>
      </c>
      <c r="I1150" s="2">
        <v>54733.0</v>
      </c>
      <c r="J1150" s="2">
        <v>211.0</v>
      </c>
      <c r="K1150" s="2">
        <v>174.0</v>
      </c>
      <c r="L1150" s="2">
        <v>1.0</v>
      </c>
      <c r="M1150" s="4">
        <v>2861.0</v>
      </c>
      <c r="N1150" s="2" t="s">
        <v>30</v>
      </c>
      <c r="O1150" s="2">
        <v>70.0</v>
      </c>
      <c r="P1150" s="2" t="s">
        <v>31</v>
      </c>
      <c r="Q1150" s="2" t="s">
        <v>32</v>
      </c>
      <c r="R1150" s="2">
        <v>44.0</v>
      </c>
      <c r="T1150" s="2" t="s">
        <v>47</v>
      </c>
      <c r="U1150" s="2" t="b">
        <v>0</v>
      </c>
      <c r="V1150" s="5">
        <v>0.0032</v>
      </c>
      <c r="W1150" s="5">
        <v>0.0057</v>
      </c>
      <c r="X1150" s="5">
        <v>1.8E-5</v>
      </c>
      <c r="Y1150" s="2">
        <v>16.44252874</v>
      </c>
      <c r="Z1150" s="2">
        <v>6106.0</v>
      </c>
      <c r="AA1150" s="2" t="s">
        <v>33</v>
      </c>
    </row>
    <row r="1151">
      <c r="A1151" s="2">
        <v>2695.0</v>
      </c>
      <c r="B1151" s="2" t="s">
        <v>3394</v>
      </c>
      <c r="C1151" s="2" t="s">
        <v>7</v>
      </c>
      <c r="D1151" s="2" t="s">
        <v>3395</v>
      </c>
      <c r="E1151" s="2" t="s">
        <v>3396</v>
      </c>
      <c r="F1151" s="6">
        <v>45863.583333333336</v>
      </c>
      <c r="G1151" s="2">
        <v>5459.0</v>
      </c>
      <c r="H1151" s="2">
        <v>5459.0</v>
      </c>
      <c r="I1151" s="2">
        <v>4586.0</v>
      </c>
      <c r="J1151" s="2">
        <v>34.0</v>
      </c>
      <c r="K1151" s="2">
        <v>28.0</v>
      </c>
      <c r="L1151" s="2">
        <v>1.0</v>
      </c>
      <c r="M1151" s="4">
        <v>5328.0</v>
      </c>
      <c r="N1151" s="2" t="s">
        <v>423</v>
      </c>
      <c r="O1151" s="2">
        <v>119.0</v>
      </c>
      <c r="P1151" s="2" t="s">
        <v>189</v>
      </c>
      <c r="Q1151" s="2" t="s">
        <v>1367</v>
      </c>
      <c r="R1151" s="2">
        <v>33.0</v>
      </c>
      <c r="T1151" s="2" t="s">
        <v>47</v>
      </c>
      <c r="U1151" s="2" t="b">
        <v>0</v>
      </c>
      <c r="V1151" s="5">
        <v>0.0061</v>
      </c>
      <c r="W1151" s="5">
        <v>0.0357</v>
      </c>
      <c r="X1151" s="5">
        <v>2.18E-4</v>
      </c>
      <c r="Y1151" s="2">
        <v>190.2857143</v>
      </c>
      <c r="AA1151" s="2" t="s">
        <v>423</v>
      </c>
    </row>
    <row r="1152">
      <c r="A1152" s="2">
        <v>2653.0</v>
      </c>
      <c r="B1152" s="2" t="s">
        <v>3397</v>
      </c>
      <c r="C1152" s="2" t="s">
        <v>7</v>
      </c>
      <c r="D1152" s="2" t="s">
        <v>3398</v>
      </c>
      <c r="E1152" s="2" t="s">
        <v>3399</v>
      </c>
      <c r="F1152" s="6">
        <v>45863.625</v>
      </c>
      <c r="G1152" s="2">
        <v>49116.0</v>
      </c>
      <c r="H1152" s="2">
        <v>49116.0</v>
      </c>
      <c r="I1152" s="2">
        <v>41189.0</v>
      </c>
      <c r="J1152" s="2">
        <v>287.0</v>
      </c>
      <c r="K1152" s="2">
        <v>228.0</v>
      </c>
      <c r="L1152" s="2">
        <v>2.0</v>
      </c>
      <c r="M1152" s="4">
        <v>6791.0</v>
      </c>
      <c r="N1152" s="2" t="s">
        <v>36</v>
      </c>
      <c r="O1152" s="2">
        <v>71.0</v>
      </c>
      <c r="P1152" s="2" t="s">
        <v>31</v>
      </c>
      <c r="Q1152" s="2" t="s">
        <v>32</v>
      </c>
      <c r="R1152" s="2">
        <v>39.0</v>
      </c>
      <c r="T1152" s="7" t="str">
        <f>IFERROR(__xludf.DUMMYFUNCTION("AI(""has offer Come X Pay X"",D1152)"),"Has Offer Come X Pay X")</f>
        <v>Has Offer Come X Pay X</v>
      </c>
      <c r="U1152" s="2" t="b">
        <v>1</v>
      </c>
      <c r="V1152" s="5">
        <v>0.0055</v>
      </c>
      <c r="W1152" s="5">
        <v>0.0088</v>
      </c>
      <c r="X1152" s="5">
        <v>4.9E-5</v>
      </c>
      <c r="Y1152" s="2">
        <v>29.78508772</v>
      </c>
      <c r="AA1152" s="2" t="s">
        <v>33</v>
      </c>
    </row>
    <row r="1153">
      <c r="A1153" s="2">
        <v>2652.0</v>
      </c>
      <c r="B1153" s="2" t="s">
        <v>3400</v>
      </c>
      <c r="C1153" s="2" t="s">
        <v>7</v>
      </c>
      <c r="D1153" s="2" t="s">
        <v>3401</v>
      </c>
      <c r="E1153" s="2" t="s">
        <v>3402</v>
      </c>
      <c r="F1153" s="6">
        <v>45863.625</v>
      </c>
      <c r="G1153" s="2">
        <v>64036.0</v>
      </c>
      <c r="H1153" s="2">
        <v>64036.0</v>
      </c>
      <c r="I1153" s="2">
        <v>55644.0</v>
      </c>
      <c r="J1153" s="2">
        <v>398.0</v>
      </c>
      <c r="K1153" s="2">
        <v>307.0</v>
      </c>
      <c r="L1153" s="2">
        <v>1.0</v>
      </c>
      <c r="M1153" s="4">
        <v>2470.0</v>
      </c>
      <c r="N1153" s="2" t="s">
        <v>30</v>
      </c>
      <c r="O1153" s="2">
        <v>70.0</v>
      </c>
      <c r="P1153" s="2" t="s">
        <v>189</v>
      </c>
      <c r="Q1153" s="2" t="s">
        <v>32</v>
      </c>
      <c r="R1153" s="2">
        <v>36.0</v>
      </c>
      <c r="U1153" s="2" t="b">
        <v>0</v>
      </c>
      <c r="V1153" s="5">
        <v>0.0055</v>
      </c>
      <c r="W1153" s="5">
        <v>0.0033</v>
      </c>
      <c r="X1153" s="5">
        <v>1.8E-5</v>
      </c>
      <c r="Y1153" s="2">
        <v>8.045602606</v>
      </c>
      <c r="Z1153" s="2" t="s">
        <v>2109</v>
      </c>
      <c r="AA1153" s="2" t="s">
        <v>33</v>
      </c>
    </row>
    <row r="1154">
      <c r="A1154" s="2">
        <v>2713.0</v>
      </c>
      <c r="B1154" s="2" t="s">
        <v>3403</v>
      </c>
      <c r="C1154" s="2" t="s">
        <v>7</v>
      </c>
      <c r="D1154" s="2" t="s">
        <v>3404</v>
      </c>
      <c r="F1154" s="6">
        <v>45863.666666666664</v>
      </c>
      <c r="G1154" s="2">
        <v>4200.0</v>
      </c>
      <c r="H1154" s="2">
        <v>4200.0</v>
      </c>
      <c r="I1154" s="2">
        <v>3629.0</v>
      </c>
      <c r="J1154" s="2">
        <v>62.0</v>
      </c>
      <c r="K1154" s="2">
        <v>52.0</v>
      </c>
      <c r="L1154" s="2">
        <v>0.0</v>
      </c>
      <c r="M1154" s="2">
        <v>0.0</v>
      </c>
      <c r="N1154" s="2" t="s">
        <v>423</v>
      </c>
      <c r="O1154" s="2">
        <v>119.0</v>
      </c>
      <c r="P1154" s="2" t="s">
        <v>31</v>
      </c>
      <c r="Q1154" s="2" t="s">
        <v>1367</v>
      </c>
      <c r="R1154" s="2">
        <v>44.0</v>
      </c>
      <c r="U1154" s="2" t="b">
        <v>0</v>
      </c>
      <c r="V1154" s="5">
        <v>0.0143</v>
      </c>
      <c r="W1154" s="5">
        <v>0.0</v>
      </c>
      <c r="X1154" s="5">
        <v>0.0</v>
      </c>
      <c r="Y1154" s="2">
        <v>0.0</v>
      </c>
      <c r="AA1154" s="2" t="s">
        <v>423</v>
      </c>
    </row>
    <row r="1155">
      <c r="A1155" s="2">
        <v>2657.0</v>
      </c>
      <c r="B1155" s="2" t="s">
        <v>3405</v>
      </c>
      <c r="C1155" s="2" t="s">
        <v>7</v>
      </c>
      <c r="D1155" s="2" t="s">
        <v>3406</v>
      </c>
      <c r="E1155" s="2" t="s">
        <v>3407</v>
      </c>
      <c r="F1155" s="6">
        <v>45863.708333333336</v>
      </c>
      <c r="G1155" s="2">
        <v>49106.0</v>
      </c>
      <c r="H1155" s="2">
        <v>49106.0</v>
      </c>
      <c r="I1155" s="2">
        <v>41189.0</v>
      </c>
      <c r="J1155" s="2">
        <v>333.0</v>
      </c>
      <c r="K1155" s="2">
        <v>268.0</v>
      </c>
      <c r="L1155" s="2">
        <v>6.0</v>
      </c>
      <c r="M1155" s="4">
        <v>22541.0</v>
      </c>
      <c r="N1155" s="2" t="s">
        <v>36</v>
      </c>
      <c r="O1155" s="2">
        <v>71.0</v>
      </c>
      <c r="P1155" s="2" t="s">
        <v>31</v>
      </c>
      <c r="Q1155" s="2" t="s">
        <v>32</v>
      </c>
      <c r="R1155" s="2">
        <v>37.0</v>
      </c>
      <c r="T1155" s="2" t="s">
        <v>58</v>
      </c>
      <c r="U1155" s="2" t="b">
        <v>0</v>
      </c>
      <c r="V1155" s="5">
        <v>0.0065</v>
      </c>
      <c r="W1155" s="5">
        <v>0.0224</v>
      </c>
      <c r="X1155" s="5">
        <v>1.46E-4</v>
      </c>
      <c r="Y1155" s="2">
        <v>84.10820896</v>
      </c>
      <c r="AA1155" s="2" t="s">
        <v>33</v>
      </c>
    </row>
    <row r="1156">
      <c r="A1156" s="2">
        <v>2656.0</v>
      </c>
      <c r="B1156" s="2" t="s">
        <v>3408</v>
      </c>
      <c r="C1156" s="2" t="s">
        <v>7</v>
      </c>
      <c r="D1156" s="2" t="s">
        <v>3409</v>
      </c>
      <c r="E1156" s="2" t="s">
        <v>3410</v>
      </c>
      <c r="F1156" s="6">
        <v>45863.708333333336</v>
      </c>
      <c r="G1156" s="2">
        <v>64039.0</v>
      </c>
      <c r="H1156" s="2">
        <v>64039.0</v>
      </c>
      <c r="I1156" s="2">
        <v>55597.0</v>
      </c>
      <c r="J1156" s="2">
        <v>345.0</v>
      </c>
      <c r="K1156" s="2">
        <v>278.0</v>
      </c>
      <c r="L1156" s="2">
        <v>8.0</v>
      </c>
      <c r="M1156" s="4">
        <v>18025.0</v>
      </c>
      <c r="N1156" s="2" t="s">
        <v>30</v>
      </c>
      <c r="O1156" s="2">
        <v>70.0</v>
      </c>
      <c r="P1156" s="2" t="s">
        <v>189</v>
      </c>
      <c r="Q1156" s="2" t="s">
        <v>32</v>
      </c>
      <c r="R1156" s="2">
        <v>32.0</v>
      </c>
      <c r="U1156" s="2" t="b">
        <v>0</v>
      </c>
      <c r="V1156" s="5">
        <v>0.005</v>
      </c>
      <c r="W1156" s="5">
        <v>0.0288</v>
      </c>
      <c r="X1156" s="5">
        <v>1.44E-4</v>
      </c>
      <c r="Y1156" s="2">
        <v>64.8381295</v>
      </c>
      <c r="Z1156" s="2">
        <v>1728.0</v>
      </c>
      <c r="AA1156" s="2" t="s">
        <v>33</v>
      </c>
    </row>
    <row r="1157">
      <c r="A1157" s="2">
        <v>2697.0</v>
      </c>
      <c r="B1157" s="2" t="s">
        <v>3411</v>
      </c>
      <c r="C1157" s="2" t="s">
        <v>7</v>
      </c>
      <c r="D1157" s="2" t="s">
        <v>3412</v>
      </c>
      <c r="E1157" s="2" t="s">
        <v>3413</v>
      </c>
      <c r="F1157" s="6">
        <v>45863.75</v>
      </c>
      <c r="G1157" s="2">
        <v>5471.0</v>
      </c>
      <c r="H1157" s="2">
        <v>5471.0</v>
      </c>
      <c r="I1157" s="2">
        <v>4559.0</v>
      </c>
      <c r="J1157" s="2">
        <v>57.0</v>
      </c>
      <c r="K1157" s="2">
        <v>46.0</v>
      </c>
      <c r="L1157" s="2">
        <v>1.0</v>
      </c>
      <c r="M1157" s="2">
        <v>479.0</v>
      </c>
      <c r="N1157" s="2" t="s">
        <v>423</v>
      </c>
      <c r="O1157" s="2">
        <v>119.0</v>
      </c>
      <c r="P1157" s="2" t="s">
        <v>189</v>
      </c>
      <c r="Q1157" s="2" t="s">
        <v>1367</v>
      </c>
      <c r="R1157" s="2">
        <v>34.0</v>
      </c>
      <c r="U1157" s="2" t="b">
        <v>0</v>
      </c>
      <c r="V1157" s="5">
        <v>0.0101</v>
      </c>
      <c r="W1157" s="5">
        <v>0.0217</v>
      </c>
      <c r="X1157" s="5">
        <v>2.19E-4</v>
      </c>
      <c r="Y1157" s="2">
        <v>10.41304348</v>
      </c>
      <c r="AA1157" s="2" t="s">
        <v>423</v>
      </c>
    </row>
    <row r="1158">
      <c r="A1158" s="2">
        <v>2659.0</v>
      </c>
      <c r="B1158" s="2" t="s">
        <v>3414</v>
      </c>
      <c r="C1158" s="2" t="s">
        <v>7</v>
      </c>
      <c r="D1158" s="2" t="s">
        <v>3415</v>
      </c>
      <c r="E1158" s="2" t="s">
        <v>3416</v>
      </c>
      <c r="F1158" s="6">
        <v>45864.458333333336</v>
      </c>
      <c r="G1158" s="2">
        <v>49044.0</v>
      </c>
      <c r="H1158" s="2">
        <v>49044.0</v>
      </c>
      <c r="I1158" s="2">
        <v>40704.0</v>
      </c>
      <c r="J1158" s="2">
        <v>306.0</v>
      </c>
      <c r="K1158" s="2">
        <v>244.0</v>
      </c>
      <c r="L1158" s="2">
        <v>2.0</v>
      </c>
      <c r="M1158" s="4">
        <v>2440.0</v>
      </c>
      <c r="N1158" s="2" t="s">
        <v>36</v>
      </c>
      <c r="O1158" s="2">
        <v>71.0</v>
      </c>
      <c r="P1158" s="2" t="s">
        <v>31</v>
      </c>
      <c r="Q1158" s="2" t="s">
        <v>32</v>
      </c>
      <c r="R1158" s="2">
        <v>40.0</v>
      </c>
      <c r="U1158" s="2" t="b">
        <v>0</v>
      </c>
      <c r="V1158" s="5">
        <v>0.006</v>
      </c>
      <c r="W1158" s="5">
        <v>0.0082</v>
      </c>
      <c r="X1158" s="5">
        <v>4.9E-5</v>
      </c>
      <c r="Y1158" s="2">
        <v>10.0</v>
      </c>
      <c r="AA1158" s="2" t="s">
        <v>33</v>
      </c>
    </row>
    <row r="1159">
      <c r="A1159" s="2">
        <v>2658.0</v>
      </c>
      <c r="B1159" s="2" t="s">
        <v>3417</v>
      </c>
      <c r="C1159" s="2" t="s">
        <v>7</v>
      </c>
      <c r="D1159" s="2" t="s">
        <v>3418</v>
      </c>
      <c r="E1159" s="2" t="s">
        <v>3419</v>
      </c>
      <c r="F1159" s="6">
        <v>45864.458333333336</v>
      </c>
      <c r="G1159" s="2">
        <v>63931.0</v>
      </c>
      <c r="H1159" s="2">
        <v>63931.0</v>
      </c>
      <c r="I1159" s="2">
        <v>55213.0</v>
      </c>
      <c r="J1159" s="2">
        <v>265.0</v>
      </c>
      <c r="K1159" s="2">
        <v>217.0</v>
      </c>
      <c r="L1159" s="2">
        <v>2.0</v>
      </c>
      <c r="M1159" s="4">
        <v>1941.0</v>
      </c>
      <c r="N1159" s="2" t="s">
        <v>30</v>
      </c>
      <c r="O1159" s="2">
        <v>70.0</v>
      </c>
      <c r="P1159" s="2" t="s">
        <v>189</v>
      </c>
      <c r="Q1159" s="2" t="s">
        <v>32</v>
      </c>
      <c r="R1159" s="2">
        <v>40.0</v>
      </c>
      <c r="T1159" s="2" t="s">
        <v>3420</v>
      </c>
      <c r="U1159" s="2" t="b">
        <v>0</v>
      </c>
      <c r="V1159" s="5">
        <v>0.0039</v>
      </c>
      <c r="W1159" s="5">
        <v>0.0092</v>
      </c>
      <c r="X1159" s="5">
        <v>3.6E-5</v>
      </c>
      <c r="Y1159" s="2">
        <v>8.944700461</v>
      </c>
      <c r="Z1159" s="2">
        <v>5702.0</v>
      </c>
      <c r="AA1159" s="2" t="s">
        <v>33</v>
      </c>
    </row>
    <row r="1160">
      <c r="A1160" s="2">
        <v>2698.0</v>
      </c>
      <c r="B1160" s="2" t="s">
        <v>3421</v>
      </c>
      <c r="C1160" s="2" t="s">
        <v>7</v>
      </c>
      <c r="D1160" s="2" t="s">
        <v>3422</v>
      </c>
      <c r="E1160" s="2" t="s">
        <v>3423</v>
      </c>
      <c r="F1160" s="6">
        <v>45864.583333333336</v>
      </c>
      <c r="G1160" s="2">
        <v>5996.0</v>
      </c>
      <c r="H1160" s="2">
        <v>5996.0</v>
      </c>
      <c r="I1160" s="2">
        <v>5073.0</v>
      </c>
      <c r="J1160" s="2">
        <v>56.0</v>
      </c>
      <c r="K1160" s="2">
        <v>42.0</v>
      </c>
      <c r="L1160" s="2">
        <v>1.0</v>
      </c>
      <c r="M1160" s="2">
        <v>207.0</v>
      </c>
      <c r="N1160" s="2" t="s">
        <v>423</v>
      </c>
      <c r="O1160" s="2">
        <v>119.0</v>
      </c>
      <c r="P1160" s="2" t="s">
        <v>189</v>
      </c>
      <c r="Q1160" s="2" t="s">
        <v>1367</v>
      </c>
      <c r="R1160" s="2">
        <v>47.0</v>
      </c>
      <c r="U1160" s="2" t="b">
        <v>0</v>
      </c>
      <c r="V1160" s="5">
        <v>0.0083</v>
      </c>
      <c r="W1160" s="5">
        <v>0.0238</v>
      </c>
      <c r="X1160" s="5">
        <v>1.97E-4</v>
      </c>
      <c r="Y1160" s="2">
        <v>4.928571429</v>
      </c>
      <c r="AA1160" s="2" t="s">
        <v>423</v>
      </c>
    </row>
    <row r="1161">
      <c r="A1161" s="2">
        <v>2661.0</v>
      </c>
      <c r="B1161" s="2" t="s">
        <v>3424</v>
      </c>
      <c r="C1161" s="2" t="s">
        <v>7</v>
      </c>
      <c r="D1161" s="2" t="s">
        <v>3425</v>
      </c>
      <c r="E1161" s="2" t="s">
        <v>3426</v>
      </c>
      <c r="F1161" s="6">
        <v>45864.625</v>
      </c>
      <c r="G1161" s="2">
        <v>49086.0</v>
      </c>
      <c r="H1161" s="2">
        <v>49086.0</v>
      </c>
      <c r="I1161" s="2">
        <v>41031.0</v>
      </c>
      <c r="J1161" s="2">
        <v>299.0</v>
      </c>
      <c r="K1161" s="2">
        <v>242.0</v>
      </c>
      <c r="L1161" s="2">
        <v>8.0</v>
      </c>
      <c r="M1161" s="4">
        <v>25096.0</v>
      </c>
      <c r="N1161" s="2" t="s">
        <v>36</v>
      </c>
      <c r="O1161" s="2">
        <v>71.0</v>
      </c>
      <c r="P1161" s="2" t="s">
        <v>31</v>
      </c>
      <c r="Q1161" s="2" t="s">
        <v>32</v>
      </c>
      <c r="R1161" s="2">
        <v>40.0</v>
      </c>
      <c r="T1161" s="2" t="s">
        <v>58</v>
      </c>
      <c r="U1161" s="2" t="b">
        <v>1</v>
      </c>
      <c r="V1161" s="5">
        <v>0.0059</v>
      </c>
      <c r="W1161" s="5">
        <v>0.0331</v>
      </c>
      <c r="X1161" s="5">
        <v>1.95E-4</v>
      </c>
      <c r="Y1161" s="2">
        <v>103.7024793</v>
      </c>
      <c r="AA1161" s="2" t="s">
        <v>33</v>
      </c>
    </row>
    <row r="1162">
      <c r="A1162" s="2">
        <v>2660.0</v>
      </c>
      <c r="B1162" s="2" t="s">
        <v>3427</v>
      </c>
      <c r="C1162" s="2" t="s">
        <v>7</v>
      </c>
      <c r="D1162" s="2" t="s">
        <v>3428</v>
      </c>
      <c r="E1162" s="2" t="s">
        <v>3429</v>
      </c>
      <c r="F1162" s="6">
        <v>45864.625</v>
      </c>
      <c r="G1162" s="2">
        <v>63997.0</v>
      </c>
      <c r="H1162" s="2">
        <v>63997.0</v>
      </c>
      <c r="I1162" s="2">
        <v>55618.0</v>
      </c>
      <c r="J1162" s="2">
        <v>335.0</v>
      </c>
      <c r="K1162" s="2">
        <v>272.0</v>
      </c>
      <c r="L1162" s="2">
        <v>9.0</v>
      </c>
      <c r="M1162" s="4">
        <v>29950.0</v>
      </c>
      <c r="N1162" s="2" t="s">
        <v>30</v>
      </c>
      <c r="O1162" s="2">
        <v>70.0</v>
      </c>
      <c r="P1162" s="2" t="s">
        <v>189</v>
      </c>
      <c r="Q1162" s="2" t="s">
        <v>32</v>
      </c>
      <c r="R1162" s="2">
        <v>42.0</v>
      </c>
      <c r="T1162" s="2" t="s">
        <v>1185</v>
      </c>
      <c r="U1162" s="2" t="b">
        <v>0</v>
      </c>
      <c r="V1162" s="5">
        <v>0.0049</v>
      </c>
      <c r="W1162" s="5">
        <v>0.0331</v>
      </c>
      <c r="X1162" s="5">
        <v>1.62E-4</v>
      </c>
      <c r="Y1162" s="2">
        <v>110.1102941</v>
      </c>
      <c r="Z1162" s="2">
        <v>3629.0</v>
      </c>
      <c r="AA1162" s="2" t="s">
        <v>33</v>
      </c>
    </row>
    <row r="1163">
      <c r="A1163" s="2">
        <v>2699.0</v>
      </c>
      <c r="B1163" s="2" t="s">
        <v>3430</v>
      </c>
      <c r="C1163" s="2" t="s">
        <v>7</v>
      </c>
      <c r="D1163" s="2" t="s">
        <v>3431</v>
      </c>
      <c r="E1163" s="2" t="s">
        <v>3432</v>
      </c>
      <c r="F1163" s="6">
        <v>45864.666666666664</v>
      </c>
      <c r="G1163" s="2">
        <v>5990.0</v>
      </c>
      <c r="H1163" s="2">
        <v>5990.0</v>
      </c>
      <c r="I1163" s="2">
        <v>5062.0</v>
      </c>
      <c r="J1163" s="2">
        <v>54.0</v>
      </c>
      <c r="K1163" s="2">
        <v>44.0</v>
      </c>
      <c r="L1163" s="2">
        <v>0.0</v>
      </c>
      <c r="M1163" s="2">
        <v>0.0</v>
      </c>
      <c r="N1163" s="2" t="s">
        <v>423</v>
      </c>
      <c r="O1163" s="2">
        <v>119.0</v>
      </c>
      <c r="P1163" s="2" t="s">
        <v>189</v>
      </c>
      <c r="Q1163" s="2" t="s">
        <v>1367</v>
      </c>
      <c r="R1163" s="2">
        <v>38.0</v>
      </c>
      <c r="T1163" s="2" t="s">
        <v>2616</v>
      </c>
      <c r="U1163" s="2" t="b">
        <v>0</v>
      </c>
      <c r="V1163" s="5">
        <v>0.0087</v>
      </c>
      <c r="W1163" s="5">
        <v>0.0</v>
      </c>
      <c r="X1163" s="5">
        <v>0.0</v>
      </c>
      <c r="Y1163" s="2">
        <v>0.0</v>
      </c>
      <c r="AA1163" s="2" t="s">
        <v>423</v>
      </c>
    </row>
    <row r="1164">
      <c r="A1164" s="2">
        <v>2662.0</v>
      </c>
      <c r="B1164" s="2" t="s">
        <v>3433</v>
      </c>
      <c r="C1164" s="2" t="s">
        <v>7</v>
      </c>
      <c r="D1164" s="2" t="s">
        <v>3434</v>
      </c>
      <c r="E1164" s="2" t="s">
        <v>3435</v>
      </c>
      <c r="F1164" s="6">
        <v>45864.708333333336</v>
      </c>
      <c r="G1164" s="2">
        <v>64011.0</v>
      </c>
      <c r="H1164" s="2">
        <v>64011.0</v>
      </c>
      <c r="I1164" s="2">
        <v>55602.0</v>
      </c>
      <c r="J1164" s="2">
        <v>299.0</v>
      </c>
      <c r="K1164" s="2">
        <v>241.0</v>
      </c>
      <c r="L1164" s="2">
        <v>1.0</v>
      </c>
      <c r="M1164" s="4">
        <v>6396.0</v>
      </c>
      <c r="N1164" s="2" t="s">
        <v>30</v>
      </c>
      <c r="O1164" s="2">
        <v>70.0</v>
      </c>
      <c r="P1164" s="2" t="s">
        <v>189</v>
      </c>
      <c r="Q1164" s="2" t="s">
        <v>32</v>
      </c>
      <c r="R1164" s="2">
        <v>35.0</v>
      </c>
      <c r="T1164" s="2" t="s">
        <v>47</v>
      </c>
      <c r="U1164" s="2" t="b">
        <v>0</v>
      </c>
      <c r="V1164" s="5">
        <v>0.0043</v>
      </c>
      <c r="W1164" s="5">
        <v>0.0041</v>
      </c>
      <c r="X1164" s="5">
        <v>1.8E-5</v>
      </c>
      <c r="Y1164" s="2">
        <v>26.53941909</v>
      </c>
      <c r="Z1164" s="2">
        <v>3600.0</v>
      </c>
      <c r="AA1164" s="2" t="s">
        <v>33</v>
      </c>
    </row>
    <row r="1165">
      <c r="A1165" s="2">
        <v>2700.0</v>
      </c>
      <c r="B1165" s="2" t="s">
        <v>3436</v>
      </c>
      <c r="C1165" s="2" t="s">
        <v>7</v>
      </c>
      <c r="D1165" s="2" t="s">
        <v>3437</v>
      </c>
      <c r="E1165" s="2" t="s">
        <v>3438</v>
      </c>
      <c r="F1165" s="6">
        <v>45864.75</v>
      </c>
      <c r="G1165" s="2">
        <v>5995.0</v>
      </c>
      <c r="H1165" s="2">
        <v>5995.0</v>
      </c>
      <c r="I1165" s="2">
        <v>5078.0</v>
      </c>
      <c r="J1165" s="2">
        <v>72.0</v>
      </c>
      <c r="K1165" s="2">
        <v>54.0</v>
      </c>
      <c r="L1165" s="2">
        <v>1.0</v>
      </c>
      <c r="M1165" s="2">
        <v>126.0</v>
      </c>
      <c r="N1165" s="2" t="s">
        <v>423</v>
      </c>
      <c r="O1165" s="2">
        <v>119.0</v>
      </c>
      <c r="P1165" s="2" t="s">
        <v>189</v>
      </c>
      <c r="Q1165" s="2" t="s">
        <v>1367</v>
      </c>
      <c r="R1165" s="2">
        <v>42.0</v>
      </c>
      <c r="T1165" s="2" t="s">
        <v>47</v>
      </c>
      <c r="U1165" s="2" t="b">
        <v>0</v>
      </c>
      <c r="V1165" s="5">
        <v>0.0106</v>
      </c>
      <c r="W1165" s="5">
        <v>0.0185</v>
      </c>
      <c r="X1165" s="5">
        <v>1.97E-4</v>
      </c>
      <c r="Y1165" s="2">
        <v>2.333333333</v>
      </c>
      <c r="AA1165" s="2" t="s">
        <v>423</v>
      </c>
    </row>
    <row r="1166">
      <c r="A1166" s="2">
        <v>2665.0</v>
      </c>
      <c r="B1166" s="2" t="s">
        <v>3439</v>
      </c>
      <c r="C1166" s="2" t="s">
        <v>7</v>
      </c>
      <c r="D1166" s="2" t="s">
        <v>3440</v>
      </c>
      <c r="E1166" s="2" t="s">
        <v>3441</v>
      </c>
      <c r="F1166" s="6">
        <v>45865.458333333336</v>
      </c>
      <c r="G1166" s="2">
        <v>49126.0</v>
      </c>
      <c r="H1166" s="2">
        <v>49126.0</v>
      </c>
      <c r="I1166" s="2">
        <v>40729.0</v>
      </c>
      <c r="J1166" s="2">
        <v>322.0</v>
      </c>
      <c r="K1166" s="2">
        <v>254.0</v>
      </c>
      <c r="L1166" s="2">
        <v>5.0</v>
      </c>
      <c r="M1166" s="4">
        <v>16307.0</v>
      </c>
      <c r="N1166" s="2" t="s">
        <v>36</v>
      </c>
      <c r="O1166" s="2">
        <v>71.0</v>
      </c>
      <c r="P1166" s="2" t="s">
        <v>189</v>
      </c>
      <c r="Q1166" s="2" t="s">
        <v>32</v>
      </c>
      <c r="R1166" s="2">
        <v>41.0</v>
      </c>
      <c r="T1166" s="2" t="s">
        <v>58</v>
      </c>
      <c r="U1166" s="2" t="b">
        <v>1</v>
      </c>
      <c r="V1166" s="5">
        <v>0.0062</v>
      </c>
      <c r="W1166" s="5">
        <v>0.0197</v>
      </c>
      <c r="X1166" s="5">
        <v>1.23E-4</v>
      </c>
      <c r="Y1166" s="2">
        <v>64.2007874</v>
      </c>
      <c r="AA1166" s="2" t="s">
        <v>33</v>
      </c>
    </row>
    <row r="1167">
      <c r="A1167" s="2">
        <v>2664.0</v>
      </c>
      <c r="B1167" s="2" t="s">
        <v>3442</v>
      </c>
      <c r="C1167" s="2" t="s">
        <v>7</v>
      </c>
      <c r="D1167" s="2" t="s">
        <v>3443</v>
      </c>
      <c r="E1167" s="2" t="s">
        <v>3444</v>
      </c>
      <c r="F1167" s="6">
        <v>45865.458333333336</v>
      </c>
      <c r="G1167" s="2">
        <v>63954.0</v>
      </c>
      <c r="H1167" s="2">
        <v>63954.0</v>
      </c>
      <c r="I1167" s="2">
        <v>55220.0</v>
      </c>
      <c r="J1167" s="2">
        <v>355.0</v>
      </c>
      <c r="K1167" s="2">
        <v>278.0</v>
      </c>
      <c r="L1167" s="2">
        <v>4.0</v>
      </c>
      <c r="M1167" s="4">
        <v>28950.0</v>
      </c>
      <c r="N1167" s="2" t="s">
        <v>30</v>
      </c>
      <c r="O1167" s="2">
        <v>70.0</v>
      </c>
      <c r="P1167" s="2" t="s">
        <v>189</v>
      </c>
      <c r="Q1167" s="2" t="s">
        <v>32</v>
      </c>
      <c r="R1167" s="2">
        <v>40.0</v>
      </c>
      <c r="T1167" s="2" t="s">
        <v>143</v>
      </c>
      <c r="U1167" s="2" t="b">
        <v>0</v>
      </c>
      <c r="V1167" s="5">
        <v>0.005</v>
      </c>
      <c r="W1167" s="5">
        <v>0.0144</v>
      </c>
      <c r="X1167" s="5">
        <v>7.2E-5</v>
      </c>
      <c r="Y1167" s="2">
        <v>104.1366906</v>
      </c>
      <c r="AA1167" s="2" t="s">
        <v>33</v>
      </c>
    </row>
    <row r="1168">
      <c r="A1168" s="2">
        <v>2701.0</v>
      </c>
      <c r="B1168" s="2" t="s">
        <v>3445</v>
      </c>
      <c r="C1168" s="2" t="s">
        <v>7</v>
      </c>
      <c r="D1168" s="2" t="s">
        <v>3446</v>
      </c>
      <c r="E1168" s="2" t="s">
        <v>3447</v>
      </c>
      <c r="F1168" s="6">
        <v>45865.583333333336</v>
      </c>
      <c r="G1168" s="2">
        <v>6009.0</v>
      </c>
      <c r="H1168" s="2">
        <v>6009.0</v>
      </c>
      <c r="I1168" s="2">
        <v>5076.0</v>
      </c>
      <c r="J1168" s="2">
        <v>61.0</v>
      </c>
      <c r="K1168" s="2">
        <v>51.0</v>
      </c>
      <c r="L1168" s="2">
        <v>1.0</v>
      </c>
      <c r="M1168" s="4">
        <v>2400.0</v>
      </c>
      <c r="N1168" s="2" t="s">
        <v>423</v>
      </c>
      <c r="O1168" s="2">
        <v>119.0</v>
      </c>
      <c r="P1168" s="2" t="s">
        <v>189</v>
      </c>
      <c r="Q1168" s="2" t="s">
        <v>1367</v>
      </c>
      <c r="R1168" s="2">
        <v>55.0</v>
      </c>
      <c r="T1168" s="2" t="s">
        <v>47</v>
      </c>
      <c r="U1168" s="2" t="b">
        <v>0</v>
      </c>
      <c r="V1168" s="5">
        <v>0.01</v>
      </c>
      <c r="W1168" s="5">
        <v>0.0196</v>
      </c>
      <c r="X1168" s="5">
        <v>1.97E-4</v>
      </c>
      <c r="Y1168" s="2">
        <v>47.05882353</v>
      </c>
      <c r="AA1168" s="2" t="s">
        <v>423</v>
      </c>
    </row>
    <row r="1169">
      <c r="A1169" s="2">
        <v>2669.0</v>
      </c>
      <c r="B1169" s="2" t="s">
        <v>3448</v>
      </c>
      <c r="C1169" s="2" t="s">
        <v>7</v>
      </c>
      <c r="D1169" s="2" t="s">
        <v>3449</v>
      </c>
      <c r="E1169" s="2" t="s">
        <v>3450</v>
      </c>
      <c r="F1169" s="6">
        <v>45865.625</v>
      </c>
      <c r="G1169" s="2">
        <v>49141.0</v>
      </c>
      <c r="H1169" s="2">
        <v>49141.0</v>
      </c>
      <c r="I1169" s="2">
        <v>41113.0</v>
      </c>
      <c r="J1169" s="2">
        <v>282.0</v>
      </c>
      <c r="K1169" s="2">
        <v>225.0</v>
      </c>
      <c r="L1169" s="2">
        <v>2.0</v>
      </c>
      <c r="M1169" s="4">
        <v>3486.0</v>
      </c>
      <c r="N1169" s="2" t="s">
        <v>36</v>
      </c>
      <c r="O1169" s="2">
        <v>71.0</v>
      </c>
      <c r="P1169" s="2" t="s">
        <v>189</v>
      </c>
      <c r="Q1169" s="2" t="s">
        <v>32</v>
      </c>
      <c r="R1169" s="2">
        <v>28.0</v>
      </c>
      <c r="T1169" s="2" t="s">
        <v>47</v>
      </c>
      <c r="U1169" s="2" t="b">
        <v>0</v>
      </c>
      <c r="V1169" s="5">
        <v>0.0055</v>
      </c>
      <c r="W1169" s="5">
        <v>0.0089</v>
      </c>
      <c r="X1169" s="5">
        <v>4.9E-5</v>
      </c>
      <c r="Y1169" s="2">
        <v>15.49333333</v>
      </c>
      <c r="AA1169" s="2" t="s">
        <v>33</v>
      </c>
    </row>
    <row r="1170">
      <c r="A1170" s="2">
        <v>2666.0</v>
      </c>
      <c r="B1170" s="2" t="s">
        <v>3451</v>
      </c>
      <c r="C1170" s="2" t="s">
        <v>7</v>
      </c>
      <c r="D1170" s="2" t="s">
        <v>3452</v>
      </c>
      <c r="E1170" s="2" t="s">
        <v>3453</v>
      </c>
      <c r="F1170" s="6">
        <v>45865.625</v>
      </c>
      <c r="G1170" s="2">
        <v>63999.0</v>
      </c>
      <c r="H1170" s="2">
        <v>63999.0</v>
      </c>
      <c r="I1170" s="2">
        <v>55572.0</v>
      </c>
      <c r="J1170" s="2">
        <v>299.0</v>
      </c>
      <c r="K1170" s="2">
        <v>239.0</v>
      </c>
      <c r="L1170" s="2">
        <v>3.0</v>
      </c>
      <c r="M1170" s="4">
        <v>7265.0</v>
      </c>
      <c r="N1170" s="2" t="s">
        <v>30</v>
      </c>
      <c r="O1170" s="2">
        <v>70.0</v>
      </c>
      <c r="P1170" s="2" t="s">
        <v>189</v>
      </c>
      <c r="Q1170" s="2" t="s">
        <v>32</v>
      </c>
      <c r="R1170" s="2">
        <v>26.0</v>
      </c>
      <c r="T1170" s="2" t="s">
        <v>47</v>
      </c>
      <c r="U1170" s="2" t="b">
        <v>0</v>
      </c>
      <c r="V1170" s="5">
        <v>0.0043</v>
      </c>
      <c r="W1170" s="5">
        <v>0.0126</v>
      </c>
      <c r="X1170" s="5">
        <v>5.4E-5</v>
      </c>
      <c r="Y1170" s="2">
        <v>30.39748954</v>
      </c>
      <c r="AA1170" s="2" t="s">
        <v>33</v>
      </c>
    </row>
    <row r="1171">
      <c r="A1171" s="2">
        <v>2708.0</v>
      </c>
      <c r="B1171" s="2" t="s">
        <v>3454</v>
      </c>
      <c r="C1171" s="2" t="s">
        <v>7</v>
      </c>
      <c r="D1171" s="2" t="s">
        <v>3455</v>
      </c>
      <c r="E1171" s="2" t="s">
        <v>3456</v>
      </c>
      <c r="F1171" s="6">
        <v>45865.666666666664</v>
      </c>
      <c r="G1171" s="2">
        <v>6018.0</v>
      </c>
      <c r="H1171" s="2">
        <v>6018.0</v>
      </c>
      <c r="I1171" s="2">
        <v>5106.0</v>
      </c>
      <c r="J1171" s="2">
        <v>36.0</v>
      </c>
      <c r="K1171" s="2">
        <v>28.0</v>
      </c>
      <c r="L1171" s="2">
        <v>0.0</v>
      </c>
      <c r="M1171" s="2">
        <v>0.0</v>
      </c>
      <c r="N1171" s="2" t="s">
        <v>423</v>
      </c>
      <c r="O1171" s="2">
        <v>119.0</v>
      </c>
      <c r="P1171" s="2" t="s">
        <v>189</v>
      </c>
      <c r="Q1171" s="2" t="s">
        <v>1367</v>
      </c>
      <c r="R1171" s="2">
        <v>39.0</v>
      </c>
      <c r="T1171" s="7" t="str">
        <f>IFERROR(__xludf.DUMMYFUNCTION("AI(""has offer Come X Pay X"",D1171)"),"has offer Come X Pay X")</f>
        <v>has offer Come X Pay X</v>
      </c>
      <c r="U1171" s="2" t="b">
        <v>0</v>
      </c>
      <c r="V1171" s="5">
        <v>0.0055</v>
      </c>
      <c r="W1171" s="5">
        <v>0.0</v>
      </c>
      <c r="X1171" s="5">
        <v>0.0</v>
      </c>
      <c r="Y1171" s="2">
        <v>0.0</v>
      </c>
      <c r="AA1171" s="2" t="s">
        <v>423</v>
      </c>
    </row>
    <row r="1172">
      <c r="A1172" s="2">
        <v>2672.0</v>
      </c>
      <c r="B1172" s="2" t="s">
        <v>3457</v>
      </c>
      <c r="C1172" s="2" t="s">
        <v>7</v>
      </c>
      <c r="D1172" s="2" t="s">
        <v>3458</v>
      </c>
      <c r="E1172" s="2" t="s">
        <v>3459</v>
      </c>
      <c r="F1172" s="6">
        <v>45865.708333333336</v>
      </c>
      <c r="G1172" s="2">
        <v>49165.0</v>
      </c>
      <c r="H1172" s="2">
        <v>49165.0</v>
      </c>
      <c r="I1172" s="2">
        <v>41144.0</v>
      </c>
      <c r="J1172" s="2">
        <v>253.0</v>
      </c>
      <c r="K1172" s="2">
        <v>192.0</v>
      </c>
      <c r="L1172" s="2">
        <v>3.0</v>
      </c>
      <c r="M1172" s="4">
        <v>4569.0</v>
      </c>
      <c r="N1172" s="2" t="s">
        <v>36</v>
      </c>
      <c r="O1172" s="2">
        <v>71.0</v>
      </c>
      <c r="P1172" s="2" t="s">
        <v>189</v>
      </c>
      <c r="Q1172" s="2" t="s">
        <v>32</v>
      </c>
      <c r="R1172" s="2">
        <v>40.0</v>
      </c>
      <c r="T1172" s="2" t="s">
        <v>47</v>
      </c>
      <c r="U1172" s="2" t="b">
        <v>0</v>
      </c>
      <c r="V1172" s="5">
        <v>0.0047</v>
      </c>
      <c r="W1172" s="5">
        <v>0.0156</v>
      </c>
      <c r="X1172" s="5">
        <v>7.3E-5</v>
      </c>
      <c r="Y1172" s="2">
        <v>23.796875</v>
      </c>
      <c r="AA1172" s="2" t="s">
        <v>33</v>
      </c>
    </row>
    <row r="1173">
      <c r="A1173" s="2">
        <v>2671.0</v>
      </c>
      <c r="B1173" s="2" t="s">
        <v>3460</v>
      </c>
      <c r="C1173" s="2" t="s">
        <v>7</v>
      </c>
      <c r="D1173" s="2" t="s">
        <v>3461</v>
      </c>
      <c r="E1173" s="2" t="s">
        <v>3462</v>
      </c>
      <c r="F1173" s="6">
        <v>45865.708333333336</v>
      </c>
      <c r="G1173" s="2">
        <v>64004.0</v>
      </c>
      <c r="H1173" s="2">
        <v>64004.0</v>
      </c>
      <c r="I1173" s="2">
        <v>55637.0</v>
      </c>
      <c r="J1173" s="2">
        <v>304.0</v>
      </c>
      <c r="K1173" s="2">
        <v>233.0</v>
      </c>
      <c r="L1173" s="2">
        <v>4.0</v>
      </c>
      <c r="M1173" s="4">
        <v>13703.0</v>
      </c>
      <c r="N1173" s="2" t="s">
        <v>30</v>
      </c>
      <c r="O1173" s="2">
        <v>70.0</v>
      </c>
      <c r="P1173" s="2" t="s">
        <v>189</v>
      </c>
      <c r="Q1173" s="2" t="s">
        <v>32</v>
      </c>
      <c r="R1173" s="2">
        <v>43.0</v>
      </c>
      <c r="U1173" s="2" t="b">
        <v>0</v>
      </c>
      <c r="V1173" s="5">
        <v>0.0042</v>
      </c>
      <c r="W1173" s="5">
        <v>0.0172</v>
      </c>
      <c r="X1173" s="5">
        <v>7.2E-5</v>
      </c>
      <c r="Y1173" s="2">
        <v>58.8111588</v>
      </c>
      <c r="Z1173" s="2">
        <v>6190.0</v>
      </c>
      <c r="AA1173" s="2" t="s">
        <v>33</v>
      </c>
    </row>
    <row r="1174">
      <c r="A1174" s="2">
        <v>2709.0</v>
      </c>
      <c r="B1174" s="2" t="s">
        <v>3463</v>
      </c>
      <c r="C1174" s="2" t="s">
        <v>7</v>
      </c>
      <c r="D1174" s="2" t="s">
        <v>3464</v>
      </c>
      <c r="E1174" s="2" t="s">
        <v>3465</v>
      </c>
      <c r="F1174" s="6">
        <v>45865.75</v>
      </c>
      <c r="G1174" s="2">
        <v>6027.0</v>
      </c>
      <c r="H1174" s="2">
        <v>6027.0</v>
      </c>
      <c r="I1174" s="2">
        <v>5087.0</v>
      </c>
      <c r="J1174" s="2">
        <v>59.0</v>
      </c>
      <c r="K1174" s="2">
        <v>43.0</v>
      </c>
      <c r="L1174" s="2">
        <v>0.0</v>
      </c>
      <c r="M1174" s="2">
        <v>0.0</v>
      </c>
      <c r="N1174" s="2" t="s">
        <v>423</v>
      </c>
      <c r="O1174" s="2">
        <v>119.0</v>
      </c>
      <c r="P1174" s="2" t="s">
        <v>189</v>
      </c>
      <c r="Q1174" s="2" t="s">
        <v>1367</v>
      </c>
      <c r="R1174" s="2">
        <v>38.0</v>
      </c>
      <c r="T1174" s="2" t="s">
        <v>47</v>
      </c>
      <c r="U1174" s="2" t="b">
        <v>0</v>
      </c>
      <c r="V1174" s="5">
        <v>0.0085</v>
      </c>
      <c r="W1174" s="5">
        <v>0.0</v>
      </c>
      <c r="X1174" s="5">
        <v>0.0</v>
      </c>
      <c r="Y1174" s="2">
        <v>0.0</v>
      </c>
      <c r="AA1174" s="2" t="s">
        <v>423</v>
      </c>
    </row>
    <row r="1175">
      <c r="A1175" s="2">
        <v>2674.0</v>
      </c>
      <c r="B1175" s="2" t="s">
        <v>3466</v>
      </c>
      <c r="C1175" s="2" t="s">
        <v>7</v>
      </c>
      <c r="D1175" s="2" t="s">
        <v>3467</v>
      </c>
      <c r="E1175" s="2" t="s">
        <v>3468</v>
      </c>
      <c r="F1175" s="6">
        <v>45866.458333333336</v>
      </c>
      <c r="G1175" s="2">
        <v>49161.0</v>
      </c>
      <c r="H1175" s="2">
        <v>49161.0</v>
      </c>
      <c r="I1175" s="2">
        <v>40782.0</v>
      </c>
      <c r="J1175" s="2">
        <v>235.0</v>
      </c>
      <c r="K1175" s="2">
        <v>192.0</v>
      </c>
      <c r="L1175" s="2">
        <v>0.0</v>
      </c>
      <c r="M1175" s="2">
        <v>0.0</v>
      </c>
      <c r="N1175" s="2" t="s">
        <v>36</v>
      </c>
      <c r="O1175" s="2">
        <v>71.0</v>
      </c>
      <c r="P1175" s="2" t="s">
        <v>31</v>
      </c>
      <c r="Q1175" s="2" t="s">
        <v>32</v>
      </c>
      <c r="R1175" s="2">
        <v>41.0</v>
      </c>
      <c r="U1175" s="2" t="b">
        <v>0</v>
      </c>
      <c r="V1175" s="5">
        <v>0.0047</v>
      </c>
      <c r="W1175" s="5">
        <v>0.0</v>
      </c>
      <c r="X1175" s="5">
        <v>0.0</v>
      </c>
      <c r="Y1175" s="2">
        <v>0.0</v>
      </c>
      <c r="AA1175" s="2" t="s">
        <v>33</v>
      </c>
    </row>
    <row r="1176">
      <c r="A1176" s="2">
        <v>2673.0</v>
      </c>
      <c r="B1176" s="2" t="s">
        <v>3469</v>
      </c>
      <c r="C1176" s="2" t="s">
        <v>7</v>
      </c>
      <c r="D1176" s="2" t="s">
        <v>3470</v>
      </c>
      <c r="E1176" s="2" t="s">
        <v>3471</v>
      </c>
      <c r="F1176" s="6">
        <v>45866.458333333336</v>
      </c>
      <c r="G1176" s="2">
        <v>63976.0</v>
      </c>
      <c r="H1176" s="2">
        <v>63976.0</v>
      </c>
      <c r="I1176" s="2">
        <v>55306.0</v>
      </c>
      <c r="J1176" s="2">
        <v>274.0</v>
      </c>
      <c r="K1176" s="2">
        <v>226.0</v>
      </c>
      <c r="L1176" s="2">
        <v>3.0</v>
      </c>
      <c r="M1176" s="4">
        <v>4884.0</v>
      </c>
      <c r="N1176" s="2" t="s">
        <v>30</v>
      </c>
      <c r="O1176" s="2">
        <v>70.0</v>
      </c>
      <c r="P1176" s="2" t="s">
        <v>31</v>
      </c>
      <c r="Q1176" s="2" t="s">
        <v>32</v>
      </c>
      <c r="R1176" s="2">
        <v>37.0</v>
      </c>
      <c r="T1176" s="2" t="s">
        <v>47</v>
      </c>
      <c r="U1176" s="2" t="b">
        <v>0</v>
      </c>
      <c r="V1176" s="5">
        <v>0.0041</v>
      </c>
      <c r="W1176" s="5">
        <v>0.0133</v>
      </c>
      <c r="X1176" s="5">
        <v>5.4E-5</v>
      </c>
      <c r="Y1176" s="2">
        <v>21.61061947</v>
      </c>
      <c r="AA1176" s="2" t="s">
        <v>33</v>
      </c>
    </row>
    <row r="1177">
      <c r="A1177" s="2">
        <v>2710.0</v>
      </c>
      <c r="B1177" s="2" t="s">
        <v>3472</v>
      </c>
      <c r="C1177" s="2" t="s">
        <v>7</v>
      </c>
      <c r="D1177" s="2" t="s">
        <v>3473</v>
      </c>
      <c r="E1177" s="2" t="s">
        <v>3474</v>
      </c>
      <c r="F1177" s="6">
        <v>45866.583333333336</v>
      </c>
      <c r="G1177" s="2">
        <v>6051.0</v>
      </c>
      <c r="H1177" s="2">
        <v>6051.0</v>
      </c>
      <c r="I1177" s="2">
        <v>5096.0</v>
      </c>
      <c r="J1177" s="2">
        <v>59.0</v>
      </c>
      <c r="K1177" s="2">
        <v>49.0</v>
      </c>
      <c r="L1177" s="2">
        <v>2.0</v>
      </c>
      <c r="M1177" s="4">
        <v>2286.0</v>
      </c>
      <c r="N1177" s="2" t="s">
        <v>423</v>
      </c>
      <c r="O1177" s="2">
        <v>119.0</v>
      </c>
      <c r="P1177" s="2" t="s">
        <v>189</v>
      </c>
      <c r="Q1177" s="2" t="s">
        <v>1367</v>
      </c>
      <c r="R1177" s="2">
        <v>42.0</v>
      </c>
      <c r="U1177" s="2" t="b">
        <v>0</v>
      </c>
      <c r="V1177" s="5">
        <v>0.0096</v>
      </c>
      <c r="W1177" s="5">
        <v>0.0408</v>
      </c>
      <c r="X1177" s="5">
        <v>3.92E-4</v>
      </c>
      <c r="Y1177" s="2">
        <v>46.65306122</v>
      </c>
      <c r="AA1177" s="2" t="s">
        <v>423</v>
      </c>
    </row>
    <row r="1178">
      <c r="A1178" s="2">
        <v>2676.0</v>
      </c>
      <c r="B1178" s="2" t="s">
        <v>3475</v>
      </c>
      <c r="C1178" s="2" t="s">
        <v>7</v>
      </c>
      <c r="D1178" s="2" t="s">
        <v>3476</v>
      </c>
      <c r="E1178" s="2" t="s">
        <v>3477</v>
      </c>
      <c r="F1178" s="6">
        <v>45866.625</v>
      </c>
      <c r="G1178" s="2">
        <v>49192.0</v>
      </c>
      <c r="H1178" s="2">
        <v>49192.0</v>
      </c>
      <c r="I1178" s="2">
        <v>41152.0</v>
      </c>
      <c r="J1178" s="2">
        <v>311.0</v>
      </c>
      <c r="K1178" s="2">
        <v>238.0</v>
      </c>
      <c r="L1178" s="2">
        <v>6.0</v>
      </c>
      <c r="M1178" s="4">
        <v>14967.0</v>
      </c>
      <c r="N1178" s="2" t="s">
        <v>36</v>
      </c>
      <c r="O1178" s="2">
        <v>71.0</v>
      </c>
      <c r="P1178" s="2" t="s">
        <v>189</v>
      </c>
      <c r="Q1178" s="2" t="s">
        <v>32</v>
      </c>
      <c r="R1178" s="2">
        <v>43.0</v>
      </c>
      <c r="T1178" s="2" t="s">
        <v>47</v>
      </c>
      <c r="U1178" s="2" t="b">
        <v>0</v>
      </c>
      <c r="V1178" s="5">
        <v>0.0058</v>
      </c>
      <c r="W1178" s="5">
        <v>0.0252</v>
      </c>
      <c r="X1178" s="5">
        <v>1.46E-4</v>
      </c>
      <c r="Y1178" s="2">
        <v>62.88655462</v>
      </c>
      <c r="AA1178" s="2" t="s">
        <v>33</v>
      </c>
    </row>
    <row r="1179">
      <c r="A1179" s="2">
        <v>2675.0</v>
      </c>
      <c r="B1179" s="2" t="s">
        <v>3478</v>
      </c>
      <c r="C1179" s="2" t="s">
        <v>7</v>
      </c>
      <c r="D1179" s="2" t="s">
        <v>3479</v>
      </c>
      <c r="E1179" s="2" t="s">
        <v>3480</v>
      </c>
      <c r="F1179" s="6">
        <v>45866.625</v>
      </c>
      <c r="G1179" s="2">
        <v>64020.0</v>
      </c>
      <c r="H1179" s="2">
        <v>64020.0</v>
      </c>
      <c r="I1179" s="2">
        <v>55674.0</v>
      </c>
      <c r="J1179" s="2">
        <v>358.0</v>
      </c>
      <c r="K1179" s="2">
        <v>281.0</v>
      </c>
      <c r="L1179" s="2">
        <v>5.0</v>
      </c>
      <c r="M1179" s="4">
        <v>8257.0</v>
      </c>
      <c r="N1179" s="2" t="s">
        <v>30</v>
      </c>
      <c r="O1179" s="2">
        <v>70.0</v>
      </c>
      <c r="P1179" s="2" t="s">
        <v>189</v>
      </c>
      <c r="Q1179" s="2" t="s">
        <v>32</v>
      </c>
      <c r="R1179" s="2">
        <v>44.0</v>
      </c>
      <c r="U1179" s="2" t="b">
        <v>0</v>
      </c>
      <c r="V1179" s="5">
        <v>0.005</v>
      </c>
      <c r="W1179" s="5">
        <v>0.0178</v>
      </c>
      <c r="X1179" s="5">
        <v>9.0E-5</v>
      </c>
      <c r="Y1179" s="2">
        <v>29.38434164</v>
      </c>
      <c r="AA1179" s="2" t="s">
        <v>33</v>
      </c>
    </row>
    <row r="1180">
      <c r="A1180" s="2">
        <v>2711.0</v>
      </c>
      <c r="B1180" s="2" t="s">
        <v>3481</v>
      </c>
      <c r="C1180" s="2" t="s">
        <v>7</v>
      </c>
      <c r="D1180" s="2" t="s">
        <v>3482</v>
      </c>
      <c r="E1180" s="2" t="s">
        <v>3483</v>
      </c>
      <c r="F1180" s="6">
        <v>45866.666666666664</v>
      </c>
      <c r="G1180" s="2">
        <v>6040.0</v>
      </c>
      <c r="H1180" s="2">
        <v>6040.0</v>
      </c>
      <c r="I1180" s="2">
        <v>5099.0</v>
      </c>
      <c r="J1180" s="2">
        <v>53.0</v>
      </c>
      <c r="K1180" s="2">
        <v>41.0</v>
      </c>
      <c r="L1180" s="2">
        <v>0.0</v>
      </c>
      <c r="M1180" s="2">
        <v>0.0</v>
      </c>
      <c r="N1180" s="2" t="s">
        <v>423</v>
      </c>
      <c r="O1180" s="2">
        <v>119.0</v>
      </c>
      <c r="P1180" s="2" t="s">
        <v>31</v>
      </c>
      <c r="Q1180" s="2" t="s">
        <v>1367</v>
      </c>
      <c r="R1180" s="2">
        <v>36.0</v>
      </c>
      <c r="T1180" s="2" t="s">
        <v>47</v>
      </c>
      <c r="U1180" s="2" t="b">
        <v>0</v>
      </c>
      <c r="V1180" s="5">
        <v>0.008</v>
      </c>
      <c r="W1180" s="5">
        <v>0.0</v>
      </c>
      <c r="X1180" s="5">
        <v>0.0</v>
      </c>
      <c r="Y1180" s="2">
        <v>0.0</v>
      </c>
      <c r="AA1180" s="2" t="s">
        <v>423</v>
      </c>
    </row>
    <row r="1181">
      <c r="A1181" s="2">
        <v>2694.0</v>
      </c>
      <c r="B1181" s="2" t="s">
        <v>3484</v>
      </c>
      <c r="C1181" s="2" t="s">
        <v>7</v>
      </c>
      <c r="D1181" s="2" t="s">
        <v>3485</v>
      </c>
      <c r="E1181" s="2" t="s">
        <v>3486</v>
      </c>
      <c r="F1181" s="6">
        <v>45866.708333333336</v>
      </c>
      <c r="G1181" s="2">
        <v>49203.0</v>
      </c>
      <c r="H1181" s="2">
        <v>49203.0</v>
      </c>
      <c r="I1181" s="2">
        <v>41071.0</v>
      </c>
      <c r="J1181" s="2">
        <v>273.0</v>
      </c>
      <c r="K1181" s="2">
        <v>212.0</v>
      </c>
      <c r="L1181" s="2">
        <v>6.0</v>
      </c>
      <c r="M1181" s="4">
        <v>14162.0</v>
      </c>
      <c r="N1181" s="2" t="s">
        <v>36</v>
      </c>
      <c r="O1181" s="2">
        <v>71.0</v>
      </c>
      <c r="P1181" s="2" t="s">
        <v>189</v>
      </c>
      <c r="Q1181" s="2" t="s">
        <v>32</v>
      </c>
      <c r="R1181" s="2">
        <v>48.0</v>
      </c>
      <c r="T1181" s="2" t="s">
        <v>47</v>
      </c>
      <c r="U1181" s="2" t="b">
        <v>0</v>
      </c>
      <c r="V1181" s="5">
        <v>0.0052</v>
      </c>
      <c r="W1181" s="5">
        <v>0.0283</v>
      </c>
      <c r="X1181" s="5">
        <v>1.46E-4</v>
      </c>
      <c r="Y1181" s="2">
        <v>66.80188679</v>
      </c>
      <c r="AA1181" s="2" t="s">
        <v>33</v>
      </c>
    </row>
    <row r="1182">
      <c r="A1182" s="2">
        <v>2693.0</v>
      </c>
      <c r="B1182" s="2" t="s">
        <v>3487</v>
      </c>
      <c r="C1182" s="2" t="s">
        <v>7</v>
      </c>
      <c r="D1182" s="2" t="s">
        <v>3488</v>
      </c>
      <c r="E1182" s="2" t="s">
        <v>3489</v>
      </c>
      <c r="F1182" s="6">
        <v>45866.708333333336</v>
      </c>
      <c r="G1182" s="2">
        <v>64004.0</v>
      </c>
      <c r="H1182" s="2">
        <v>64004.0</v>
      </c>
      <c r="I1182" s="2">
        <v>55626.0</v>
      </c>
      <c r="J1182" s="2">
        <v>313.0</v>
      </c>
      <c r="K1182" s="2">
        <v>251.0</v>
      </c>
      <c r="L1182" s="2">
        <v>3.0</v>
      </c>
      <c r="M1182" s="4">
        <v>9147.0</v>
      </c>
      <c r="N1182" s="2" t="s">
        <v>30</v>
      </c>
      <c r="O1182" s="2">
        <v>70.0</v>
      </c>
      <c r="P1182" s="2" t="s">
        <v>189</v>
      </c>
      <c r="Q1182" s="2" t="s">
        <v>32</v>
      </c>
      <c r="R1182" s="2">
        <v>41.0</v>
      </c>
      <c r="T1182" s="2" t="s">
        <v>47</v>
      </c>
      <c r="U1182" s="2" t="b">
        <v>0</v>
      </c>
      <c r="V1182" s="5">
        <v>0.0045</v>
      </c>
      <c r="W1182" s="5">
        <v>0.012</v>
      </c>
      <c r="X1182" s="5">
        <v>5.4E-5</v>
      </c>
      <c r="Y1182" s="2">
        <v>36.44223108</v>
      </c>
      <c r="Z1182" s="2">
        <v>5083.0</v>
      </c>
      <c r="AA1182" s="2" t="s">
        <v>33</v>
      </c>
    </row>
    <row r="1183">
      <c r="A1183" s="2">
        <v>2712.0</v>
      </c>
      <c r="B1183" s="2" t="s">
        <v>3490</v>
      </c>
      <c r="C1183" s="2" t="s">
        <v>7</v>
      </c>
      <c r="D1183" s="2" t="s">
        <v>3491</v>
      </c>
      <c r="E1183" s="2" t="s">
        <v>3492</v>
      </c>
      <c r="F1183" s="6">
        <v>45866.75</v>
      </c>
      <c r="G1183" s="2">
        <v>6046.0</v>
      </c>
      <c r="H1183" s="2">
        <v>6046.0</v>
      </c>
      <c r="I1183" s="2">
        <v>5088.0</v>
      </c>
      <c r="J1183" s="2">
        <v>51.0</v>
      </c>
      <c r="K1183" s="2">
        <v>39.0</v>
      </c>
      <c r="L1183" s="2">
        <v>1.0</v>
      </c>
      <c r="M1183" s="2">
        <v>138.0</v>
      </c>
      <c r="N1183" s="2" t="s">
        <v>423</v>
      </c>
      <c r="O1183" s="2">
        <v>119.0</v>
      </c>
      <c r="P1183" s="2" t="s">
        <v>189</v>
      </c>
      <c r="Q1183" s="2" t="s">
        <v>1367</v>
      </c>
      <c r="R1183" s="2">
        <v>41.0</v>
      </c>
      <c r="T1183" s="2" t="s">
        <v>162</v>
      </c>
      <c r="U1183" s="2" t="b">
        <v>0</v>
      </c>
      <c r="V1183" s="5">
        <v>0.0077</v>
      </c>
      <c r="W1183" s="5">
        <v>0.0256</v>
      </c>
      <c r="X1183" s="5">
        <v>1.97E-4</v>
      </c>
      <c r="Y1183" s="2">
        <v>3.538461538</v>
      </c>
      <c r="AA1183" s="2" t="s">
        <v>423</v>
      </c>
    </row>
    <row r="1184">
      <c r="A1184" s="2">
        <v>2722.0</v>
      </c>
      <c r="B1184" s="2" t="s">
        <v>3493</v>
      </c>
      <c r="C1184" s="2" t="s">
        <v>7</v>
      </c>
      <c r="D1184" s="2" t="s">
        <v>3494</v>
      </c>
      <c r="E1184" s="2" t="s">
        <v>3495</v>
      </c>
      <c r="F1184" s="6">
        <v>45867.48611111111</v>
      </c>
      <c r="G1184" s="2">
        <v>63847.0</v>
      </c>
      <c r="H1184" s="2">
        <v>63847.0</v>
      </c>
      <c r="I1184" s="2">
        <v>55574.0</v>
      </c>
      <c r="J1184" s="2">
        <v>325.0</v>
      </c>
      <c r="K1184" s="2">
        <v>254.0</v>
      </c>
      <c r="L1184" s="2">
        <v>2.0</v>
      </c>
      <c r="M1184" s="4">
        <v>3953.0</v>
      </c>
      <c r="N1184" s="2" t="s">
        <v>30</v>
      </c>
      <c r="O1184" s="2">
        <v>70.0</v>
      </c>
      <c r="P1184" s="2" t="s">
        <v>189</v>
      </c>
      <c r="Q1184" s="2" t="s">
        <v>32</v>
      </c>
      <c r="R1184" s="2">
        <v>48.0</v>
      </c>
      <c r="T1184" s="2" t="s">
        <v>3496</v>
      </c>
      <c r="U1184" s="2" t="b">
        <v>0</v>
      </c>
      <c r="V1184" s="5">
        <v>0.0046</v>
      </c>
      <c r="W1184" s="5">
        <v>0.0079</v>
      </c>
      <c r="X1184" s="5">
        <v>3.6E-5</v>
      </c>
      <c r="Y1184" s="2">
        <v>15.56299213</v>
      </c>
      <c r="AA1184" s="2" t="s">
        <v>33</v>
      </c>
    </row>
    <row r="1185">
      <c r="A1185" s="2">
        <v>2723.0</v>
      </c>
      <c r="B1185" s="2" t="s">
        <v>3497</v>
      </c>
      <c r="C1185" s="2" t="s">
        <v>7</v>
      </c>
      <c r="D1185" s="2" t="s">
        <v>3498</v>
      </c>
      <c r="E1185" s="2" t="s">
        <v>3499</v>
      </c>
      <c r="F1185" s="6">
        <v>45867.486805555556</v>
      </c>
      <c r="G1185" s="2">
        <v>49182.0</v>
      </c>
      <c r="H1185" s="2">
        <v>49182.0</v>
      </c>
      <c r="I1185" s="2">
        <v>41017.0</v>
      </c>
      <c r="J1185" s="2">
        <v>267.0</v>
      </c>
      <c r="K1185" s="2">
        <v>195.0</v>
      </c>
      <c r="L1185" s="2">
        <v>3.0</v>
      </c>
      <c r="M1185" s="4">
        <v>8528.0</v>
      </c>
      <c r="N1185" s="2" t="s">
        <v>36</v>
      </c>
      <c r="O1185" s="2">
        <v>71.0</v>
      </c>
      <c r="P1185" s="2" t="s">
        <v>189</v>
      </c>
      <c r="Q1185" s="2" t="s">
        <v>32</v>
      </c>
      <c r="R1185" s="2">
        <v>50.0</v>
      </c>
      <c r="T1185" s="2" t="s">
        <v>58</v>
      </c>
      <c r="U1185" s="2" t="b">
        <v>1</v>
      </c>
      <c r="V1185" s="5">
        <v>0.0048</v>
      </c>
      <c r="W1185" s="5">
        <v>0.0154</v>
      </c>
      <c r="X1185" s="5">
        <v>7.3E-5</v>
      </c>
      <c r="Y1185" s="2">
        <v>43.73333333</v>
      </c>
      <c r="AA1185" s="2" t="s">
        <v>33</v>
      </c>
    </row>
    <row r="1186">
      <c r="A1186" s="2">
        <v>2728.0</v>
      </c>
      <c r="B1186" s="2" t="s">
        <v>3500</v>
      </c>
      <c r="C1186" s="2" t="s">
        <v>7</v>
      </c>
      <c r="D1186" s="2" t="s">
        <v>3501</v>
      </c>
      <c r="F1186" s="6">
        <v>45867.52777777778</v>
      </c>
      <c r="G1186" s="2">
        <v>5251.0</v>
      </c>
      <c r="H1186" s="2">
        <v>5251.0</v>
      </c>
      <c r="I1186" s="2">
        <v>4449.0</v>
      </c>
      <c r="J1186" s="2">
        <v>216.0</v>
      </c>
      <c r="K1186" s="2">
        <v>112.0</v>
      </c>
      <c r="L1186" s="2">
        <v>0.0</v>
      </c>
      <c r="M1186" s="2">
        <v>0.0</v>
      </c>
      <c r="N1186" s="2" t="s">
        <v>3311</v>
      </c>
      <c r="O1186" s="2">
        <v>228.0</v>
      </c>
      <c r="P1186" s="2" t="s">
        <v>31</v>
      </c>
      <c r="Q1186" s="2" t="s">
        <v>32</v>
      </c>
      <c r="R1186" s="2">
        <v>77.0</v>
      </c>
      <c r="T1186" s="2" t="s">
        <v>47</v>
      </c>
      <c r="U1186" s="2" t="b">
        <v>0</v>
      </c>
      <c r="V1186" s="5">
        <v>0.0252</v>
      </c>
      <c r="W1186" s="5">
        <v>0.0</v>
      </c>
      <c r="X1186" s="5">
        <v>0.0</v>
      </c>
      <c r="Y1186" s="2">
        <v>0.0</v>
      </c>
    </row>
    <row r="1187">
      <c r="A1187" s="2">
        <v>2726.0</v>
      </c>
      <c r="B1187" s="2" t="s">
        <v>3502</v>
      </c>
      <c r="C1187" s="2" t="s">
        <v>7</v>
      </c>
      <c r="D1187" s="2" t="s">
        <v>3503</v>
      </c>
      <c r="F1187" s="6">
        <v>45867.52777777778</v>
      </c>
      <c r="G1187" s="2">
        <v>5254.0</v>
      </c>
      <c r="H1187" s="2">
        <v>5254.0</v>
      </c>
      <c r="I1187" s="2">
        <v>4380.0</v>
      </c>
      <c r="J1187" s="2">
        <v>168.0</v>
      </c>
      <c r="K1187" s="2">
        <v>94.0</v>
      </c>
      <c r="L1187" s="2">
        <v>2.0</v>
      </c>
      <c r="M1187" s="4">
        <v>11286.0</v>
      </c>
      <c r="N1187" s="2" t="s">
        <v>3311</v>
      </c>
      <c r="O1187" s="2">
        <v>228.0</v>
      </c>
      <c r="P1187" s="2" t="s">
        <v>31</v>
      </c>
      <c r="Q1187" s="2" t="s">
        <v>32</v>
      </c>
      <c r="R1187" s="2">
        <v>59.0</v>
      </c>
      <c r="T1187" s="2" t="s">
        <v>3504</v>
      </c>
      <c r="U1187" s="2" t="b">
        <v>0</v>
      </c>
      <c r="V1187" s="5">
        <v>0.0215</v>
      </c>
      <c r="W1187" s="5">
        <v>0.0213</v>
      </c>
      <c r="X1187" s="5">
        <v>4.57E-4</v>
      </c>
      <c r="Y1187" s="2">
        <v>120.0638298</v>
      </c>
    </row>
    <row r="1188">
      <c r="A1188" s="2">
        <v>2678.0</v>
      </c>
      <c r="B1188" s="2" t="s">
        <v>3505</v>
      </c>
      <c r="C1188" s="2" t="s">
        <v>7</v>
      </c>
      <c r="D1188" s="2" t="s">
        <v>3506</v>
      </c>
      <c r="E1188" s="2" t="s">
        <v>3507</v>
      </c>
      <c r="F1188" s="6">
        <v>45867.625</v>
      </c>
      <c r="G1188" s="2">
        <v>49037.0</v>
      </c>
      <c r="H1188" s="2">
        <v>49037.0</v>
      </c>
      <c r="I1188" s="2">
        <v>41144.0</v>
      </c>
      <c r="J1188" s="2">
        <v>374.0</v>
      </c>
      <c r="K1188" s="2">
        <v>266.0</v>
      </c>
      <c r="L1188" s="2">
        <v>6.0</v>
      </c>
      <c r="M1188" s="4">
        <v>20755.0</v>
      </c>
      <c r="N1188" s="2" t="s">
        <v>36</v>
      </c>
      <c r="O1188" s="2">
        <v>71.0</v>
      </c>
      <c r="P1188" s="2" t="s">
        <v>189</v>
      </c>
      <c r="Q1188" s="2" t="s">
        <v>32</v>
      </c>
      <c r="R1188" s="2">
        <v>40.0</v>
      </c>
      <c r="U1188" s="2" t="b">
        <v>0</v>
      </c>
      <c r="V1188" s="5">
        <v>0.0065</v>
      </c>
      <c r="W1188" s="5">
        <v>0.0226</v>
      </c>
      <c r="X1188" s="5">
        <v>1.46E-4</v>
      </c>
      <c r="Y1188" s="2">
        <v>78.02631579</v>
      </c>
      <c r="AA1188" s="2" t="s">
        <v>33</v>
      </c>
    </row>
    <row r="1189">
      <c r="A1189" s="2">
        <v>2677.0</v>
      </c>
      <c r="B1189" s="2" t="s">
        <v>3508</v>
      </c>
      <c r="C1189" s="2" t="s">
        <v>7</v>
      </c>
      <c r="D1189" s="2" t="s">
        <v>3509</v>
      </c>
      <c r="E1189" s="2" t="s">
        <v>3510</v>
      </c>
      <c r="F1189" s="6">
        <v>45867.625</v>
      </c>
      <c r="G1189" s="2">
        <v>63760.0</v>
      </c>
      <c r="H1189" s="2">
        <v>63760.0</v>
      </c>
      <c r="I1189" s="2">
        <v>55664.0</v>
      </c>
      <c r="J1189" s="2">
        <v>407.0</v>
      </c>
      <c r="K1189" s="2">
        <v>327.0</v>
      </c>
      <c r="L1189" s="2">
        <v>8.0</v>
      </c>
      <c r="M1189" s="4">
        <v>17173.0</v>
      </c>
      <c r="N1189" s="2" t="s">
        <v>30</v>
      </c>
      <c r="O1189" s="2">
        <v>70.0</v>
      </c>
      <c r="P1189" s="2" t="s">
        <v>189</v>
      </c>
      <c r="Q1189" s="2" t="s">
        <v>32</v>
      </c>
      <c r="R1189" s="2">
        <v>30.0</v>
      </c>
      <c r="T1189" s="2" t="s">
        <v>47</v>
      </c>
      <c r="U1189" s="2" t="b">
        <v>0</v>
      </c>
      <c r="V1189" s="5">
        <v>0.0059</v>
      </c>
      <c r="W1189" s="5">
        <v>0.0245</v>
      </c>
      <c r="X1189" s="5">
        <v>1.44E-4</v>
      </c>
      <c r="Y1189" s="2">
        <v>52.51681957</v>
      </c>
      <c r="AA1189" s="2" t="s">
        <v>33</v>
      </c>
    </row>
    <row r="1190">
      <c r="A1190" s="2">
        <v>2724.0</v>
      </c>
      <c r="B1190" s="2" t="s">
        <v>3511</v>
      </c>
      <c r="C1190" s="2" t="s">
        <v>7</v>
      </c>
      <c r="D1190" s="2" t="s">
        <v>3512</v>
      </c>
      <c r="E1190" s="2" t="s">
        <v>3513</v>
      </c>
      <c r="F1190" s="6">
        <v>45867.711805555555</v>
      </c>
      <c r="G1190" s="2">
        <v>63755.0</v>
      </c>
      <c r="H1190" s="2">
        <v>63755.0</v>
      </c>
      <c r="I1190" s="2">
        <v>55753.0</v>
      </c>
      <c r="J1190" s="2">
        <v>714.0</v>
      </c>
      <c r="K1190" s="2">
        <v>287.0</v>
      </c>
      <c r="L1190" s="2">
        <v>3.0</v>
      </c>
      <c r="M1190" s="4">
        <v>59926.0</v>
      </c>
      <c r="N1190" s="2" t="s">
        <v>30</v>
      </c>
      <c r="O1190" s="2">
        <v>70.0</v>
      </c>
      <c r="P1190" s="2" t="s">
        <v>31</v>
      </c>
      <c r="Q1190" s="2" t="s">
        <v>32</v>
      </c>
      <c r="R1190" s="2">
        <v>46.0</v>
      </c>
      <c r="T1190" s="2" t="s">
        <v>3514</v>
      </c>
      <c r="U1190" s="2" t="b">
        <v>0</v>
      </c>
      <c r="V1190" s="5">
        <v>0.0051</v>
      </c>
      <c r="W1190" s="5">
        <v>0.0105</v>
      </c>
      <c r="X1190" s="5">
        <v>5.4E-5</v>
      </c>
      <c r="Y1190" s="2">
        <v>208.8013937</v>
      </c>
      <c r="Z1190" s="2">
        <v>5992.0</v>
      </c>
      <c r="AA1190" s="2" t="s">
        <v>33</v>
      </c>
    </row>
    <row r="1191">
      <c r="A1191" s="2">
        <v>2725.0</v>
      </c>
      <c r="B1191" s="2" t="s">
        <v>3515</v>
      </c>
      <c r="C1191" s="2" t="s">
        <v>7</v>
      </c>
      <c r="D1191" s="2" t="s">
        <v>3516</v>
      </c>
      <c r="E1191" s="2" t="s">
        <v>3517</v>
      </c>
      <c r="F1191" s="6">
        <v>45867.71527777778</v>
      </c>
      <c r="G1191" s="2">
        <v>49070.0</v>
      </c>
      <c r="H1191" s="2">
        <v>49070.0</v>
      </c>
      <c r="I1191" s="2">
        <v>41266.0</v>
      </c>
      <c r="J1191" s="2">
        <v>640.0</v>
      </c>
      <c r="K1191" s="2">
        <v>246.0</v>
      </c>
      <c r="L1191" s="2">
        <v>2.0</v>
      </c>
      <c r="M1191" s="4">
        <v>1950.0</v>
      </c>
      <c r="N1191" s="2" t="s">
        <v>36</v>
      </c>
      <c r="O1191" s="2">
        <v>71.0</v>
      </c>
      <c r="P1191" s="2" t="s">
        <v>189</v>
      </c>
      <c r="Q1191" s="2" t="s">
        <v>32</v>
      </c>
      <c r="R1191" s="2">
        <v>52.0</v>
      </c>
      <c r="T1191" s="2" t="s">
        <v>47</v>
      </c>
      <c r="U1191" s="2" t="b">
        <v>0</v>
      </c>
      <c r="V1191" s="5">
        <v>0.006</v>
      </c>
      <c r="W1191" s="5">
        <v>0.0081</v>
      </c>
      <c r="X1191" s="5">
        <v>4.8E-5</v>
      </c>
      <c r="Y1191" s="2">
        <v>7.926829268</v>
      </c>
      <c r="AA1191" s="2" t="s">
        <v>33</v>
      </c>
    </row>
    <row r="1192">
      <c r="A1192" s="2">
        <v>2731.0</v>
      </c>
      <c r="B1192" s="2" t="s">
        <v>3518</v>
      </c>
      <c r="C1192" s="2" t="s">
        <v>7</v>
      </c>
      <c r="D1192" s="2" t="s">
        <v>3519</v>
      </c>
      <c r="E1192" s="2" t="s">
        <v>3520</v>
      </c>
      <c r="F1192" s="6">
        <v>45868.458333333336</v>
      </c>
      <c r="G1192" s="2">
        <v>48800.0</v>
      </c>
      <c r="H1192" s="2">
        <v>48800.0</v>
      </c>
      <c r="I1192" s="2">
        <v>40821.0</v>
      </c>
      <c r="J1192" s="2">
        <v>560.0</v>
      </c>
      <c r="K1192" s="2">
        <v>216.0</v>
      </c>
      <c r="L1192" s="2">
        <v>2.0</v>
      </c>
      <c r="M1192" s="4">
        <v>12352.0</v>
      </c>
      <c r="N1192" s="2" t="s">
        <v>36</v>
      </c>
      <c r="O1192" s="2">
        <v>71.0</v>
      </c>
      <c r="P1192" s="2" t="s">
        <v>189</v>
      </c>
      <c r="Q1192" s="2" t="s">
        <v>32</v>
      </c>
      <c r="R1192" s="2">
        <v>56.0</v>
      </c>
      <c r="T1192" s="2" t="s">
        <v>47</v>
      </c>
      <c r="U1192" s="2" t="b">
        <v>0</v>
      </c>
      <c r="V1192" s="5">
        <v>0.0053</v>
      </c>
      <c r="W1192" s="5">
        <v>0.0093</v>
      </c>
      <c r="X1192" s="5">
        <v>4.9E-5</v>
      </c>
      <c r="Y1192" s="2">
        <v>57.18518519</v>
      </c>
      <c r="AA1192" s="2" t="s">
        <v>33</v>
      </c>
    </row>
    <row r="1193">
      <c r="A1193" s="2">
        <v>2730.0</v>
      </c>
      <c r="B1193" s="2" t="s">
        <v>3521</v>
      </c>
      <c r="C1193" s="2" t="s">
        <v>7</v>
      </c>
      <c r="D1193" s="2" t="s">
        <v>3522</v>
      </c>
      <c r="E1193" s="2" t="s">
        <v>3523</v>
      </c>
      <c r="F1193" s="6">
        <v>45868.458333333336</v>
      </c>
      <c r="G1193" s="2">
        <v>63517.0</v>
      </c>
      <c r="H1193" s="2">
        <v>63517.0</v>
      </c>
      <c r="I1193" s="2">
        <v>55320.0</v>
      </c>
      <c r="J1193" s="2">
        <v>567.0</v>
      </c>
      <c r="K1193" s="2">
        <v>225.0</v>
      </c>
      <c r="L1193" s="2">
        <v>2.0</v>
      </c>
      <c r="M1193" s="4">
        <v>2987.0</v>
      </c>
      <c r="N1193" s="2" t="s">
        <v>30</v>
      </c>
      <c r="O1193" s="2">
        <v>70.0</v>
      </c>
      <c r="P1193" s="2" t="s">
        <v>189</v>
      </c>
      <c r="Q1193" s="2" t="s">
        <v>32</v>
      </c>
      <c r="R1193" s="2">
        <v>37.0</v>
      </c>
      <c r="U1193" s="2" t="b">
        <v>0</v>
      </c>
      <c r="V1193" s="5">
        <v>0.0041</v>
      </c>
      <c r="W1193" s="5">
        <v>0.0089</v>
      </c>
      <c r="X1193" s="5">
        <v>3.6E-5</v>
      </c>
      <c r="Y1193" s="2">
        <v>13.27555556</v>
      </c>
      <c r="AA1193" s="2" t="s">
        <v>33</v>
      </c>
    </row>
    <row r="1194">
      <c r="A1194" s="2">
        <v>2696.0</v>
      </c>
      <c r="B1194" s="2" t="s">
        <v>3524</v>
      </c>
      <c r="C1194" s="2" t="s">
        <v>7</v>
      </c>
      <c r="D1194" s="2" t="s">
        <v>3525</v>
      </c>
      <c r="E1194" s="2" t="s">
        <v>3526</v>
      </c>
      <c r="F1194" s="6">
        <v>45868.583333333336</v>
      </c>
      <c r="G1194" s="2">
        <v>5973.0</v>
      </c>
      <c r="H1194" s="2">
        <v>5973.0</v>
      </c>
      <c r="I1194" s="2">
        <v>5077.0</v>
      </c>
      <c r="J1194" s="2">
        <v>143.0</v>
      </c>
      <c r="K1194" s="2">
        <v>52.0</v>
      </c>
      <c r="L1194" s="2">
        <v>0.0</v>
      </c>
      <c r="M1194" s="2">
        <v>0.0</v>
      </c>
      <c r="N1194" s="2" t="s">
        <v>423</v>
      </c>
      <c r="O1194" s="2">
        <v>119.0</v>
      </c>
      <c r="P1194" s="2" t="s">
        <v>31</v>
      </c>
      <c r="Q1194" s="2" t="s">
        <v>1367</v>
      </c>
      <c r="R1194" s="2">
        <v>38.0</v>
      </c>
      <c r="T1194" s="2" t="s">
        <v>47</v>
      </c>
      <c r="U1194" s="2" t="b">
        <v>0</v>
      </c>
      <c r="V1194" s="5">
        <v>0.0102</v>
      </c>
      <c r="W1194" s="5">
        <v>0.0</v>
      </c>
      <c r="X1194" s="5">
        <v>0.0</v>
      </c>
      <c r="Y1194" s="2">
        <v>0.0</v>
      </c>
      <c r="AA1194" s="2" t="s">
        <v>423</v>
      </c>
    </row>
    <row r="1195">
      <c r="A1195" s="2">
        <v>2736.0</v>
      </c>
      <c r="B1195" s="2" t="s">
        <v>3527</v>
      </c>
      <c r="C1195" s="2" t="s">
        <v>7</v>
      </c>
      <c r="D1195" s="2" t="s">
        <v>3528</v>
      </c>
      <c r="E1195" s="2" t="s">
        <v>3529</v>
      </c>
      <c r="F1195" s="6">
        <v>45868.625</v>
      </c>
      <c r="G1195" s="2">
        <v>48640.0</v>
      </c>
      <c r="H1195" s="2">
        <v>48640.0</v>
      </c>
      <c r="I1195" s="2">
        <v>41033.0</v>
      </c>
      <c r="J1195" s="2">
        <v>736.0</v>
      </c>
      <c r="K1195" s="2">
        <v>277.0</v>
      </c>
      <c r="L1195" s="2">
        <v>4.0</v>
      </c>
      <c r="M1195" s="4">
        <v>6805.0</v>
      </c>
      <c r="N1195" s="2" t="s">
        <v>36</v>
      </c>
      <c r="O1195" s="2">
        <v>71.0</v>
      </c>
      <c r="P1195" s="2" t="s">
        <v>189</v>
      </c>
      <c r="Q1195" s="2" t="s">
        <v>32</v>
      </c>
      <c r="R1195" s="2">
        <v>31.0</v>
      </c>
      <c r="T1195" s="2" t="s">
        <v>58</v>
      </c>
      <c r="U1195" s="2" t="b">
        <v>1</v>
      </c>
      <c r="V1195" s="5">
        <v>0.0068</v>
      </c>
      <c r="W1195" s="5">
        <v>0.0144</v>
      </c>
      <c r="X1195" s="5">
        <v>9.7E-5</v>
      </c>
      <c r="Y1195" s="2">
        <v>24.566787</v>
      </c>
      <c r="AA1195" s="2" t="s">
        <v>33</v>
      </c>
    </row>
    <row r="1196">
      <c r="A1196" s="2">
        <v>2735.0</v>
      </c>
      <c r="B1196" s="2" t="s">
        <v>3530</v>
      </c>
      <c r="C1196" s="2" t="s">
        <v>7</v>
      </c>
      <c r="D1196" s="2" t="s">
        <v>3531</v>
      </c>
      <c r="E1196" s="2" t="s">
        <v>3532</v>
      </c>
      <c r="F1196" s="6">
        <v>45868.625</v>
      </c>
      <c r="G1196" s="2">
        <v>63399.0</v>
      </c>
      <c r="H1196" s="2">
        <v>63399.0</v>
      </c>
      <c r="I1196" s="2">
        <v>55457.0</v>
      </c>
      <c r="J1196" s="2">
        <v>927.0</v>
      </c>
      <c r="K1196" s="2">
        <v>373.0</v>
      </c>
      <c r="L1196" s="2">
        <v>8.0</v>
      </c>
      <c r="M1196" s="4">
        <v>47219.0</v>
      </c>
      <c r="N1196" s="2" t="s">
        <v>30</v>
      </c>
      <c r="O1196" s="2">
        <v>70.0</v>
      </c>
      <c r="P1196" s="2" t="s">
        <v>31</v>
      </c>
      <c r="Q1196" s="2" t="s">
        <v>32</v>
      </c>
      <c r="R1196" s="2">
        <v>30.0</v>
      </c>
      <c r="T1196" s="7" t="str">
        <f>IFERROR(__xludf.DUMMYFUNCTION("AI(""has offer Come X Pay X"",D1196)"),"Buy 2 Get 1 Free with Red Oven 🔥🍽️")</f>
        <v>Buy 2 Get 1 Free with Red Oven 🔥🍽️</v>
      </c>
      <c r="U1196" s="2" t="b">
        <v>0</v>
      </c>
      <c r="V1196" s="5">
        <v>0.0067</v>
      </c>
      <c r="W1196" s="5">
        <v>0.0214</v>
      </c>
      <c r="X1196" s="5">
        <v>1.44E-4</v>
      </c>
      <c r="Y1196" s="2">
        <v>126.5924933</v>
      </c>
      <c r="Z1196" s="2">
        <v>835.0</v>
      </c>
      <c r="AA1196" s="2" t="s">
        <v>33</v>
      </c>
    </row>
    <row r="1197">
      <c r="A1197" s="2">
        <v>2738.0</v>
      </c>
      <c r="B1197" s="2" t="s">
        <v>3533</v>
      </c>
      <c r="C1197" s="2" t="s">
        <v>7</v>
      </c>
      <c r="D1197" s="2" t="s">
        <v>3534</v>
      </c>
      <c r="E1197" s="2" t="s">
        <v>3535</v>
      </c>
      <c r="F1197" s="6">
        <v>45868.708333333336</v>
      </c>
      <c r="G1197" s="2">
        <v>48620.0</v>
      </c>
      <c r="H1197" s="2">
        <v>48620.0</v>
      </c>
      <c r="I1197" s="2">
        <v>40759.0</v>
      </c>
      <c r="J1197" s="2">
        <v>496.0</v>
      </c>
      <c r="K1197" s="2">
        <v>195.0</v>
      </c>
      <c r="L1197" s="2">
        <v>5.0</v>
      </c>
      <c r="M1197" s="4">
        <v>27541.0</v>
      </c>
      <c r="N1197" s="2" t="s">
        <v>36</v>
      </c>
      <c r="O1197" s="2">
        <v>71.0</v>
      </c>
      <c r="P1197" s="2" t="s">
        <v>189</v>
      </c>
      <c r="Q1197" s="2" t="s">
        <v>32</v>
      </c>
      <c r="R1197" s="2">
        <v>41.0</v>
      </c>
      <c r="T1197" s="2" t="s">
        <v>47</v>
      </c>
      <c r="U1197" s="2" t="b">
        <v>0</v>
      </c>
      <c r="V1197" s="5">
        <v>0.0048</v>
      </c>
      <c r="W1197" s="5">
        <v>0.0256</v>
      </c>
      <c r="X1197" s="5">
        <v>1.23E-4</v>
      </c>
      <c r="Y1197" s="2">
        <v>141.2358974</v>
      </c>
      <c r="AA1197" s="2" t="s">
        <v>33</v>
      </c>
    </row>
    <row r="1198">
      <c r="A1198" s="2">
        <v>2737.0</v>
      </c>
      <c r="B1198" s="2" t="s">
        <v>3536</v>
      </c>
      <c r="C1198" s="2" t="s">
        <v>7</v>
      </c>
      <c r="D1198" s="2" t="s">
        <v>3537</v>
      </c>
      <c r="E1198" s="2" t="s">
        <v>3538</v>
      </c>
      <c r="F1198" s="6">
        <v>45868.708333333336</v>
      </c>
      <c r="G1198" s="2">
        <v>63401.0</v>
      </c>
      <c r="H1198" s="2">
        <v>63401.0</v>
      </c>
      <c r="I1198" s="2">
        <v>55414.0</v>
      </c>
      <c r="J1198" s="2">
        <v>704.0</v>
      </c>
      <c r="K1198" s="2">
        <v>283.0</v>
      </c>
      <c r="L1198" s="2">
        <v>2.0</v>
      </c>
      <c r="M1198" s="4">
        <v>4795.0</v>
      </c>
      <c r="N1198" s="2" t="s">
        <v>30</v>
      </c>
      <c r="O1198" s="2">
        <v>70.0</v>
      </c>
      <c r="P1198" s="2" t="s">
        <v>189</v>
      </c>
      <c r="Q1198" s="2" t="s">
        <v>32</v>
      </c>
      <c r="R1198" s="2">
        <v>32.0</v>
      </c>
      <c r="U1198" s="2" t="b">
        <v>0</v>
      </c>
      <c r="V1198" s="5">
        <v>0.0051</v>
      </c>
      <c r="W1198" s="5">
        <v>0.0071</v>
      </c>
      <c r="X1198" s="5">
        <v>3.6E-5</v>
      </c>
      <c r="Y1198" s="2">
        <v>16.9434629</v>
      </c>
      <c r="AA1198" s="2" t="s">
        <v>33</v>
      </c>
    </row>
    <row r="1199">
      <c r="A1199" s="2">
        <v>2745.0</v>
      </c>
      <c r="B1199" s="2" t="s">
        <v>3539</v>
      </c>
      <c r="C1199" s="2" t="s">
        <v>7</v>
      </c>
      <c r="D1199" s="2" t="s">
        <v>3540</v>
      </c>
      <c r="E1199" s="2" t="s">
        <v>3541</v>
      </c>
      <c r="F1199" s="6">
        <v>45869.458333333336</v>
      </c>
      <c r="G1199" s="2">
        <v>48372.0</v>
      </c>
      <c r="H1199" s="2">
        <v>48372.0</v>
      </c>
      <c r="I1199" s="2">
        <v>40576.0</v>
      </c>
      <c r="J1199" s="2">
        <v>576.0</v>
      </c>
      <c r="K1199" s="2">
        <v>190.0</v>
      </c>
      <c r="L1199" s="2">
        <v>2.0</v>
      </c>
      <c r="M1199" s="4">
        <v>44400.0</v>
      </c>
      <c r="N1199" s="2" t="s">
        <v>36</v>
      </c>
      <c r="O1199" s="2">
        <v>71.0</v>
      </c>
      <c r="P1199" s="2" t="s">
        <v>189</v>
      </c>
      <c r="Q1199" s="2" t="s">
        <v>32</v>
      </c>
      <c r="R1199" s="2">
        <v>33.0</v>
      </c>
      <c r="U1199" s="2" t="b">
        <v>0</v>
      </c>
      <c r="V1199" s="5">
        <v>0.0047</v>
      </c>
      <c r="W1199" s="5">
        <v>0.0105</v>
      </c>
      <c r="X1199" s="5">
        <v>4.9E-5</v>
      </c>
      <c r="Y1199" s="2">
        <v>233.6842105</v>
      </c>
      <c r="AA1199" s="2" t="s">
        <v>33</v>
      </c>
    </row>
    <row r="1200">
      <c r="A1200" s="2">
        <v>2744.0</v>
      </c>
      <c r="B1200" s="2" t="s">
        <v>3542</v>
      </c>
      <c r="C1200" s="2" t="s">
        <v>7</v>
      </c>
      <c r="D1200" s="2" t="s">
        <v>3543</v>
      </c>
      <c r="E1200" s="2" t="s">
        <v>3544</v>
      </c>
      <c r="F1200" s="6">
        <v>45869.458333333336</v>
      </c>
      <c r="G1200" s="2">
        <v>63144.0</v>
      </c>
      <c r="H1200" s="2">
        <v>63144.0</v>
      </c>
      <c r="I1200" s="2">
        <v>55160.0</v>
      </c>
      <c r="J1200" s="2">
        <v>688.0</v>
      </c>
      <c r="K1200" s="2">
        <v>241.0</v>
      </c>
      <c r="L1200" s="2">
        <v>6.0</v>
      </c>
      <c r="M1200" s="4">
        <v>24569.0</v>
      </c>
      <c r="N1200" s="2" t="s">
        <v>30</v>
      </c>
      <c r="O1200" s="2">
        <v>70.0</v>
      </c>
      <c r="P1200" s="2" t="s">
        <v>189</v>
      </c>
      <c r="Q1200" s="2" t="s">
        <v>32</v>
      </c>
      <c r="R1200" s="2">
        <v>34.0</v>
      </c>
      <c r="T1200" s="2" t="s">
        <v>47</v>
      </c>
      <c r="U1200" s="2" t="b">
        <v>0</v>
      </c>
      <c r="V1200" s="5">
        <v>0.0044</v>
      </c>
      <c r="W1200" s="5">
        <v>0.0249</v>
      </c>
      <c r="X1200" s="5">
        <v>1.09E-4</v>
      </c>
      <c r="Y1200" s="2">
        <v>101.9460581</v>
      </c>
      <c r="AA1200" s="2" t="s">
        <v>33</v>
      </c>
    </row>
    <row r="1201">
      <c r="A1201" s="2">
        <v>2747.0</v>
      </c>
      <c r="B1201" s="2" t="s">
        <v>3545</v>
      </c>
      <c r="C1201" s="2" t="s">
        <v>7</v>
      </c>
      <c r="D1201" s="2" t="s">
        <v>3546</v>
      </c>
      <c r="E1201" s="2" t="s">
        <v>3547</v>
      </c>
      <c r="F1201" s="6">
        <v>45869.625</v>
      </c>
      <c r="G1201" s="2">
        <v>48116.0</v>
      </c>
      <c r="H1201" s="2">
        <v>48116.0</v>
      </c>
      <c r="I1201" s="2">
        <v>40767.0</v>
      </c>
      <c r="J1201" s="2">
        <v>316.0</v>
      </c>
      <c r="K1201" s="2">
        <v>209.0</v>
      </c>
      <c r="L1201" s="2">
        <v>3.0</v>
      </c>
      <c r="M1201" s="4">
        <v>20601.0</v>
      </c>
      <c r="N1201" s="2" t="s">
        <v>36</v>
      </c>
      <c r="O1201" s="2">
        <v>71.0</v>
      </c>
      <c r="P1201" s="2" t="s">
        <v>31</v>
      </c>
      <c r="Q1201" s="2" t="s">
        <v>32</v>
      </c>
      <c r="R1201" s="2">
        <v>62.0</v>
      </c>
      <c r="T1201" s="2" t="s">
        <v>47</v>
      </c>
      <c r="U1201" s="2" t="b">
        <v>0</v>
      </c>
      <c r="V1201" s="5">
        <v>0.0051</v>
      </c>
      <c r="W1201" s="5">
        <v>0.0144</v>
      </c>
      <c r="X1201" s="5">
        <v>7.4E-5</v>
      </c>
      <c r="Y1201" s="2">
        <v>98.56937799</v>
      </c>
      <c r="AA1201" s="2" t="s">
        <v>33</v>
      </c>
    </row>
    <row r="1202">
      <c r="A1202" s="2">
        <v>2746.0</v>
      </c>
      <c r="B1202" s="2" t="s">
        <v>3548</v>
      </c>
      <c r="C1202" s="2" t="s">
        <v>7</v>
      </c>
      <c r="D1202" s="2" t="s">
        <v>3549</v>
      </c>
      <c r="E1202" s="2" t="s">
        <v>3550</v>
      </c>
      <c r="F1202" s="6">
        <v>45869.625</v>
      </c>
      <c r="G1202" s="2">
        <v>62969.0</v>
      </c>
      <c r="H1202" s="2">
        <v>62969.0</v>
      </c>
      <c r="I1202" s="2">
        <v>55332.0</v>
      </c>
      <c r="J1202" s="2">
        <v>359.0</v>
      </c>
      <c r="K1202" s="2">
        <v>256.0</v>
      </c>
      <c r="L1202" s="2">
        <v>2.0</v>
      </c>
      <c r="M1202" s="4">
        <v>6122.0</v>
      </c>
      <c r="N1202" s="2" t="s">
        <v>30</v>
      </c>
      <c r="O1202" s="2">
        <v>70.0</v>
      </c>
      <c r="P1202" s="2" t="s">
        <v>31</v>
      </c>
      <c r="Q1202" s="2" t="s">
        <v>32</v>
      </c>
      <c r="R1202" s="2">
        <v>52.0</v>
      </c>
      <c r="T1202" s="2" t="s">
        <v>3551</v>
      </c>
      <c r="U1202" s="2" t="b">
        <v>0</v>
      </c>
      <c r="V1202" s="5">
        <v>0.0046</v>
      </c>
      <c r="W1202" s="5">
        <v>0.0078</v>
      </c>
      <c r="X1202" s="5">
        <v>3.6E-5</v>
      </c>
      <c r="Y1202" s="2">
        <v>23.9140625</v>
      </c>
      <c r="Z1202" s="2">
        <v>4749.0</v>
      </c>
      <c r="AA1202" s="2" t="s">
        <v>33</v>
      </c>
    </row>
    <row r="1203">
      <c r="A1203" s="2">
        <v>2749.0</v>
      </c>
      <c r="B1203" s="2" t="s">
        <v>3552</v>
      </c>
      <c r="C1203" s="2" t="s">
        <v>7</v>
      </c>
      <c r="D1203" s="2" t="s">
        <v>3553</v>
      </c>
      <c r="E1203" s="2" t="s">
        <v>3554</v>
      </c>
      <c r="F1203" s="6">
        <v>45869.708333333336</v>
      </c>
      <c r="G1203" s="2">
        <v>48014.0</v>
      </c>
      <c r="H1203" s="2">
        <v>48014.0</v>
      </c>
      <c r="I1203" s="2">
        <v>40836.0</v>
      </c>
      <c r="J1203" s="2">
        <v>655.0</v>
      </c>
      <c r="K1203" s="2">
        <v>275.0</v>
      </c>
      <c r="L1203" s="2">
        <v>6.0</v>
      </c>
      <c r="M1203" s="4">
        <v>18982.0</v>
      </c>
      <c r="N1203" s="2" t="s">
        <v>36</v>
      </c>
      <c r="O1203" s="2">
        <v>71.0</v>
      </c>
      <c r="P1203" s="2" t="s">
        <v>189</v>
      </c>
      <c r="Q1203" s="2" t="s">
        <v>32</v>
      </c>
      <c r="R1203" s="2">
        <v>26.0</v>
      </c>
      <c r="T1203" s="2" t="s">
        <v>58</v>
      </c>
      <c r="U1203" s="2" t="b">
        <v>1</v>
      </c>
      <c r="V1203" s="5">
        <v>0.0067</v>
      </c>
      <c r="W1203" s="5">
        <v>0.0218</v>
      </c>
      <c r="X1203" s="5">
        <v>1.47E-4</v>
      </c>
      <c r="Y1203" s="2">
        <v>69.02545455</v>
      </c>
      <c r="AA1203" s="2" t="s">
        <v>33</v>
      </c>
    </row>
    <row r="1204">
      <c r="A1204" s="2">
        <v>2748.0</v>
      </c>
      <c r="B1204" s="2" t="s">
        <v>3555</v>
      </c>
      <c r="C1204" s="2" t="s">
        <v>7</v>
      </c>
      <c r="D1204" s="2" t="s">
        <v>3556</v>
      </c>
      <c r="E1204" s="2" t="s">
        <v>3557</v>
      </c>
      <c r="F1204" s="6">
        <v>45869.708333333336</v>
      </c>
      <c r="G1204" s="2">
        <v>62966.0</v>
      </c>
      <c r="H1204" s="2">
        <v>62966.0</v>
      </c>
      <c r="I1204" s="2">
        <v>55351.0</v>
      </c>
      <c r="J1204" s="2">
        <v>972.0</v>
      </c>
      <c r="K1204" s="2">
        <v>384.0</v>
      </c>
      <c r="L1204" s="2">
        <v>5.0</v>
      </c>
      <c r="M1204" s="4">
        <v>16180.0</v>
      </c>
      <c r="N1204" s="2" t="s">
        <v>30</v>
      </c>
      <c r="O1204" s="2">
        <v>70.0</v>
      </c>
      <c r="P1204" s="2" t="s">
        <v>189</v>
      </c>
      <c r="Q1204" s="2" t="s">
        <v>32</v>
      </c>
      <c r="R1204" s="2">
        <v>27.0</v>
      </c>
      <c r="T1204" s="2" t="s">
        <v>405</v>
      </c>
      <c r="U1204" s="2" t="b">
        <v>0</v>
      </c>
      <c r="V1204" s="5">
        <v>0.0069</v>
      </c>
      <c r="W1204" s="5">
        <v>0.013</v>
      </c>
      <c r="X1204" s="5">
        <v>9.0E-5</v>
      </c>
      <c r="Y1204" s="2">
        <v>42.13541667</v>
      </c>
      <c r="Z1204" s="2">
        <v>5623.0</v>
      </c>
      <c r="AA1204" s="2" t="s">
        <v>33</v>
      </c>
    </row>
    <row r="1205">
      <c r="A1205" s="2">
        <v>2766.0</v>
      </c>
      <c r="B1205" s="2" t="s">
        <v>3558</v>
      </c>
      <c r="C1205" s="2" t="s">
        <v>7</v>
      </c>
      <c r="D1205" s="2" t="s">
        <v>3559</v>
      </c>
      <c r="E1205" s="2" t="s">
        <v>3560</v>
      </c>
      <c r="F1205" s="6">
        <v>45870.50625</v>
      </c>
      <c r="G1205" s="2">
        <v>62857.0</v>
      </c>
      <c r="H1205" s="2">
        <v>62857.0</v>
      </c>
      <c r="I1205" s="2">
        <v>55259.0</v>
      </c>
      <c r="J1205" s="2">
        <v>382.0</v>
      </c>
      <c r="K1205" s="2">
        <v>318.0</v>
      </c>
      <c r="L1205" s="2">
        <v>5.0</v>
      </c>
      <c r="M1205" s="4">
        <v>9858.0</v>
      </c>
      <c r="N1205" s="2" t="s">
        <v>30</v>
      </c>
      <c r="O1205" s="2">
        <v>70.0</v>
      </c>
      <c r="P1205" s="2" t="s">
        <v>189</v>
      </c>
      <c r="Q1205" s="2" t="s">
        <v>32</v>
      </c>
      <c r="R1205" s="2">
        <v>34.0</v>
      </c>
      <c r="T1205" s="7" t="str">
        <f>IFERROR(__xludf.DUMMYFUNCTION("AI(""has offer Come X Pay X"",D1205)"),"Yes Come 3 Pay 2")</f>
        <v>Yes Come 3 Pay 2</v>
      </c>
      <c r="U1205" s="2" t="b">
        <v>0</v>
      </c>
      <c r="V1205" s="5">
        <v>0.0058</v>
      </c>
      <c r="W1205" s="5">
        <v>0.0157</v>
      </c>
      <c r="X1205" s="5">
        <v>9.0E-5</v>
      </c>
      <c r="Y1205" s="2">
        <v>31.0</v>
      </c>
      <c r="Z1205" s="2">
        <v>2675.0</v>
      </c>
      <c r="AA1205" s="2" t="s">
        <v>33</v>
      </c>
    </row>
    <row r="1206">
      <c r="A1206" s="2">
        <v>2767.0</v>
      </c>
      <c r="B1206" s="2" t="s">
        <v>3561</v>
      </c>
      <c r="C1206" s="2" t="s">
        <v>7</v>
      </c>
      <c r="D1206" s="2" t="s">
        <v>3562</v>
      </c>
      <c r="E1206" s="2" t="s">
        <v>3563</v>
      </c>
      <c r="F1206" s="6">
        <v>45870.50763888889</v>
      </c>
      <c r="G1206" s="2">
        <v>48003.0</v>
      </c>
      <c r="H1206" s="2">
        <v>48003.0</v>
      </c>
      <c r="I1206" s="2">
        <v>40589.0</v>
      </c>
      <c r="J1206" s="2">
        <v>326.0</v>
      </c>
      <c r="K1206" s="2">
        <v>252.0</v>
      </c>
      <c r="L1206" s="2">
        <v>9.0</v>
      </c>
      <c r="M1206" s="4">
        <v>31552.0</v>
      </c>
      <c r="N1206" s="2" t="s">
        <v>36</v>
      </c>
      <c r="O1206" s="2">
        <v>71.0</v>
      </c>
      <c r="P1206" s="2" t="s">
        <v>189</v>
      </c>
      <c r="Q1206" s="2" t="s">
        <v>32</v>
      </c>
      <c r="R1206" s="2">
        <v>35.0</v>
      </c>
      <c r="U1206" s="2" t="b">
        <v>1</v>
      </c>
      <c r="V1206" s="5">
        <v>0.0062</v>
      </c>
      <c r="W1206" s="5">
        <v>0.0357</v>
      </c>
      <c r="X1206" s="5">
        <v>2.22E-4</v>
      </c>
      <c r="Y1206" s="2">
        <v>125.2063492</v>
      </c>
      <c r="AA1206" s="2" t="s">
        <v>33</v>
      </c>
    </row>
    <row r="1207">
      <c r="A1207" s="2">
        <v>2769.0</v>
      </c>
      <c r="B1207" s="2" t="s">
        <v>3564</v>
      </c>
      <c r="C1207" s="2" t="s">
        <v>7</v>
      </c>
      <c r="D1207" s="2" t="s">
        <v>3565</v>
      </c>
      <c r="E1207" s="2" t="s">
        <v>3566</v>
      </c>
      <c r="F1207" s="6">
        <v>45870.625</v>
      </c>
      <c r="G1207" s="2">
        <v>47919.0</v>
      </c>
      <c r="H1207" s="2">
        <v>47919.0</v>
      </c>
      <c r="I1207" s="2">
        <v>40779.0</v>
      </c>
      <c r="J1207" s="2">
        <v>252.0</v>
      </c>
      <c r="K1207" s="2">
        <v>200.0</v>
      </c>
      <c r="L1207" s="2">
        <v>5.0</v>
      </c>
      <c r="M1207" s="4">
        <v>12293.0</v>
      </c>
      <c r="N1207" s="2" t="s">
        <v>36</v>
      </c>
      <c r="O1207" s="2">
        <v>71.0</v>
      </c>
      <c r="P1207" s="2" t="s">
        <v>31</v>
      </c>
      <c r="Q1207" s="2" t="s">
        <v>32</v>
      </c>
      <c r="R1207" s="2">
        <v>47.0</v>
      </c>
      <c r="U1207" s="2" t="b">
        <v>0</v>
      </c>
      <c r="V1207" s="5">
        <v>0.0049</v>
      </c>
      <c r="W1207" s="5">
        <v>0.025</v>
      </c>
      <c r="X1207" s="5">
        <v>1.23E-4</v>
      </c>
      <c r="Y1207" s="2">
        <v>61.465</v>
      </c>
      <c r="AA1207" s="2" t="s">
        <v>33</v>
      </c>
    </row>
    <row r="1208">
      <c r="A1208" s="2">
        <v>2768.0</v>
      </c>
      <c r="B1208" s="2" t="s">
        <v>3567</v>
      </c>
      <c r="C1208" s="2" t="s">
        <v>7</v>
      </c>
      <c r="D1208" s="2" t="s">
        <v>3568</v>
      </c>
      <c r="E1208" s="2" t="s">
        <v>3569</v>
      </c>
      <c r="F1208" s="6">
        <v>45870.625</v>
      </c>
      <c r="G1208" s="2">
        <v>62736.0</v>
      </c>
      <c r="H1208" s="2">
        <v>62736.0</v>
      </c>
      <c r="I1208" s="2">
        <v>55350.0</v>
      </c>
      <c r="J1208" s="2">
        <v>350.0</v>
      </c>
      <c r="K1208" s="2">
        <v>291.0</v>
      </c>
      <c r="L1208" s="2">
        <v>8.0</v>
      </c>
      <c r="M1208" s="4">
        <v>16717.0</v>
      </c>
      <c r="N1208" s="2" t="s">
        <v>30</v>
      </c>
      <c r="O1208" s="2">
        <v>70.0</v>
      </c>
      <c r="P1208" s="2" t="s">
        <v>31</v>
      </c>
      <c r="Q1208" s="2" t="s">
        <v>32</v>
      </c>
      <c r="R1208" s="2">
        <v>35.0</v>
      </c>
      <c r="T1208" s="2" t="s">
        <v>3570</v>
      </c>
      <c r="U1208" s="2" t="b">
        <v>0</v>
      </c>
      <c r="V1208" s="5">
        <v>0.0053</v>
      </c>
      <c r="W1208" s="5">
        <v>0.0275</v>
      </c>
      <c r="X1208" s="5">
        <v>1.45E-4</v>
      </c>
      <c r="Y1208" s="2">
        <v>57.4467354</v>
      </c>
      <c r="Z1208" s="2">
        <v>2928.0</v>
      </c>
      <c r="AA1208" s="2" t="s">
        <v>33</v>
      </c>
    </row>
    <row r="1209">
      <c r="A1209" s="2">
        <v>2772.0</v>
      </c>
      <c r="B1209" s="2" t="s">
        <v>3571</v>
      </c>
      <c r="C1209" s="2" t="s">
        <v>7</v>
      </c>
      <c r="D1209" s="2" t="s">
        <v>3572</v>
      </c>
      <c r="E1209" s="2" t="s">
        <v>3573</v>
      </c>
      <c r="F1209" s="6">
        <v>45870.65069444444</v>
      </c>
      <c r="G1209" s="2">
        <v>6005.0</v>
      </c>
      <c r="H1209" s="2">
        <v>6005.0</v>
      </c>
      <c r="I1209" s="2">
        <v>4986.0</v>
      </c>
      <c r="J1209" s="2">
        <v>44.0</v>
      </c>
      <c r="K1209" s="2">
        <v>35.0</v>
      </c>
      <c r="L1209" s="2">
        <v>1.0</v>
      </c>
      <c r="M1209" s="4">
        <v>1999.0</v>
      </c>
      <c r="N1209" s="2" t="s">
        <v>423</v>
      </c>
      <c r="O1209" s="2">
        <v>119.0</v>
      </c>
      <c r="P1209" s="2" t="s">
        <v>189</v>
      </c>
      <c r="Q1209" s="2" t="s">
        <v>1367</v>
      </c>
      <c r="R1209" s="2">
        <v>32.0</v>
      </c>
      <c r="U1209" s="2" t="b">
        <v>0</v>
      </c>
      <c r="V1209" s="5">
        <v>0.007</v>
      </c>
      <c r="W1209" s="5">
        <v>0.0286</v>
      </c>
      <c r="X1209" s="5">
        <v>2.01E-4</v>
      </c>
      <c r="Y1209" s="2">
        <v>57.11428571</v>
      </c>
      <c r="AA1209" s="2" t="s">
        <v>423</v>
      </c>
    </row>
    <row r="1210">
      <c r="A1210" s="2">
        <v>2773.0</v>
      </c>
      <c r="B1210" s="2" t="s">
        <v>3574</v>
      </c>
      <c r="C1210" s="2" t="s">
        <v>7</v>
      </c>
      <c r="D1210" s="2" t="s">
        <v>3575</v>
      </c>
      <c r="E1210" s="2" t="s">
        <v>3576</v>
      </c>
      <c r="F1210" s="6">
        <v>45870.708333333336</v>
      </c>
      <c r="G1210" s="2">
        <v>5959.0</v>
      </c>
      <c r="H1210" s="2">
        <v>5959.0</v>
      </c>
      <c r="I1210" s="2">
        <v>4980.0</v>
      </c>
      <c r="J1210" s="2">
        <v>64.0</v>
      </c>
      <c r="K1210" s="2">
        <v>48.0</v>
      </c>
      <c r="L1210" s="2">
        <v>1.0</v>
      </c>
      <c r="M1210" s="4">
        <v>2180.0</v>
      </c>
      <c r="N1210" s="2" t="s">
        <v>423</v>
      </c>
      <c r="O1210" s="2">
        <v>119.0</v>
      </c>
      <c r="P1210" s="2" t="s">
        <v>189</v>
      </c>
      <c r="Q1210" s="2" t="s">
        <v>1367</v>
      </c>
      <c r="R1210" s="2">
        <v>36.0</v>
      </c>
      <c r="T1210" s="2" t="s">
        <v>47</v>
      </c>
      <c r="U1210" s="2" t="b">
        <v>0</v>
      </c>
      <c r="V1210" s="5">
        <v>0.0096</v>
      </c>
      <c r="W1210" s="5">
        <v>0.0208</v>
      </c>
      <c r="X1210" s="5">
        <v>2.01E-4</v>
      </c>
      <c r="Y1210" s="2">
        <v>45.41666667</v>
      </c>
      <c r="AA1210" s="2" t="s">
        <v>423</v>
      </c>
    </row>
    <row r="1211">
      <c r="A1211" s="2">
        <v>2771.0</v>
      </c>
      <c r="B1211" s="2" t="s">
        <v>3577</v>
      </c>
      <c r="C1211" s="2" t="s">
        <v>7</v>
      </c>
      <c r="D1211" s="2" t="s">
        <v>3578</v>
      </c>
      <c r="E1211" s="2" t="s">
        <v>3579</v>
      </c>
      <c r="F1211" s="6">
        <v>45870.708333333336</v>
      </c>
      <c r="G1211" s="2">
        <v>47965.0</v>
      </c>
      <c r="H1211" s="2">
        <v>47965.0</v>
      </c>
      <c r="I1211" s="2">
        <v>40788.0</v>
      </c>
      <c r="J1211" s="2">
        <v>247.0</v>
      </c>
      <c r="K1211" s="2">
        <v>186.0</v>
      </c>
      <c r="L1211" s="2">
        <v>5.0</v>
      </c>
      <c r="M1211" s="4">
        <v>12778.0</v>
      </c>
      <c r="N1211" s="2" t="s">
        <v>36</v>
      </c>
      <c r="O1211" s="2">
        <v>71.0</v>
      </c>
      <c r="P1211" s="2" t="s">
        <v>189</v>
      </c>
      <c r="Q1211" s="2" t="s">
        <v>32</v>
      </c>
      <c r="R1211" s="2">
        <v>46.0</v>
      </c>
      <c r="T1211" s="7" t="str">
        <f>IFERROR(__xludf.DUMMYFUNCTION("AI(""has offer Come X Pay X"",D1211)"),"I do not have enough information to answer the query. The document mentions a 43% OFF offer for Riedel Restaurant &amp; Wine Cellar in the subject line, but the specific ""Come X Pay X"" promotion details are not provided in the text.")</f>
        <v>I do not have enough information to answer the query. The document mentions a 43% OFF offer for Riedel Restaurant &amp; Wine Cellar in the subject line, but the specific "Come X Pay X" promotion details are not provided in the text.</v>
      </c>
      <c r="U1211" s="2" t="b">
        <v>0</v>
      </c>
      <c r="V1211" s="5">
        <v>0.0046</v>
      </c>
      <c r="W1211" s="5">
        <v>0.0269</v>
      </c>
      <c r="X1211" s="5">
        <v>1.23E-4</v>
      </c>
      <c r="Y1211" s="2">
        <v>68.69892473</v>
      </c>
      <c r="AA1211" s="2" t="s">
        <v>33</v>
      </c>
    </row>
    <row r="1212">
      <c r="A1212" s="2">
        <v>2770.0</v>
      </c>
      <c r="B1212" s="2" t="s">
        <v>3580</v>
      </c>
      <c r="C1212" s="2" t="s">
        <v>7</v>
      </c>
      <c r="D1212" s="2" t="s">
        <v>3581</v>
      </c>
      <c r="E1212" s="2" t="s">
        <v>3582</v>
      </c>
      <c r="F1212" s="6">
        <v>45870.708333333336</v>
      </c>
      <c r="G1212" s="2">
        <v>62776.0</v>
      </c>
      <c r="H1212" s="2">
        <v>62776.0</v>
      </c>
      <c r="I1212" s="2">
        <v>55309.0</v>
      </c>
      <c r="J1212" s="2">
        <v>277.0</v>
      </c>
      <c r="K1212" s="2">
        <v>212.0</v>
      </c>
      <c r="L1212" s="2">
        <v>4.0</v>
      </c>
      <c r="M1212" s="4">
        <v>15329.0</v>
      </c>
      <c r="N1212" s="2" t="s">
        <v>30</v>
      </c>
      <c r="O1212" s="2">
        <v>70.0</v>
      </c>
      <c r="P1212" s="2" t="s">
        <v>189</v>
      </c>
      <c r="Q1212" s="2" t="s">
        <v>32</v>
      </c>
      <c r="R1212" s="2">
        <v>45.0</v>
      </c>
      <c r="T1212" s="2" t="s">
        <v>47</v>
      </c>
      <c r="U1212" s="2" t="b">
        <v>0</v>
      </c>
      <c r="V1212" s="5">
        <v>0.0038</v>
      </c>
      <c r="W1212" s="5">
        <v>0.0189</v>
      </c>
      <c r="X1212" s="5">
        <v>7.2E-5</v>
      </c>
      <c r="Y1212" s="2">
        <v>72.30660377</v>
      </c>
      <c r="AA1212" s="2" t="s">
        <v>33</v>
      </c>
    </row>
    <row r="1213">
      <c r="A1213" s="2">
        <v>2774.0</v>
      </c>
      <c r="B1213" s="2" t="s">
        <v>3583</v>
      </c>
      <c r="C1213" s="2" t="s">
        <v>7</v>
      </c>
      <c r="D1213" s="2" t="s">
        <v>3584</v>
      </c>
      <c r="E1213" s="2" t="s">
        <v>3585</v>
      </c>
      <c r="F1213" s="6">
        <v>45870.791666666664</v>
      </c>
      <c r="G1213" s="2">
        <v>5962.0</v>
      </c>
      <c r="H1213" s="2">
        <v>5962.0</v>
      </c>
      <c r="I1213" s="2">
        <v>4964.0</v>
      </c>
      <c r="J1213" s="2">
        <v>42.0</v>
      </c>
      <c r="K1213" s="2">
        <v>37.0</v>
      </c>
      <c r="L1213" s="2">
        <v>2.0</v>
      </c>
      <c r="M1213" s="4">
        <v>11186.0</v>
      </c>
      <c r="N1213" s="2" t="s">
        <v>423</v>
      </c>
      <c r="O1213" s="2">
        <v>119.0</v>
      </c>
      <c r="P1213" s="2" t="s">
        <v>189</v>
      </c>
      <c r="Q1213" s="2" t="s">
        <v>1367</v>
      </c>
      <c r="R1213" s="2">
        <v>41.0</v>
      </c>
      <c r="T1213" s="2" t="s">
        <v>47</v>
      </c>
      <c r="U1213" s="2" t="b">
        <v>0</v>
      </c>
      <c r="V1213" s="5">
        <v>0.0075</v>
      </c>
      <c r="W1213" s="5">
        <v>0.0541</v>
      </c>
      <c r="X1213" s="5">
        <v>4.03E-4</v>
      </c>
      <c r="Y1213" s="2">
        <v>302.3243243</v>
      </c>
      <c r="AA1213" s="2" t="s">
        <v>423</v>
      </c>
    </row>
    <row r="1214">
      <c r="A1214" s="2">
        <v>2782.0</v>
      </c>
      <c r="B1214" s="2" t="s">
        <v>3586</v>
      </c>
      <c r="C1214" s="2" t="s">
        <v>7</v>
      </c>
      <c r="D1214" s="2" t="s">
        <v>3587</v>
      </c>
      <c r="E1214" s="2" t="s">
        <v>3588</v>
      </c>
      <c r="F1214" s="6">
        <v>45873.475694444445</v>
      </c>
      <c r="G1214" s="2">
        <v>61171.0</v>
      </c>
      <c r="H1214" s="2">
        <v>61171.0</v>
      </c>
      <c r="I1214" s="2">
        <v>53439.0</v>
      </c>
      <c r="J1214" s="2">
        <v>495.0</v>
      </c>
      <c r="K1214" s="2">
        <v>400.0</v>
      </c>
      <c r="L1214" s="2">
        <v>6.0</v>
      </c>
      <c r="M1214" s="4">
        <v>11498.0</v>
      </c>
      <c r="N1214" s="2" t="s">
        <v>30</v>
      </c>
      <c r="O1214" s="2">
        <v>70.0</v>
      </c>
      <c r="P1214" s="2" t="s">
        <v>189</v>
      </c>
      <c r="Q1214" s="2" t="s">
        <v>32</v>
      </c>
      <c r="R1214" s="2">
        <v>32.0</v>
      </c>
      <c r="T1214" s="2" t="s">
        <v>1185</v>
      </c>
      <c r="U1214" s="2" t="b">
        <v>0</v>
      </c>
      <c r="V1214" s="5">
        <v>0.0075</v>
      </c>
      <c r="W1214" s="5">
        <v>0.015</v>
      </c>
      <c r="X1214" s="5">
        <v>1.12E-4</v>
      </c>
      <c r="Y1214" s="2">
        <v>28.745</v>
      </c>
      <c r="Z1214" s="2">
        <v>2483.0</v>
      </c>
      <c r="AA1214" s="2" t="s">
        <v>33</v>
      </c>
    </row>
    <row r="1215">
      <c r="A1215" s="2">
        <v>2783.0</v>
      </c>
      <c r="B1215" s="2" t="s">
        <v>3589</v>
      </c>
      <c r="C1215" s="2" t="s">
        <v>7</v>
      </c>
      <c r="D1215" s="2" t="s">
        <v>3590</v>
      </c>
      <c r="E1215" s="2" t="s">
        <v>3591</v>
      </c>
      <c r="F1215" s="6">
        <v>45873.48263888889</v>
      </c>
      <c r="G1215" s="2">
        <v>47682.0</v>
      </c>
      <c r="H1215" s="2">
        <v>47682.0</v>
      </c>
      <c r="I1215" s="2">
        <v>40120.0</v>
      </c>
      <c r="J1215" s="2">
        <v>349.0</v>
      </c>
      <c r="K1215" s="2">
        <v>268.0</v>
      </c>
      <c r="L1215" s="2">
        <v>11.0</v>
      </c>
      <c r="M1215" s="4">
        <v>48911.0</v>
      </c>
      <c r="N1215" s="2" t="s">
        <v>36</v>
      </c>
      <c r="O1215" s="2">
        <v>71.0</v>
      </c>
      <c r="P1215" s="2" t="s">
        <v>189</v>
      </c>
      <c r="Q1215" s="2" t="s">
        <v>32</v>
      </c>
      <c r="R1215" s="2">
        <v>37.0</v>
      </c>
      <c r="T1215" s="2" t="s">
        <v>3592</v>
      </c>
      <c r="U1215" s="2" t="b">
        <v>0</v>
      </c>
      <c r="V1215" s="5">
        <v>0.0067</v>
      </c>
      <c r="W1215" s="5">
        <v>0.041</v>
      </c>
      <c r="X1215" s="5">
        <v>2.74E-4</v>
      </c>
      <c r="Y1215" s="2">
        <v>182.5037313</v>
      </c>
      <c r="AA1215" s="2" t="s">
        <v>33</v>
      </c>
    </row>
    <row r="1216">
      <c r="A1216" s="2">
        <v>2789.0</v>
      </c>
      <c r="B1216" s="2" t="s">
        <v>3593</v>
      </c>
      <c r="C1216" s="2" t="s">
        <v>7</v>
      </c>
      <c r="D1216" s="2" t="s">
        <v>3594</v>
      </c>
      <c r="E1216" s="2" t="s">
        <v>3595</v>
      </c>
      <c r="F1216" s="6">
        <v>45873.63611111111</v>
      </c>
      <c r="G1216" s="2">
        <v>60789.0</v>
      </c>
      <c r="H1216" s="2">
        <v>60789.0</v>
      </c>
      <c r="I1216" s="2">
        <v>53530.0</v>
      </c>
      <c r="J1216" s="2">
        <v>420.0</v>
      </c>
      <c r="K1216" s="2">
        <v>333.0</v>
      </c>
      <c r="L1216" s="2">
        <v>6.0</v>
      </c>
      <c r="M1216" s="4">
        <v>10779.0</v>
      </c>
      <c r="N1216" s="2" t="s">
        <v>30</v>
      </c>
      <c r="O1216" s="2">
        <v>70.0</v>
      </c>
      <c r="P1216" s="2" t="s">
        <v>189</v>
      </c>
      <c r="Q1216" s="2" t="s">
        <v>32</v>
      </c>
      <c r="R1216" s="2">
        <v>32.0</v>
      </c>
      <c r="U1216" s="2" t="b">
        <v>0</v>
      </c>
      <c r="V1216" s="5">
        <v>0.0062</v>
      </c>
      <c r="W1216" s="5">
        <v>0.018</v>
      </c>
      <c r="X1216" s="5">
        <v>1.12E-4</v>
      </c>
      <c r="Y1216" s="2">
        <v>32.36936937</v>
      </c>
      <c r="Z1216" s="2">
        <v>2749.0</v>
      </c>
      <c r="AA1216" s="2" t="s">
        <v>33</v>
      </c>
    </row>
    <row r="1217">
      <c r="A1217" s="2">
        <v>2790.0</v>
      </c>
      <c r="B1217" s="2" t="s">
        <v>3596</v>
      </c>
      <c r="C1217" s="2" t="s">
        <v>7</v>
      </c>
      <c r="D1217" s="2" t="s">
        <v>3597</v>
      </c>
      <c r="E1217" s="2" t="s">
        <v>3598</v>
      </c>
      <c r="F1217" s="6">
        <v>45873.6375</v>
      </c>
      <c r="G1217" s="2">
        <v>47229.0</v>
      </c>
      <c r="H1217" s="2">
        <v>47229.0</v>
      </c>
      <c r="I1217" s="2">
        <v>40462.0</v>
      </c>
      <c r="J1217" s="2">
        <v>310.0</v>
      </c>
      <c r="K1217" s="2">
        <v>228.0</v>
      </c>
      <c r="L1217" s="2">
        <v>3.0</v>
      </c>
      <c r="M1217" s="4">
        <v>10204.0</v>
      </c>
      <c r="N1217" s="2" t="s">
        <v>36</v>
      </c>
      <c r="O1217" s="2">
        <v>71.0</v>
      </c>
      <c r="P1217" s="2" t="s">
        <v>189</v>
      </c>
      <c r="Q1217" s="2" t="s">
        <v>32</v>
      </c>
      <c r="R1217" s="2">
        <v>51.0</v>
      </c>
      <c r="T1217" s="2" t="s">
        <v>3599</v>
      </c>
      <c r="U1217" s="2" t="b">
        <v>0</v>
      </c>
      <c r="V1217" s="5">
        <v>0.0056</v>
      </c>
      <c r="W1217" s="5">
        <v>0.0132</v>
      </c>
      <c r="X1217" s="5">
        <v>7.4E-5</v>
      </c>
      <c r="Y1217" s="2">
        <v>44.75438596</v>
      </c>
      <c r="AA1217" s="2" t="s">
        <v>33</v>
      </c>
    </row>
    <row r="1218">
      <c r="A1218" s="2">
        <v>2793.0</v>
      </c>
      <c r="B1218" s="2" t="s">
        <v>3600</v>
      </c>
      <c r="C1218" s="2" t="s">
        <v>7</v>
      </c>
      <c r="D1218" s="2" t="s">
        <v>3601</v>
      </c>
      <c r="E1218" s="2" t="s">
        <v>3602</v>
      </c>
      <c r="F1218" s="6">
        <v>45873.657638888886</v>
      </c>
      <c r="G1218" s="2">
        <v>6039.0</v>
      </c>
      <c r="H1218" s="2">
        <v>6039.0</v>
      </c>
      <c r="I1218" s="2">
        <v>5038.0</v>
      </c>
      <c r="J1218" s="2">
        <v>83.0</v>
      </c>
      <c r="K1218" s="2">
        <v>66.0</v>
      </c>
      <c r="L1218" s="2">
        <v>2.0</v>
      </c>
      <c r="M1218" s="4">
        <v>4480.0</v>
      </c>
      <c r="N1218" s="2" t="s">
        <v>423</v>
      </c>
      <c r="O1218" s="2">
        <v>119.0</v>
      </c>
      <c r="P1218" s="2" t="s">
        <v>31</v>
      </c>
      <c r="Q1218" s="2" t="s">
        <v>1367</v>
      </c>
      <c r="R1218" s="2">
        <v>30.0</v>
      </c>
      <c r="T1218" s="2" t="s">
        <v>2396</v>
      </c>
      <c r="U1218" s="2" t="b">
        <v>0</v>
      </c>
      <c r="V1218" s="5">
        <v>0.0131</v>
      </c>
      <c r="W1218" s="5">
        <v>0.0303</v>
      </c>
      <c r="X1218" s="5">
        <v>3.97E-4</v>
      </c>
      <c r="Y1218" s="2">
        <v>67.87878788</v>
      </c>
      <c r="AA1218" s="2" t="s">
        <v>423</v>
      </c>
    </row>
    <row r="1219">
      <c r="A1219" s="2">
        <v>2794.0</v>
      </c>
      <c r="B1219" s="2" t="s">
        <v>3603</v>
      </c>
      <c r="C1219" s="2" t="s">
        <v>7</v>
      </c>
      <c r="D1219" s="2" t="s">
        <v>3604</v>
      </c>
      <c r="E1219" s="2" t="s">
        <v>3605</v>
      </c>
      <c r="F1219" s="6">
        <v>45873.708333333336</v>
      </c>
      <c r="G1219" s="2">
        <v>5958.0</v>
      </c>
      <c r="H1219" s="2">
        <v>5958.0</v>
      </c>
      <c r="I1219" s="2">
        <v>5033.0</v>
      </c>
      <c r="J1219" s="2">
        <v>69.0</v>
      </c>
      <c r="K1219" s="2">
        <v>52.0</v>
      </c>
      <c r="L1219" s="2">
        <v>2.0</v>
      </c>
      <c r="M1219" s="4">
        <v>17552.0</v>
      </c>
      <c r="N1219" s="2" t="s">
        <v>423</v>
      </c>
      <c r="O1219" s="2">
        <v>119.0</v>
      </c>
      <c r="P1219" s="2" t="s">
        <v>31</v>
      </c>
      <c r="Q1219" s="2" t="s">
        <v>1367</v>
      </c>
      <c r="R1219" s="2">
        <v>45.0</v>
      </c>
      <c r="T1219" s="2" t="s">
        <v>47</v>
      </c>
      <c r="U1219" s="2" t="b">
        <v>0</v>
      </c>
      <c r="V1219" s="5">
        <v>0.0103</v>
      </c>
      <c r="W1219" s="5">
        <v>0.0385</v>
      </c>
      <c r="X1219" s="5">
        <v>3.97E-4</v>
      </c>
      <c r="Y1219" s="2">
        <v>337.5384615</v>
      </c>
      <c r="AA1219" s="2" t="s">
        <v>423</v>
      </c>
    </row>
    <row r="1220">
      <c r="A1220" s="2">
        <v>2792.0</v>
      </c>
      <c r="B1220" s="2" t="s">
        <v>3606</v>
      </c>
      <c r="C1220" s="2" t="s">
        <v>7</v>
      </c>
      <c r="D1220" s="2" t="s">
        <v>3607</v>
      </c>
      <c r="E1220" s="2" t="s">
        <v>3608</v>
      </c>
      <c r="F1220" s="6">
        <v>45873.708333333336</v>
      </c>
      <c r="G1220" s="2">
        <v>47206.0</v>
      </c>
      <c r="H1220" s="2">
        <v>47206.0</v>
      </c>
      <c r="I1220" s="2">
        <v>40475.0</v>
      </c>
      <c r="J1220" s="2">
        <v>391.0</v>
      </c>
      <c r="K1220" s="2">
        <v>304.0</v>
      </c>
      <c r="L1220" s="2">
        <v>4.0</v>
      </c>
      <c r="M1220" s="4">
        <v>14198.0</v>
      </c>
      <c r="N1220" s="2" t="s">
        <v>36</v>
      </c>
      <c r="O1220" s="2">
        <v>71.0</v>
      </c>
      <c r="P1220" s="2" t="s">
        <v>31</v>
      </c>
      <c r="Q1220" s="2" t="s">
        <v>32</v>
      </c>
      <c r="R1220" s="2">
        <v>34.0</v>
      </c>
      <c r="T1220" s="2" t="s">
        <v>47</v>
      </c>
      <c r="U1220" s="2" t="b">
        <v>0</v>
      </c>
      <c r="V1220" s="5">
        <v>0.0075</v>
      </c>
      <c r="W1220" s="5">
        <v>0.0132</v>
      </c>
      <c r="X1220" s="5">
        <v>9.9E-5</v>
      </c>
      <c r="Y1220" s="2">
        <v>46.70394737</v>
      </c>
      <c r="AA1220" s="2" t="s">
        <v>33</v>
      </c>
    </row>
    <row r="1221">
      <c r="A1221" s="2">
        <v>2791.0</v>
      </c>
      <c r="B1221" s="2" t="s">
        <v>3609</v>
      </c>
      <c r="C1221" s="2" t="s">
        <v>7</v>
      </c>
      <c r="D1221" s="2" t="s">
        <v>3610</v>
      </c>
      <c r="E1221" s="2" t="s">
        <v>3611</v>
      </c>
      <c r="F1221" s="6">
        <v>45873.708333333336</v>
      </c>
      <c r="G1221" s="2">
        <v>60788.0</v>
      </c>
      <c r="H1221" s="2">
        <v>60788.0</v>
      </c>
      <c r="I1221" s="2">
        <v>53513.0</v>
      </c>
      <c r="J1221" s="2">
        <v>319.0</v>
      </c>
      <c r="K1221" s="2">
        <v>254.0</v>
      </c>
      <c r="L1221" s="2">
        <v>4.0</v>
      </c>
      <c r="M1221" s="4">
        <v>6014.0</v>
      </c>
      <c r="N1221" s="2" t="s">
        <v>30</v>
      </c>
      <c r="O1221" s="2">
        <v>70.0</v>
      </c>
      <c r="P1221" s="2" t="s">
        <v>189</v>
      </c>
      <c r="Q1221" s="2" t="s">
        <v>32</v>
      </c>
      <c r="R1221" s="2">
        <v>30.0</v>
      </c>
      <c r="T1221" s="2" t="s">
        <v>47</v>
      </c>
      <c r="U1221" s="2" t="b">
        <v>0</v>
      </c>
      <c r="V1221" s="5">
        <v>0.0047</v>
      </c>
      <c r="W1221" s="5">
        <v>0.0157</v>
      </c>
      <c r="X1221" s="5">
        <v>7.5E-5</v>
      </c>
      <c r="Y1221" s="2">
        <v>23.67716535</v>
      </c>
      <c r="Z1221" s="2">
        <v>2451.0</v>
      </c>
      <c r="AA1221" s="2" t="s">
        <v>33</v>
      </c>
    </row>
    <row r="1222">
      <c r="A1222" s="2">
        <v>2795.0</v>
      </c>
      <c r="B1222" s="2" t="s">
        <v>3612</v>
      </c>
      <c r="C1222" s="2" t="s">
        <v>7</v>
      </c>
      <c r="D1222" s="2" t="s">
        <v>3613</v>
      </c>
      <c r="E1222" s="2" t="s">
        <v>3614</v>
      </c>
      <c r="F1222" s="6">
        <v>45873.791666666664</v>
      </c>
      <c r="G1222" s="2">
        <v>5962.0</v>
      </c>
      <c r="H1222" s="2">
        <v>5962.0</v>
      </c>
      <c r="I1222" s="2">
        <v>5045.0</v>
      </c>
      <c r="J1222" s="2">
        <v>76.0</v>
      </c>
      <c r="K1222" s="2">
        <v>58.0</v>
      </c>
      <c r="L1222" s="2">
        <v>1.0</v>
      </c>
      <c r="M1222" s="4">
        <v>4580.0</v>
      </c>
      <c r="N1222" s="2" t="s">
        <v>423</v>
      </c>
      <c r="O1222" s="2">
        <v>119.0</v>
      </c>
      <c r="P1222" s="2" t="s">
        <v>189</v>
      </c>
      <c r="Q1222" s="2" t="s">
        <v>1367</v>
      </c>
      <c r="R1222" s="2">
        <v>38.0</v>
      </c>
      <c r="T1222" s="2" t="s">
        <v>47</v>
      </c>
      <c r="U1222" s="2" t="b">
        <v>0</v>
      </c>
      <c r="V1222" s="5">
        <v>0.0115</v>
      </c>
      <c r="W1222" s="5">
        <v>0.0172</v>
      </c>
      <c r="X1222" s="5">
        <v>1.98E-4</v>
      </c>
      <c r="Y1222" s="2">
        <v>78.96551724</v>
      </c>
      <c r="AA1222" s="2" t="s">
        <v>423</v>
      </c>
    </row>
    <row r="1223">
      <c r="A1223" s="2">
        <v>2803.0</v>
      </c>
      <c r="B1223" s="2" t="s">
        <v>3615</v>
      </c>
      <c r="C1223" s="2" t="s">
        <v>7</v>
      </c>
      <c r="D1223" s="2" t="s">
        <v>3616</v>
      </c>
      <c r="E1223" s="2" t="s">
        <v>3617</v>
      </c>
      <c r="F1223" s="6">
        <v>45874.5</v>
      </c>
      <c r="G1223" s="2">
        <v>60968.0</v>
      </c>
      <c r="H1223" s="2">
        <v>60968.0</v>
      </c>
      <c r="I1223" s="2">
        <v>53680.0</v>
      </c>
      <c r="J1223" s="2">
        <v>348.0</v>
      </c>
      <c r="K1223" s="2">
        <v>270.0</v>
      </c>
      <c r="L1223" s="2">
        <v>5.0</v>
      </c>
      <c r="M1223" s="4">
        <v>15616.0</v>
      </c>
      <c r="N1223" s="2" t="s">
        <v>30</v>
      </c>
      <c r="O1223" s="2">
        <v>70.0</v>
      </c>
      <c r="P1223" s="2" t="s">
        <v>189</v>
      </c>
      <c r="Q1223" s="2" t="s">
        <v>32</v>
      </c>
      <c r="R1223" s="2">
        <v>43.0</v>
      </c>
      <c r="T1223" s="2" t="s">
        <v>47</v>
      </c>
      <c r="U1223" s="2" t="b">
        <v>0</v>
      </c>
      <c r="V1223" s="5">
        <v>0.005</v>
      </c>
      <c r="W1223" s="5">
        <v>0.0185</v>
      </c>
      <c r="X1223" s="5">
        <v>9.3E-5</v>
      </c>
      <c r="Y1223" s="2">
        <v>57.83703704</v>
      </c>
      <c r="AA1223" s="2" t="s">
        <v>33</v>
      </c>
    </row>
    <row r="1224">
      <c r="A1224" s="2">
        <v>2804.0</v>
      </c>
      <c r="B1224" s="2" t="s">
        <v>3618</v>
      </c>
      <c r="C1224" s="2" t="s">
        <v>7</v>
      </c>
      <c r="D1224" s="2" t="s">
        <v>3619</v>
      </c>
      <c r="E1224" s="2" t="s">
        <v>3620</v>
      </c>
      <c r="F1224" s="6">
        <v>45874.501388888886</v>
      </c>
      <c r="G1224" s="2">
        <v>47316.0</v>
      </c>
      <c r="H1224" s="2">
        <v>47316.0</v>
      </c>
      <c r="I1224" s="2">
        <v>40456.0</v>
      </c>
      <c r="J1224" s="2">
        <v>264.0</v>
      </c>
      <c r="K1224" s="2">
        <v>208.0</v>
      </c>
      <c r="L1224" s="2">
        <v>0.0</v>
      </c>
      <c r="M1224" s="2">
        <v>0.0</v>
      </c>
      <c r="N1224" s="2" t="s">
        <v>36</v>
      </c>
      <c r="O1224" s="2">
        <v>71.0</v>
      </c>
      <c r="P1224" s="2" t="s">
        <v>31</v>
      </c>
      <c r="Q1224" s="2" t="s">
        <v>32</v>
      </c>
      <c r="R1224" s="2">
        <v>51.0</v>
      </c>
      <c r="U1224" s="2" t="b">
        <v>0</v>
      </c>
      <c r="V1224" s="5">
        <v>0.0051</v>
      </c>
      <c r="W1224" s="5">
        <v>0.0</v>
      </c>
      <c r="X1224" s="5">
        <v>0.0</v>
      </c>
      <c r="Y1224" s="2">
        <v>0.0</v>
      </c>
      <c r="AA1224" s="2" t="s">
        <v>33</v>
      </c>
    </row>
    <row r="1225">
      <c r="A1225" s="2">
        <v>2806.0</v>
      </c>
      <c r="B1225" s="2" t="s">
        <v>3621</v>
      </c>
      <c r="C1225" s="2" t="s">
        <v>7</v>
      </c>
      <c r="D1225" s="2" t="s">
        <v>3622</v>
      </c>
      <c r="E1225" s="2" t="s">
        <v>3623</v>
      </c>
      <c r="F1225" s="6">
        <v>45874.625</v>
      </c>
      <c r="G1225" s="2">
        <v>47313.0</v>
      </c>
      <c r="H1225" s="2">
        <v>47313.0</v>
      </c>
      <c r="I1225" s="2">
        <v>40670.0</v>
      </c>
      <c r="J1225" s="2">
        <v>248.0</v>
      </c>
      <c r="K1225" s="2">
        <v>194.0</v>
      </c>
      <c r="L1225" s="2">
        <v>4.0</v>
      </c>
      <c r="M1225" s="4">
        <v>12508.0</v>
      </c>
      <c r="N1225" s="2" t="s">
        <v>36</v>
      </c>
      <c r="O1225" s="2">
        <v>71.0</v>
      </c>
      <c r="P1225" s="2" t="s">
        <v>189</v>
      </c>
      <c r="Q1225" s="2" t="s">
        <v>32</v>
      </c>
      <c r="R1225" s="2">
        <v>35.0</v>
      </c>
      <c r="T1225" s="2" t="s">
        <v>58</v>
      </c>
      <c r="U1225" s="2" t="b">
        <v>1</v>
      </c>
      <c r="V1225" s="5">
        <v>0.0048</v>
      </c>
      <c r="W1225" s="5">
        <v>0.0206</v>
      </c>
      <c r="X1225" s="5">
        <v>9.8E-5</v>
      </c>
      <c r="Y1225" s="2">
        <v>64.4742268</v>
      </c>
      <c r="AA1225" s="2" t="s">
        <v>33</v>
      </c>
    </row>
    <row r="1226">
      <c r="A1226" s="2">
        <v>2805.0</v>
      </c>
      <c r="B1226" s="2" t="s">
        <v>3624</v>
      </c>
      <c r="C1226" s="2" t="s">
        <v>7</v>
      </c>
      <c r="D1226" s="2" t="s">
        <v>3625</v>
      </c>
      <c r="E1226" s="2" t="s">
        <v>3626</v>
      </c>
      <c r="F1226" s="6">
        <v>45874.625</v>
      </c>
      <c r="G1226" s="2">
        <v>60972.0</v>
      </c>
      <c r="H1226" s="2">
        <v>60972.0</v>
      </c>
      <c r="I1226" s="2">
        <v>53871.0</v>
      </c>
      <c r="J1226" s="2">
        <v>405.0</v>
      </c>
      <c r="K1226" s="2">
        <v>333.0</v>
      </c>
      <c r="L1226" s="2">
        <v>1.0</v>
      </c>
      <c r="M1226" s="2">
        <v>750.0</v>
      </c>
      <c r="N1226" s="2" t="s">
        <v>30</v>
      </c>
      <c r="O1226" s="2">
        <v>70.0</v>
      </c>
      <c r="P1226" s="2" t="s">
        <v>189</v>
      </c>
      <c r="Q1226" s="2" t="s">
        <v>32</v>
      </c>
      <c r="R1226" s="2">
        <v>36.0</v>
      </c>
      <c r="U1226" s="2" t="b">
        <v>0</v>
      </c>
      <c r="V1226" s="5">
        <v>0.0062</v>
      </c>
      <c r="W1226" s="5">
        <v>0.003</v>
      </c>
      <c r="X1226" s="5">
        <v>1.9E-5</v>
      </c>
      <c r="Y1226" s="2">
        <v>2.252252252</v>
      </c>
      <c r="Z1226" s="2">
        <v>4405.0</v>
      </c>
      <c r="AA1226" s="2" t="s">
        <v>33</v>
      </c>
    </row>
    <row r="1227">
      <c r="A1227" s="2">
        <v>2808.0</v>
      </c>
      <c r="B1227" s="2" t="s">
        <v>3627</v>
      </c>
      <c r="C1227" s="2" t="s">
        <v>7</v>
      </c>
      <c r="D1227" s="2" t="s">
        <v>3628</v>
      </c>
      <c r="E1227" s="2" t="s">
        <v>3629</v>
      </c>
      <c r="F1227" s="6">
        <v>45874.708333333336</v>
      </c>
      <c r="G1227" s="2">
        <v>47454.0</v>
      </c>
      <c r="H1227" s="2">
        <v>47454.0</v>
      </c>
      <c r="I1227" s="2">
        <v>40715.0</v>
      </c>
      <c r="J1227" s="2">
        <v>268.0</v>
      </c>
      <c r="K1227" s="2">
        <v>224.0</v>
      </c>
      <c r="L1227" s="2">
        <v>2.0</v>
      </c>
      <c r="M1227" s="4">
        <v>4190.0</v>
      </c>
      <c r="N1227" s="2" t="s">
        <v>36</v>
      </c>
      <c r="O1227" s="2">
        <v>71.0</v>
      </c>
      <c r="P1227" s="2" t="s">
        <v>189</v>
      </c>
      <c r="Q1227" s="2" t="s">
        <v>32</v>
      </c>
      <c r="R1227" s="2">
        <v>41.0</v>
      </c>
      <c r="T1227" s="2" t="s">
        <v>47</v>
      </c>
      <c r="U1227" s="2" t="b">
        <v>0</v>
      </c>
      <c r="V1227" s="5">
        <v>0.0055</v>
      </c>
      <c r="W1227" s="5">
        <v>0.0089</v>
      </c>
      <c r="X1227" s="5">
        <v>4.9E-5</v>
      </c>
      <c r="Y1227" s="2">
        <v>18.70535714</v>
      </c>
      <c r="AA1227" s="2" t="s">
        <v>33</v>
      </c>
    </row>
    <row r="1228">
      <c r="A1228" s="2">
        <v>2807.0</v>
      </c>
      <c r="B1228" s="2" t="s">
        <v>3630</v>
      </c>
      <c r="C1228" s="2" t="s">
        <v>7</v>
      </c>
      <c r="D1228" s="2" t="s">
        <v>3631</v>
      </c>
      <c r="E1228" s="2" t="s">
        <v>3632</v>
      </c>
      <c r="F1228" s="6">
        <v>45874.708333333336</v>
      </c>
      <c r="G1228" s="2">
        <v>61338.0</v>
      </c>
      <c r="H1228" s="2">
        <v>61338.0</v>
      </c>
      <c r="I1228" s="2">
        <v>54193.0</v>
      </c>
      <c r="J1228" s="2">
        <v>283.0</v>
      </c>
      <c r="K1228" s="2">
        <v>233.0</v>
      </c>
      <c r="L1228" s="2">
        <v>4.0</v>
      </c>
      <c r="M1228" s="4">
        <v>16450.0</v>
      </c>
      <c r="N1228" s="2" t="s">
        <v>30</v>
      </c>
      <c r="O1228" s="2">
        <v>70.0</v>
      </c>
      <c r="P1228" s="2" t="s">
        <v>189</v>
      </c>
      <c r="Q1228" s="2" t="s">
        <v>32</v>
      </c>
      <c r="R1228" s="2">
        <v>45.0</v>
      </c>
      <c r="U1228" s="2" t="b">
        <v>0</v>
      </c>
      <c r="V1228" s="5">
        <v>0.0043</v>
      </c>
      <c r="W1228" s="5">
        <v>0.0172</v>
      </c>
      <c r="X1228" s="5">
        <v>7.4E-5</v>
      </c>
      <c r="Y1228" s="2">
        <v>70.60085837</v>
      </c>
      <c r="AA1228" s="2" t="s">
        <v>33</v>
      </c>
    </row>
    <row r="1229">
      <c r="A1229" s="2">
        <v>2816.0</v>
      </c>
      <c r="B1229" s="2" t="s">
        <v>3633</v>
      </c>
      <c r="C1229" s="2" t="s">
        <v>7</v>
      </c>
      <c r="D1229" s="2" t="s">
        <v>3634</v>
      </c>
      <c r="E1229" s="2" t="s">
        <v>3635</v>
      </c>
      <c r="F1229" s="6">
        <v>45874.736805555556</v>
      </c>
      <c r="G1229" s="2">
        <v>5997.0</v>
      </c>
      <c r="H1229" s="2">
        <v>5997.0</v>
      </c>
      <c r="I1229" s="2">
        <v>5074.0</v>
      </c>
      <c r="J1229" s="2">
        <v>57.0</v>
      </c>
      <c r="K1229" s="2">
        <v>39.0</v>
      </c>
      <c r="L1229" s="2">
        <v>0.0</v>
      </c>
      <c r="M1229" s="2">
        <v>0.0</v>
      </c>
      <c r="N1229" s="2" t="s">
        <v>423</v>
      </c>
      <c r="O1229" s="2">
        <v>119.0</v>
      </c>
      <c r="P1229" s="2" t="s">
        <v>189</v>
      </c>
      <c r="Q1229" s="2" t="s">
        <v>1367</v>
      </c>
      <c r="R1229" s="2">
        <v>31.0</v>
      </c>
      <c r="T1229" s="2" t="s">
        <v>47</v>
      </c>
      <c r="U1229" s="2" t="b">
        <v>0</v>
      </c>
      <c r="V1229" s="5">
        <v>0.0077</v>
      </c>
      <c r="W1229" s="5">
        <v>0.0</v>
      </c>
      <c r="X1229" s="5">
        <v>0.0</v>
      </c>
      <c r="Y1229" s="2">
        <v>0.0</v>
      </c>
      <c r="AA1229" s="2" t="s">
        <v>423</v>
      </c>
    </row>
    <row r="1230">
      <c r="A1230" s="2">
        <v>2817.0</v>
      </c>
      <c r="B1230" s="2" t="s">
        <v>3636</v>
      </c>
      <c r="C1230" s="2" t="s">
        <v>7</v>
      </c>
      <c r="D1230" s="2" t="s">
        <v>3637</v>
      </c>
      <c r="E1230" s="2" t="s">
        <v>3638</v>
      </c>
      <c r="F1230" s="6">
        <v>45874.791666666664</v>
      </c>
      <c r="G1230" s="2">
        <v>5997.0</v>
      </c>
      <c r="H1230" s="2">
        <v>5997.0</v>
      </c>
      <c r="I1230" s="2">
        <v>5149.0</v>
      </c>
      <c r="J1230" s="2">
        <v>58.0</v>
      </c>
      <c r="K1230" s="2">
        <v>44.0</v>
      </c>
      <c r="L1230" s="2">
        <v>0.0</v>
      </c>
      <c r="M1230" s="2">
        <v>0.0</v>
      </c>
      <c r="N1230" s="2" t="s">
        <v>423</v>
      </c>
      <c r="O1230" s="2">
        <v>119.0</v>
      </c>
      <c r="P1230" s="2" t="s">
        <v>189</v>
      </c>
      <c r="Q1230" s="2" t="s">
        <v>1367</v>
      </c>
      <c r="R1230" s="2">
        <v>33.0</v>
      </c>
      <c r="T1230" s="2" t="s">
        <v>47</v>
      </c>
      <c r="U1230" s="2" t="b">
        <v>0</v>
      </c>
      <c r="V1230" s="5">
        <v>0.0085</v>
      </c>
      <c r="W1230" s="5">
        <v>0.0</v>
      </c>
      <c r="X1230" s="5">
        <v>0.0</v>
      </c>
      <c r="Y1230" s="2">
        <v>0.0</v>
      </c>
      <c r="AA1230" s="2" t="s">
        <v>423</v>
      </c>
    </row>
    <row r="1231">
      <c r="A1231" s="2">
        <v>2818.0</v>
      </c>
      <c r="B1231" s="2" t="s">
        <v>3639</v>
      </c>
      <c r="C1231" s="2" t="s">
        <v>7</v>
      </c>
      <c r="D1231" s="2" t="s">
        <v>3640</v>
      </c>
      <c r="E1231" s="2" t="s">
        <v>3641</v>
      </c>
      <c r="F1231" s="6">
        <v>45875.47152777778</v>
      </c>
      <c r="G1231" s="2">
        <v>63553.0</v>
      </c>
      <c r="H1231" s="2">
        <v>63553.0</v>
      </c>
      <c r="I1231" s="2">
        <v>55976.0</v>
      </c>
      <c r="J1231" s="2">
        <v>280.0</v>
      </c>
      <c r="K1231" s="2">
        <v>233.0</v>
      </c>
      <c r="L1231" s="2">
        <v>1.0</v>
      </c>
      <c r="M1231" s="4">
        <v>2670.0</v>
      </c>
      <c r="N1231" s="2" t="s">
        <v>30</v>
      </c>
      <c r="O1231" s="2">
        <v>70.0</v>
      </c>
      <c r="P1231" s="2" t="s">
        <v>189</v>
      </c>
      <c r="Q1231" s="2" t="s">
        <v>32</v>
      </c>
      <c r="R1231" s="2">
        <v>33.0</v>
      </c>
      <c r="U1231" s="2" t="b">
        <v>0</v>
      </c>
      <c r="V1231" s="5">
        <v>0.0042</v>
      </c>
      <c r="W1231" s="5">
        <v>0.0043</v>
      </c>
      <c r="X1231" s="5">
        <v>1.8E-5</v>
      </c>
      <c r="Y1231" s="2">
        <v>11.45922747</v>
      </c>
      <c r="AA1231" s="2" t="s">
        <v>33</v>
      </c>
    </row>
    <row r="1232">
      <c r="A1232" s="2">
        <v>2819.0</v>
      </c>
      <c r="B1232" s="2" t="s">
        <v>3642</v>
      </c>
      <c r="C1232" s="2" t="s">
        <v>7</v>
      </c>
      <c r="D1232" s="2" t="s">
        <v>3643</v>
      </c>
      <c r="E1232" s="2" t="s">
        <v>3644</v>
      </c>
      <c r="F1232" s="6">
        <v>45875.472916666666</v>
      </c>
      <c r="G1232" s="2">
        <v>48584.0</v>
      </c>
      <c r="H1232" s="2">
        <v>48584.0</v>
      </c>
      <c r="I1232" s="2">
        <v>41466.0</v>
      </c>
      <c r="J1232" s="2">
        <v>289.0</v>
      </c>
      <c r="K1232" s="2">
        <v>221.0</v>
      </c>
      <c r="L1232" s="2">
        <v>6.0</v>
      </c>
      <c r="M1232" s="4">
        <v>26505.0</v>
      </c>
      <c r="N1232" s="2" t="s">
        <v>36</v>
      </c>
      <c r="O1232" s="2">
        <v>71.0</v>
      </c>
      <c r="P1232" s="2" t="s">
        <v>189</v>
      </c>
      <c r="Q1232" s="2" t="s">
        <v>32</v>
      </c>
      <c r="R1232" s="2">
        <v>40.0</v>
      </c>
      <c r="T1232" s="2" t="s">
        <v>47</v>
      </c>
      <c r="U1232" s="2" t="b">
        <v>0</v>
      </c>
      <c r="V1232" s="5">
        <v>0.0053</v>
      </c>
      <c r="W1232" s="5">
        <v>0.0271</v>
      </c>
      <c r="X1232" s="5">
        <v>1.45E-4</v>
      </c>
      <c r="Y1232" s="2">
        <v>119.9321267</v>
      </c>
      <c r="AA1232" s="2" t="s">
        <v>33</v>
      </c>
    </row>
    <row r="1233">
      <c r="A1233" s="2">
        <v>2821.0</v>
      </c>
      <c r="B1233" s="2" t="s">
        <v>3645</v>
      </c>
      <c r="C1233" s="2" t="s">
        <v>7</v>
      </c>
      <c r="D1233" s="2" t="s">
        <v>3646</v>
      </c>
      <c r="E1233" s="2" t="s">
        <v>3647</v>
      </c>
      <c r="F1233" s="6">
        <v>45875.625</v>
      </c>
      <c r="G1233" s="2">
        <v>48496.0</v>
      </c>
      <c r="H1233" s="2">
        <v>48496.0</v>
      </c>
      <c r="I1233" s="2">
        <v>41677.0</v>
      </c>
      <c r="J1233" s="2">
        <v>254.0</v>
      </c>
      <c r="K1233" s="2">
        <v>203.0</v>
      </c>
      <c r="L1233" s="2">
        <v>1.0</v>
      </c>
      <c r="M1233" s="4">
        <v>5590.0</v>
      </c>
      <c r="N1233" s="2" t="s">
        <v>36</v>
      </c>
      <c r="O1233" s="2">
        <v>71.0</v>
      </c>
      <c r="P1233" s="2" t="s">
        <v>189</v>
      </c>
      <c r="Q1233" s="2" t="s">
        <v>32</v>
      </c>
      <c r="R1233" s="2">
        <v>33.0</v>
      </c>
      <c r="T1233" s="2" t="s">
        <v>162</v>
      </c>
      <c r="U1233" s="2" t="b">
        <v>0</v>
      </c>
      <c r="V1233" s="5">
        <v>0.0049</v>
      </c>
      <c r="W1233" s="5">
        <v>0.0049</v>
      </c>
      <c r="X1233" s="5">
        <v>2.4E-5</v>
      </c>
      <c r="Y1233" s="2">
        <v>27.53694581</v>
      </c>
      <c r="AA1233" s="2" t="s">
        <v>33</v>
      </c>
    </row>
    <row r="1234">
      <c r="A1234" s="2">
        <v>2820.0</v>
      </c>
      <c r="B1234" s="2" t="s">
        <v>3648</v>
      </c>
      <c r="C1234" s="2" t="s">
        <v>7</v>
      </c>
      <c r="D1234" s="2" t="s">
        <v>3649</v>
      </c>
      <c r="E1234" s="2" t="s">
        <v>3650</v>
      </c>
      <c r="F1234" s="6">
        <v>45875.625</v>
      </c>
      <c r="G1234" s="2">
        <v>63521.0</v>
      </c>
      <c r="H1234" s="2">
        <v>63521.0</v>
      </c>
      <c r="I1234" s="2">
        <v>56152.0</v>
      </c>
      <c r="J1234" s="2">
        <v>355.0</v>
      </c>
      <c r="K1234" s="2">
        <v>279.0</v>
      </c>
      <c r="L1234" s="2">
        <v>10.0</v>
      </c>
      <c r="M1234" s="4">
        <v>39416.0</v>
      </c>
      <c r="N1234" s="2" t="s">
        <v>30</v>
      </c>
      <c r="O1234" s="2">
        <v>70.0</v>
      </c>
      <c r="P1234" s="2" t="s">
        <v>189</v>
      </c>
      <c r="Q1234" s="2" t="s">
        <v>32</v>
      </c>
      <c r="R1234" s="2">
        <v>28.0</v>
      </c>
      <c r="T1234" s="2" t="s">
        <v>3651</v>
      </c>
      <c r="U1234" s="2" t="b">
        <v>0</v>
      </c>
      <c r="V1234" s="5">
        <v>0.005</v>
      </c>
      <c r="W1234" s="5">
        <v>0.0358</v>
      </c>
      <c r="X1234" s="5">
        <v>1.78E-4</v>
      </c>
      <c r="Y1234" s="2">
        <v>141.2759857</v>
      </c>
      <c r="Z1234" s="2">
        <v>2429.0</v>
      </c>
      <c r="AA1234" s="2" t="s">
        <v>33</v>
      </c>
    </row>
    <row r="1235">
      <c r="A1235" s="2">
        <v>2831.0</v>
      </c>
      <c r="B1235" s="2" t="s">
        <v>3652</v>
      </c>
      <c r="C1235" s="2" t="s">
        <v>7</v>
      </c>
      <c r="D1235" s="2" t="s">
        <v>3653</v>
      </c>
      <c r="E1235" s="2" t="s">
        <v>3654</v>
      </c>
      <c r="F1235" s="6">
        <v>45875.63611111111</v>
      </c>
      <c r="G1235" s="2">
        <v>6081.0</v>
      </c>
      <c r="H1235" s="2">
        <v>6081.0</v>
      </c>
      <c r="I1235" s="2">
        <v>5139.0</v>
      </c>
      <c r="J1235" s="2">
        <v>52.0</v>
      </c>
      <c r="K1235" s="2">
        <v>45.0</v>
      </c>
      <c r="L1235" s="2">
        <v>1.0</v>
      </c>
      <c r="M1235" s="4">
        <v>5194.0</v>
      </c>
      <c r="N1235" s="2" t="s">
        <v>423</v>
      </c>
      <c r="O1235" s="2">
        <v>119.0</v>
      </c>
      <c r="P1235" s="2" t="s">
        <v>31</v>
      </c>
      <c r="Q1235" s="2" t="s">
        <v>1367</v>
      </c>
      <c r="R1235" s="2">
        <v>34.0</v>
      </c>
      <c r="T1235" s="2" t="s">
        <v>47</v>
      </c>
      <c r="U1235" s="2" t="b">
        <v>0</v>
      </c>
      <c r="V1235" s="5">
        <v>0.0088</v>
      </c>
      <c r="W1235" s="5">
        <v>0.0222</v>
      </c>
      <c r="X1235" s="5">
        <v>1.95E-4</v>
      </c>
      <c r="Y1235" s="2">
        <v>115.4222222</v>
      </c>
      <c r="AA1235" s="2" t="s">
        <v>423</v>
      </c>
    </row>
    <row r="1236">
      <c r="A1236" s="2">
        <v>2823.0</v>
      </c>
      <c r="B1236" s="2" t="s">
        <v>3655</v>
      </c>
      <c r="C1236" s="2" t="s">
        <v>7</v>
      </c>
      <c r="D1236" s="2" t="s">
        <v>3656</v>
      </c>
      <c r="E1236" s="2" t="s">
        <v>3657</v>
      </c>
      <c r="F1236" s="6">
        <v>45875.708333333336</v>
      </c>
      <c r="G1236" s="2">
        <v>48457.0</v>
      </c>
      <c r="H1236" s="2">
        <v>48457.0</v>
      </c>
      <c r="I1236" s="2">
        <v>41709.0</v>
      </c>
      <c r="J1236" s="2">
        <v>298.0</v>
      </c>
      <c r="K1236" s="2">
        <v>238.0</v>
      </c>
      <c r="L1236" s="2">
        <v>2.0</v>
      </c>
      <c r="M1236" s="4">
        <v>1417.0</v>
      </c>
      <c r="N1236" s="2" t="s">
        <v>36</v>
      </c>
      <c r="O1236" s="2">
        <v>71.0</v>
      </c>
      <c r="P1236" s="2" t="s">
        <v>31</v>
      </c>
      <c r="Q1236" s="2" t="s">
        <v>32</v>
      </c>
      <c r="R1236" s="2">
        <v>43.0</v>
      </c>
      <c r="T1236" s="2" t="s">
        <v>47</v>
      </c>
      <c r="U1236" s="2" t="b">
        <v>0</v>
      </c>
      <c r="V1236" s="5">
        <v>0.0057</v>
      </c>
      <c r="W1236" s="5">
        <v>0.0084</v>
      </c>
      <c r="X1236" s="5">
        <v>4.8E-5</v>
      </c>
      <c r="Y1236" s="2">
        <v>5.953781513</v>
      </c>
      <c r="AA1236" s="2" t="s">
        <v>33</v>
      </c>
    </row>
    <row r="1237">
      <c r="A1237" s="2">
        <v>2822.0</v>
      </c>
      <c r="B1237" s="2" t="s">
        <v>3658</v>
      </c>
      <c r="C1237" s="2" t="s">
        <v>7</v>
      </c>
      <c r="D1237" s="2" t="s">
        <v>3659</v>
      </c>
      <c r="E1237" s="2" t="s">
        <v>3660</v>
      </c>
      <c r="F1237" s="6">
        <v>45875.708333333336</v>
      </c>
      <c r="G1237" s="2">
        <v>63523.0</v>
      </c>
      <c r="H1237" s="2">
        <v>63523.0</v>
      </c>
      <c r="I1237" s="2">
        <v>56065.0</v>
      </c>
      <c r="J1237" s="2">
        <v>309.0</v>
      </c>
      <c r="K1237" s="2">
        <v>249.0</v>
      </c>
      <c r="L1237" s="2">
        <v>2.0</v>
      </c>
      <c r="M1237" s="4">
        <v>8874.0</v>
      </c>
      <c r="N1237" s="2" t="s">
        <v>30</v>
      </c>
      <c r="O1237" s="2">
        <v>70.0</v>
      </c>
      <c r="P1237" s="2" t="s">
        <v>189</v>
      </c>
      <c r="Q1237" s="2" t="s">
        <v>32</v>
      </c>
      <c r="R1237" s="2">
        <v>36.0</v>
      </c>
      <c r="T1237" s="2" t="s">
        <v>47</v>
      </c>
      <c r="U1237" s="2" t="b">
        <v>0</v>
      </c>
      <c r="V1237" s="5">
        <v>0.0044</v>
      </c>
      <c r="W1237" s="5">
        <v>0.008</v>
      </c>
      <c r="X1237" s="5">
        <v>3.6E-5</v>
      </c>
      <c r="Y1237" s="2">
        <v>35.63855422</v>
      </c>
      <c r="Z1237" s="2">
        <v>5996.0</v>
      </c>
      <c r="AA1237" s="2" t="s">
        <v>33</v>
      </c>
    </row>
    <row r="1238">
      <c r="A1238" s="2">
        <v>2832.0</v>
      </c>
      <c r="B1238" s="2" t="s">
        <v>3661</v>
      </c>
      <c r="C1238" s="2" t="s">
        <v>7</v>
      </c>
      <c r="D1238" s="2" t="s">
        <v>3662</v>
      </c>
      <c r="E1238" s="2" t="s">
        <v>3663</v>
      </c>
      <c r="F1238" s="6">
        <v>45875.708333333336</v>
      </c>
      <c r="G1238" s="2">
        <v>6065.0</v>
      </c>
      <c r="H1238" s="2">
        <v>6065.0</v>
      </c>
      <c r="I1238" s="2">
        <v>5136.0</v>
      </c>
      <c r="J1238" s="2">
        <v>62.0</v>
      </c>
      <c r="K1238" s="2">
        <v>51.0</v>
      </c>
      <c r="L1238" s="2">
        <v>2.0</v>
      </c>
      <c r="M1238" s="4">
        <v>5397.0</v>
      </c>
      <c r="N1238" s="2" t="s">
        <v>423</v>
      </c>
      <c r="O1238" s="2">
        <v>119.0</v>
      </c>
      <c r="P1238" s="2" t="s">
        <v>31</v>
      </c>
      <c r="Q1238" s="2" t="s">
        <v>1367</v>
      </c>
      <c r="R1238" s="2">
        <v>35.0</v>
      </c>
      <c r="T1238" s="2" t="s">
        <v>47</v>
      </c>
      <c r="U1238" s="2" t="b">
        <v>0</v>
      </c>
      <c r="V1238" s="5">
        <v>0.0099</v>
      </c>
      <c r="W1238" s="5">
        <v>0.0392</v>
      </c>
      <c r="X1238" s="5">
        <v>3.89E-4</v>
      </c>
      <c r="Y1238" s="2">
        <v>105.8235294</v>
      </c>
      <c r="AA1238" s="2" t="s">
        <v>423</v>
      </c>
    </row>
    <row r="1239">
      <c r="A1239" s="2">
        <v>2833.0</v>
      </c>
      <c r="B1239" s="2" t="s">
        <v>3664</v>
      </c>
      <c r="C1239" s="2" t="s">
        <v>7</v>
      </c>
      <c r="D1239" s="2" t="s">
        <v>3665</v>
      </c>
      <c r="E1239" s="2" t="s">
        <v>3666</v>
      </c>
      <c r="F1239" s="6">
        <v>45875.791666666664</v>
      </c>
      <c r="G1239" s="2">
        <v>6062.0</v>
      </c>
      <c r="H1239" s="2">
        <v>6062.0</v>
      </c>
      <c r="I1239" s="2">
        <v>5121.0</v>
      </c>
      <c r="J1239" s="2">
        <v>54.0</v>
      </c>
      <c r="K1239" s="2">
        <v>44.0</v>
      </c>
      <c r="L1239" s="2">
        <v>1.0</v>
      </c>
      <c r="M1239" s="4">
        <v>1058.0</v>
      </c>
      <c r="N1239" s="2" t="s">
        <v>423</v>
      </c>
      <c r="O1239" s="2">
        <v>119.0</v>
      </c>
      <c r="P1239" s="2" t="s">
        <v>189</v>
      </c>
      <c r="Q1239" s="2" t="s">
        <v>1367</v>
      </c>
      <c r="R1239" s="2">
        <v>39.0</v>
      </c>
      <c r="U1239" s="2" t="b">
        <v>0</v>
      </c>
      <c r="V1239" s="5">
        <v>0.0086</v>
      </c>
      <c r="W1239" s="5">
        <v>0.0227</v>
      </c>
      <c r="X1239" s="5">
        <v>1.95E-4</v>
      </c>
      <c r="Y1239" s="2">
        <v>24.04545455</v>
      </c>
      <c r="AA1239" s="2" t="s">
        <v>423</v>
      </c>
    </row>
    <row r="1240">
      <c r="A1240" s="2">
        <v>2842.0</v>
      </c>
      <c r="B1240" s="2" t="s">
        <v>3667</v>
      </c>
      <c r="C1240" s="2" t="s">
        <v>7</v>
      </c>
      <c r="D1240" s="2" t="s">
        <v>3668</v>
      </c>
      <c r="E1240" s="2" t="s">
        <v>3669</v>
      </c>
      <c r="F1240" s="6">
        <v>45876.458333333336</v>
      </c>
      <c r="G1240" s="2">
        <v>48425.0</v>
      </c>
      <c r="H1240" s="2">
        <v>48425.0</v>
      </c>
      <c r="I1240" s="2">
        <v>41360.0</v>
      </c>
      <c r="J1240" s="2">
        <v>326.0</v>
      </c>
      <c r="K1240" s="2">
        <v>242.0</v>
      </c>
      <c r="L1240" s="2">
        <v>6.0</v>
      </c>
      <c r="M1240" s="4">
        <v>16543.0</v>
      </c>
      <c r="N1240" s="2" t="s">
        <v>36</v>
      </c>
      <c r="O1240" s="2">
        <v>71.0</v>
      </c>
      <c r="P1240" s="2" t="s">
        <v>189</v>
      </c>
      <c r="Q1240" s="2" t="s">
        <v>32</v>
      </c>
      <c r="R1240" s="2">
        <v>35.0</v>
      </c>
      <c r="T1240" s="2" t="s">
        <v>58</v>
      </c>
      <c r="U1240" s="2" t="b">
        <v>1</v>
      </c>
      <c r="V1240" s="5">
        <v>0.0059</v>
      </c>
      <c r="W1240" s="5">
        <v>0.0248</v>
      </c>
      <c r="X1240" s="5">
        <v>1.45E-4</v>
      </c>
      <c r="Y1240" s="2">
        <v>68.35950413</v>
      </c>
      <c r="AA1240" s="2" t="s">
        <v>33</v>
      </c>
    </row>
    <row r="1241">
      <c r="A1241" s="2">
        <v>2841.0</v>
      </c>
      <c r="B1241" s="2" t="s">
        <v>3670</v>
      </c>
      <c r="C1241" s="2" t="s">
        <v>7</v>
      </c>
      <c r="D1241" s="2" t="s">
        <v>2679</v>
      </c>
      <c r="E1241" s="2" t="s">
        <v>3671</v>
      </c>
      <c r="F1241" s="6">
        <v>45876.458333333336</v>
      </c>
      <c r="G1241" s="2">
        <v>63358.0</v>
      </c>
      <c r="H1241" s="2">
        <v>63358.0</v>
      </c>
      <c r="I1241" s="2">
        <v>55844.0</v>
      </c>
      <c r="J1241" s="2">
        <v>407.0</v>
      </c>
      <c r="K1241" s="2">
        <v>320.0</v>
      </c>
      <c r="L1241" s="2">
        <v>4.0</v>
      </c>
      <c r="M1241" s="4">
        <v>9125.0</v>
      </c>
      <c r="N1241" s="2" t="s">
        <v>30</v>
      </c>
      <c r="O1241" s="2">
        <v>70.0</v>
      </c>
      <c r="P1241" s="2" t="s">
        <v>189</v>
      </c>
      <c r="Q1241" s="2" t="s">
        <v>32</v>
      </c>
      <c r="R1241" s="2">
        <v>34.0</v>
      </c>
      <c r="T1241" s="2" t="s">
        <v>1185</v>
      </c>
      <c r="U1241" s="2" t="b">
        <v>0</v>
      </c>
      <c r="V1241" s="5">
        <v>0.0057</v>
      </c>
      <c r="W1241" s="5">
        <v>0.0125</v>
      </c>
      <c r="X1241" s="5">
        <v>7.2E-5</v>
      </c>
      <c r="Y1241" s="2">
        <v>28.515625</v>
      </c>
      <c r="Z1241" s="2">
        <v>5830.0</v>
      </c>
      <c r="AA1241" s="2" t="s">
        <v>33</v>
      </c>
    </row>
    <row r="1242">
      <c r="A1242" s="2">
        <v>2845.0</v>
      </c>
      <c r="B1242" s="2" t="s">
        <v>3672</v>
      </c>
      <c r="C1242" s="2" t="s">
        <v>7</v>
      </c>
      <c r="D1242" s="2" t="s">
        <v>3673</v>
      </c>
      <c r="E1242" s="2" t="s">
        <v>3674</v>
      </c>
      <c r="F1242" s="6">
        <v>45876.625</v>
      </c>
      <c r="G1242" s="2">
        <v>48444.0</v>
      </c>
      <c r="H1242" s="2">
        <v>48444.0</v>
      </c>
      <c r="I1242" s="2">
        <v>41608.0</v>
      </c>
      <c r="J1242" s="2">
        <v>222.0</v>
      </c>
      <c r="K1242" s="2">
        <v>173.0</v>
      </c>
      <c r="L1242" s="2">
        <v>1.0</v>
      </c>
      <c r="M1242" s="4">
        <v>1690.0</v>
      </c>
      <c r="N1242" s="2" t="s">
        <v>36</v>
      </c>
      <c r="O1242" s="2">
        <v>71.0</v>
      </c>
      <c r="P1242" s="2" t="s">
        <v>31</v>
      </c>
      <c r="Q1242" s="2" t="s">
        <v>32</v>
      </c>
      <c r="R1242" s="2">
        <v>52.0</v>
      </c>
      <c r="T1242" s="2" t="s">
        <v>47</v>
      </c>
      <c r="U1242" s="2" t="b">
        <v>0</v>
      </c>
      <c r="V1242" s="5">
        <v>0.0042</v>
      </c>
      <c r="W1242" s="5">
        <v>0.0058</v>
      </c>
      <c r="X1242" s="5">
        <v>2.4E-5</v>
      </c>
      <c r="Y1242" s="2">
        <v>9.768786127</v>
      </c>
      <c r="AA1242" s="2" t="s">
        <v>33</v>
      </c>
    </row>
    <row r="1243">
      <c r="A1243" s="2">
        <v>2843.0</v>
      </c>
      <c r="B1243" s="2" t="s">
        <v>3675</v>
      </c>
      <c r="C1243" s="2" t="s">
        <v>7</v>
      </c>
      <c r="D1243" s="2" t="s">
        <v>3676</v>
      </c>
      <c r="E1243" s="2" t="s">
        <v>3677</v>
      </c>
      <c r="F1243" s="6">
        <v>45876.625</v>
      </c>
      <c r="G1243" s="2">
        <v>63410.0</v>
      </c>
      <c r="H1243" s="2">
        <v>63410.0</v>
      </c>
      <c r="I1243" s="2">
        <v>56160.0</v>
      </c>
      <c r="J1243" s="2">
        <v>268.0</v>
      </c>
      <c r="K1243" s="2">
        <v>214.0</v>
      </c>
      <c r="L1243" s="2">
        <v>6.0</v>
      </c>
      <c r="M1243" s="4">
        <v>15272.0</v>
      </c>
      <c r="N1243" s="2" t="s">
        <v>30</v>
      </c>
      <c r="O1243" s="2">
        <v>70.0</v>
      </c>
      <c r="P1243" s="2" t="s">
        <v>189</v>
      </c>
      <c r="Q1243" s="2" t="s">
        <v>32</v>
      </c>
      <c r="R1243" s="2">
        <v>44.0</v>
      </c>
      <c r="T1243" s="2" t="s">
        <v>47</v>
      </c>
      <c r="U1243" s="2" t="b">
        <v>0</v>
      </c>
      <c r="V1243" s="5">
        <v>0.0038</v>
      </c>
      <c r="W1243" s="5">
        <v>0.028</v>
      </c>
      <c r="X1243" s="5">
        <v>1.07E-4</v>
      </c>
      <c r="Y1243" s="2">
        <v>71.36448598</v>
      </c>
      <c r="Z1243" s="2">
        <v>4254.0</v>
      </c>
      <c r="AA1243" s="2" t="s">
        <v>33</v>
      </c>
    </row>
    <row r="1244">
      <c r="A1244" s="2">
        <v>2847.0</v>
      </c>
      <c r="B1244" s="2" t="s">
        <v>3678</v>
      </c>
      <c r="C1244" s="2" t="s">
        <v>7</v>
      </c>
      <c r="D1244" s="2" t="s">
        <v>3679</v>
      </c>
      <c r="E1244" s="2" t="s">
        <v>3680</v>
      </c>
      <c r="F1244" s="6">
        <v>45876.708333333336</v>
      </c>
      <c r="G1244" s="2">
        <v>48406.0</v>
      </c>
      <c r="H1244" s="2">
        <v>48406.0</v>
      </c>
      <c r="I1244" s="2">
        <v>41669.0</v>
      </c>
      <c r="J1244" s="2">
        <v>278.0</v>
      </c>
      <c r="K1244" s="2">
        <v>212.0</v>
      </c>
      <c r="L1244" s="2">
        <v>3.0</v>
      </c>
      <c r="M1244" s="4">
        <v>11149.0</v>
      </c>
      <c r="N1244" s="2" t="s">
        <v>36</v>
      </c>
      <c r="O1244" s="2">
        <v>71.0</v>
      </c>
      <c r="P1244" s="2" t="s">
        <v>189</v>
      </c>
      <c r="Q1244" s="2" t="s">
        <v>32</v>
      </c>
      <c r="R1244" s="2">
        <v>40.0</v>
      </c>
      <c r="T1244" s="2" t="s">
        <v>162</v>
      </c>
      <c r="U1244" s="2" t="b">
        <v>0</v>
      </c>
      <c r="V1244" s="5">
        <v>0.0051</v>
      </c>
      <c r="W1244" s="5">
        <v>0.0142</v>
      </c>
      <c r="X1244" s="5">
        <v>7.2E-5</v>
      </c>
      <c r="Y1244" s="2">
        <v>52.58962264</v>
      </c>
      <c r="AA1244" s="2" t="s">
        <v>33</v>
      </c>
    </row>
    <row r="1245">
      <c r="A1245" s="2">
        <v>2846.0</v>
      </c>
      <c r="B1245" s="2" t="s">
        <v>3681</v>
      </c>
      <c r="C1245" s="2" t="s">
        <v>7</v>
      </c>
      <c r="D1245" s="2" t="s">
        <v>3682</v>
      </c>
      <c r="E1245" s="2" t="s">
        <v>3683</v>
      </c>
      <c r="F1245" s="6">
        <v>45876.708333333336</v>
      </c>
      <c r="G1245" s="2">
        <v>63397.0</v>
      </c>
      <c r="H1245" s="2">
        <v>63397.0</v>
      </c>
      <c r="I1245" s="2">
        <v>56199.0</v>
      </c>
      <c r="J1245" s="2">
        <v>378.0</v>
      </c>
      <c r="K1245" s="2">
        <v>301.0</v>
      </c>
      <c r="L1245" s="2">
        <v>4.0</v>
      </c>
      <c r="M1245" s="4">
        <v>8529.0</v>
      </c>
      <c r="N1245" s="2" t="s">
        <v>30</v>
      </c>
      <c r="O1245" s="2">
        <v>70.0</v>
      </c>
      <c r="P1245" s="2" t="s">
        <v>189</v>
      </c>
      <c r="Q1245" s="2" t="s">
        <v>32</v>
      </c>
      <c r="R1245" s="2">
        <v>28.0</v>
      </c>
      <c r="T1245" s="2" t="s">
        <v>3684</v>
      </c>
      <c r="U1245" s="2" t="b">
        <v>0</v>
      </c>
      <c r="V1245" s="5">
        <v>0.0054</v>
      </c>
      <c r="W1245" s="5">
        <v>0.0133</v>
      </c>
      <c r="X1245" s="5">
        <v>7.1E-5</v>
      </c>
      <c r="Y1245" s="2">
        <v>28.33554817</v>
      </c>
      <c r="Z1245" s="2">
        <v>2483.0</v>
      </c>
      <c r="AA1245" s="2" t="s">
        <v>33</v>
      </c>
    </row>
    <row r="1246">
      <c r="A1246" s="2">
        <v>2848.0</v>
      </c>
      <c r="B1246" s="2" t="s">
        <v>3685</v>
      </c>
      <c r="C1246" s="2" t="s">
        <v>7</v>
      </c>
      <c r="D1246" s="2" t="s">
        <v>3686</v>
      </c>
      <c r="E1246" s="2" t="s">
        <v>3687</v>
      </c>
      <c r="F1246" s="6">
        <v>45877.47986111111</v>
      </c>
      <c r="G1246" s="2">
        <v>63433.0</v>
      </c>
      <c r="H1246" s="2">
        <v>63433.0</v>
      </c>
      <c r="I1246" s="2">
        <v>55935.0</v>
      </c>
      <c r="J1246" s="2">
        <v>299.0</v>
      </c>
      <c r="K1246" s="2">
        <v>249.0</v>
      </c>
      <c r="L1246" s="2">
        <v>6.0</v>
      </c>
      <c r="M1246" s="4">
        <v>21899.0</v>
      </c>
      <c r="N1246" s="2" t="s">
        <v>30</v>
      </c>
      <c r="O1246" s="2">
        <v>70.0</v>
      </c>
      <c r="P1246" s="2" t="s">
        <v>189</v>
      </c>
      <c r="Q1246" s="2" t="s">
        <v>32</v>
      </c>
      <c r="R1246" s="2">
        <v>40.0</v>
      </c>
      <c r="U1246" s="2" t="b">
        <v>0</v>
      </c>
      <c r="V1246" s="5">
        <v>0.0045</v>
      </c>
      <c r="W1246" s="5">
        <v>0.0241</v>
      </c>
      <c r="X1246" s="5">
        <v>1.07E-4</v>
      </c>
      <c r="Y1246" s="2">
        <v>87.94779116</v>
      </c>
      <c r="AA1246" s="2" t="s">
        <v>33</v>
      </c>
    </row>
    <row r="1247">
      <c r="A1247" s="2">
        <v>2849.0</v>
      </c>
      <c r="B1247" s="2" t="s">
        <v>3688</v>
      </c>
      <c r="C1247" s="2" t="s">
        <v>7</v>
      </c>
      <c r="D1247" s="2" t="s">
        <v>3689</v>
      </c>
      <c r="E1247" s="2" t="s">
        <v>3690</v>
      </c>
      <c r="F1247" s="6">
        <v>45877.48125</v>
      </c>
      <c r="G1247" s="2">
        <v>48445.0</v>
      </c>
      <c r="H1247" s="2">
        <v>48445.0</v>
      </c>
      <c r="I1247" s="2">
        <v>41456.0</v>
      </c>
      <c r="J1247" s="2">
        <v>228.0</v>
      </c>
      <c r="K1247" s="2">
        <v>182.0</v>
      </c>
      <c r="L1247" s="2">
        <v>5.0</v>
      </c>
      <c r="M1247" s="4">
        <v>7707.0</v>
      </c>
      <c r="N1247" s="2" t="s">
        <v>36</v>
      </c>
      <c r="O1247" s="2">
        <v>71.0</v>
      </c>
      <c r="P1247" s="2" t="s">
        <v>31</v>
      </c>
      <c r="Q1247" s="2" t="s">
        <v>32</v>
      </c>
      <c r="R1247" s="2">
        <v>44.0</v>
      </c>
      <c r="T1247" s="7" t="str">
        <f>IFERROR(__xludf.DUMMYFUNCTION("AI(""has offer Come X Pay X"",D1247)"),"No")</f>
        <v>No</v>
      </c>
      <c r="U1247" s="2" t="b">
        <v>0</v>
      </c>
      <c r="V1247" s="5">
        <v>0.0044</v>
      </c>
      <c r="W1247" s="5">
        <v>0.0275</v>
      </c>
      <c r="X1247" s="5">
        <v>1.21E-4</v>
      </c>
      <c r="Y1247" s="2">
        <v>42.34615385</v>
      </c>
      <c r="AA1247" s="2" t="s">
        <v>33</v>
      </c>
    </row>
    <row r="1248">
      <c r="A1248" s="2">
        <v>2851.0</v>
      </c>
      <c r="B1248" s="2" t="s">
        <v>3691</v>
      </c>
      <c r="C1248" s="2" t="s">
        <v>7</v>
      </c>
      <c r="D1248" s="2" t="s">
        <v>3692</v>
      </c>
      <c r="E1248" s="2" t="s">
        <v>3693</v>
      </c>
      <c r="F1248" s="6">
        <v>45877.625</v>
      </c>
      <c r="G1248" s="2">
        <v>48461.0</v>
      </c>
      <c r="H1248" s="2">
        <v>48461.0</v>
      </c>
      <c r="I1248" s="2">
        <v>41667.0</v>
      </c>
      <c r="J1248" s="2">
        <v>258.0</v>
      </c>
      <c r="K1248" s="2">
        <v>203.0</v>
      </c>
      <c r="L1248" s="2">
        <v>5.0</v>
      </c>
      <c r="M1248" s="4">
        <v>13713.0</v>
      </c>
      <c r="N1248" s="2" t="s">
        <v>36</v>
      </c>
      <c r="O1248" s="2">
        <v>71.0</v>
      </c>
      <c r="P1248" s="2" t="s">
        <v>189</v>
      </c>
      <c r="Q1248" s="2" t="s">
        <v>32</v>
      </c>
      <c r="R1248" s="2">
        <v>42.0</v>
      </c>
      <c r="U1248" s="2" t="b">
        <v>0</v>
      </c>
      <c r="V1248" s="5">
        <v>0.0049</v>
      </c>
      <c r="W1248" s="5">
        <v>0.0246</v>
      </c>
      <c r="X1248" s="5">
        <v>1.2E-4</v>
      </c>
      <c r="Y1248" s="2">
        <v>67.55172414</v>
      </c>
      <c r="AA1248" s="2" t="s">
        <v>33</v>
      </c>
    </row>
    <row r="1249">
      <c r="A1249" s="2">
        <v>2850.0</v>
      </c>
      <c r="B1249" s="2" t="s">
        <v>3694</v>
      </c>
      <c r="C1249" s="2" t="s">
        <v>7</v>
      </c>
      <c r="D1249" s="2" t="s">
        <v>3695</v>
      </c>
      <c r="E1249" s="2" t="s">
        <v>3696</v>
      </c>
      <c r="F1249" s="6">
        <v>45877.625</v>
      </c>
      <c r="G1249" s="2">
        <v>63477.0</v>
      </c>
      <c r="H1249" s="2">
        <v>63477.0</v>
      </c>
      <c r="I1249" s="2">
        <v>56132.0</v>
      </c>
      <c r="J1249" s="2">
        <v>324.0</v>
      </c>
      <c r="K1249" s="2">
        <v>263.0</v>
      </c>
      <c r="L1249" s="2">
        <v>2.0</v>
      </c>
      <c r="M1249" s="4">
        <v>4392.0</v>
      </c>
      <c r="N1249" s="2" t="s">
        <v>30</v>
      </c>
      <c r="O1249" s="2">
        <v>70.0</v>
      </c>
      <c r="P1249" s="2" t="s">
        <v>189</v>
      </c>
      <c r="Q1249" s="2" t="s">
        <v>32</v>
      </c>
      <c r="R1249" s="2">
        <v>38.0</v>
      </c>
      <c r="U1249" s="2" t="b">
        <v>0</v>
      </c>
      <c r="V1249" s="5">
        <v>0.0047</v>
      </c>
      <c r="W1249" s="5">
        <v>0.0076</v>
      </c>
      <c r="X1249" s="5">
        <v>3.6E-5</v>
      </c>
      <c r="Y1249" s="2">
        <v>16.69961977</v>
      </c>
      <c r="Z1249" s="2">
        <v>4763.0</v>
      </c>
      <c r="AA1249" s="2" t="s">
        <v>33</v>
      </c>
    </row>
    <row r="1250">
      <c r="A1250" s="2">
        <v>2858.0</v>
      </c>
      <c r="B1250" s="2" t="s">
        <v>3697</v>
      </c>
      <c r="C1250" s="2" t="s">
        <v>7</v>
      </c>
      <c r="D1250" s="2" t="s">
        <v>3698</v>
      </c>
      <c r="F1250" s="6">
        <v>45877.63888888889</v>
      </c>
      <c r="G1250" s="2">
        <v>13263.0</v>
      </c>
      <c r="H1250" s="2">
        <v>13259.0</v>
      </c>
      <c r="I1250" s="2">
        <v>11949.0</v>
      </c>
      <c r="J1250" s="2">
        <v>100.0</v>
      </c>
      <c r="K1250" s="2">
        <v>85.0</v>
      </c>
      <c r="L1250" s="2">
        <v>0.0</v>
      </c>
      <c r="M1250" s="2">
        <v>0.0</v>
      </c>
      <c r="N1250" s="2" t="s">
        <v>3322</v>
      </c>
      <c r="O1250" s="2">
        <v>242.0</v>
      </c>
      <c r="P1250" s="2" t="s">
        <v>31</v>
      </c>
      <c r="Q1250" s="2" t="s">
        <v>32</v>
      </c>
      <c r="R1250" s="2">
        <v>37.0</v>
      </c>
      <c r="U1250" s="2" t="b">
        <v>0</v>
      </c>
      <c r="V1250" s="5">
        <v>0.0071</v>
      </c>
      <c r="W1250" s="5">
        <v>0.0</v>
      </c>
      <c r="X1250" s="5">
        <v>0.0</v>
      </c>
      <c r="Y1250" s="2">
        <v>0.0</v>
      </c>
    </row>
    <row r="1251">
      <c r="A1251" s="2">
        <v>2859.0</v>
      </c>
      <c r="B1251" s="2" t="s">
        <v>3699</v>
      </c>
      <c r="C1251" s="2" t="s">
        <v>7</v>
      </c>
      <c r="D1251" s="2" t="s">
        <v>3700</v>
      </c>
      <c r="F1251" s="6">
        <v>45877.645833333336</v>
      </c>
      <c r="G1251" s="2">
        <v>8766.0</v>
      </c>
      <c r="H1251" s="2">
        <v>8764.0</v>
      </c>
      <c r="I1251" s="2">
        <v>7882.0</v>
      </c>
      <c r="J1251" s="2">
        <v>68.0</v>
      </c>
      <c r="K1251" s="2">
        <v>57.0</v>
      </c>
      <c r="L1251" s="2">
        <v>0.0</v>
      </c>
      <c r="M1251" s="2">
        <v>0.0</v>
      </c>
      <c r="N1251" s="2" t="s">
        <v>3325</v>
      </c>
      <c r="O1251" s="2">
        <v>243.0</v>
      </c>
      <c r="P1251" s="2" t="s">
        <v>31</v>
      </c>
      <c r="Q1251" s="2" t="s">
        <v>32</v>
      </c>
      <c r="R1251" s="2">
        <v>45.0</v>
      </c>
      <c r="U1251" s="2" t="b">
        <v>0</v>
      </c>
      <c r="V1251" s="5">
        <v>0.0072</v>
      </c>
      <c r="W1251" s="5">
        <v>0.0</v>
      </c>
      <c r="X1251" s="5">
        <v>0.0</v>
      </c>
      <c r="Y1251" s="2">
        <v>0.0</v>
      </c>
    </row>
    <row r="1252">
      <c r="A1252" s="2">
        <v>2853.0</v>
      </c>
      <c r="B1252" s="2" t="s">
        <v>3701</v>
      </c>
      <c r="C1252" s="2" t="s">
        <v>7</v>
      </c>
      <c r="D1252" s="2" t="s">
        <v>3702</v>
      </c>
      <c r="E1252" s="2" t="s">
        <v>3703</v>
      </c>
      <c r="F1252" s="6">
        <v>45877.708333333336</v>
      </c>
      <c r="G1252" s="2">
        <v>48432.0</v>
      </c>
      <c r="H1252" s="2">
        <v>48432.0</v>
      </c>
      <c r="I1252" s="2">
        <v>41714.0</v>
      </c>
      <c r="J1252" s="2">
        <v>319.0</v>
      </c>
      <c r="K1252" s="2">
        <v>252.0</v>
      </c>
      <c r="L1252" s="2">
        <v>6.0</v>
      </c>
      <c r="M1252" s="4">
        <v>14215.0</v>
      </c>
      <c r="N1252" s="2" t="s">
        <v>36</v>
      </c>
      <c r="O1252" s="2">
        <v>71.0</v>
      </c>
      <c r="P1252" s="2" t="s">
        <v>189</v>
      </c>
      <c r="Q1252" s="2" t="s">
        <v>32</v>
      </c>
      <c r="R1252" s="2">
        <v>42.0</v>
      </c>
      <c r="U1252" s="2" t="b">
        <v>1</v>
      </c>
      <c r="V1252" s="5">
        <v>0.006</v>
      </c>
      <c r="W1252" s="5">
        <v>0.0238</v>
      </c>
      <c r="X1252" s="5">
        <v>1.44E-4</v>
      </c>
      <c r="Y1252" s="2">
        <v>56.40873016</v>
      </c>
      <c r="AA1252" s="2" t="s">
        <v>33</v>
      </c>
    </row>
    <row r="1253">
      <c r="A1253" s="2">
        <v>2852.0</v>
      </c>
      <c r="B1253" s="2" t="s">
        <v>3704</v>
      </c>
      <c r="C1253" s="2" t="s">
        <v>7</v>
      </c>
      <c r="D1253" s="2" t="s">
        <v>3705</v>
      </c>
      <c r="E1253" s="2" t="s">
        <v>3706</v>
      </c>
      <c r="F1253" s="6">
        <v>45877.708333333336</v>
      </c>
      <c r="G1253" s="2">
        <v>63458.0</v>
      </c>
      <c r="H1253" s="2">
        <v>63458.0</v>
      </c>
      <c r="I1253" s="2">
        <v>56164.0</v>
      </c>
      <c r="J1253" s="2">
        <v>413.0</v>
      </c>
      <c r="K1253" s="2">
        <v>340.0</v>
      </c>
      <c r="L1253" s="2">
        <v>5.0</v>
      </c>
      <c r="M1253" s="4">
        <v>10789.0</v>
      </c>
      <c r="N1253" s="2" t="s">
        <v>30</v>
      </c>
      <c r="O1253" s="2">
        <v>70.0</v>
      </c>
      <c r="P1253" s="2" t="s">
        <v>189</v>
      </c>
      <c r="Q1253" s="2" t="s">
        <v>32</v>
      </c>
      <c r="R1253" s="2">
        <v>41.0</v>
      </c>
      <c r="T1253" s="2" t="s">
        <v>58</v>
      </c>
      <c r="U1253" s="2" t="b">
        <v>0</v>
      </c>
      <c r="V1253" s="5">
        <v>0.0061</v>
      </c>
      <c r="W1253" s="5">
        <v>0.0147</v>
      </c>
      <c r="X1253" s="5">
        <v>8.9E-5</v>
      </c>
      <c r="Y1253" s="2">
        <v>31.73235294</v>
      </c>
      <c r="Z1253" s="2">
        <v>3633.0</v>
      </c>
      <c r="AA1253" s="2" t="s">
        <v>33</v>
      </c>
    </row>
    <row r="1254">
      <c r="A1254" s="2">
        <v>2892.0</v>
      </c>
      <c r="B1254" s="2" t="s">
        <v>3707</v>
      </c>
      <c r="C1254" s="2" t="s">
        <v>7</v>
      </c>
      <c r="D1254" s="2" t="s">
        <v>3708</v>
      </c>
      <c r="E1254" s="2" t="s">
        <v>3709</v>
      </c>
      <c r="F1254" s="6">
        <v>45877.791666666664</v>
      </c>
      <c r="G1254" s="2">
        <v>48440.0</v>
      </c>
      <c r="H1254" s="2">
        <v>48440.0</v>
      </c>
      <c r="I1254" s="2">
        <v>41669.0</v>
      </c>
      <c r="J1254" s="2">
        <v>271.0</v>
      </c>
      <c r="K1254" s="2">
        <v>210.0</v>
      </c>
      <c r="L1254" s="2">
        <v>1.0</v>
      </c>
      <c r="M1254" s="2">
        <v>854.0</v>
      </c>
      <c r="N1254" s="2" t="s">
        <v>36</v>
      </c>
      <c r="O1254" s="2">
        <v>71.0</v>
      </c>
      <c r="P1254" s="2" t="s">
        <v>189</v>
      </c>
      <c r="Q1254" s="2" t="s">
        <v>32</v>
      </c>
      <c r="R1254" s="2">
        <v>43.0</v>
      </c>
      <c r="T1254" s="2" t="s">
        <v>47</v>
      </c>
      <c r="U1254" s="2" t="b">
        <v>0</v>
      </c>
      <c r="V1254" s="5">
        <v>0.005</v>
      </c>
      <c r="W1254" s="5">
        <v>0.0048</v>
      </c>
      <c r="X1254" s="5">
        <v>2.4E-5</v>
      </c>
      <c r="Y1254" s="2">
        <v>4.066666667</v>
      </c>
      <c r="AA1254" s="2" t="s">
        <v>33</v>
      </c>
    </row>
    <row r="1255">
      <c r="A1255" s="2">
        <v>2891.0</v>
      </c>
      <c r="B1255" s="2" t="s">
        <v>3710</v>
      </c>
      <c r="C1255" s="2" t="s">
        <v>7</v>
      </c>
      <c r="D1255" s="2" t="s">
        <v>3711</v>
      </c>
      <c r="E1255" s="2" t="s">
        <v>3712</v>
      </c>
      <c r="F1255" s="6">
        <v>45877.791666666664</v>
      </c>
      <c r="G1255" s="2">
        <v>63493.0</v>
      </c>
      <c r="H1255" s="2">
        <v>63493.0</v>
      </c>
      <c r="I1255" s="2">
        <v>56147.0</v>
      </c>
      <c r="J1255" s="2">
        <v>265.0</v>
      </c>
      <c r="K1255" s="2">
        <v>216.0</v>
      </c>
      <c r="L1255" s="2">
        <v>2.0</v>
      </c>
      <c r="M1255" s="4">
        <v>3220.0</v>
      </c>
      <c r="N1255" s="2" t="s">
        <v>30</v>
      </c>
      <c r="O1255" s="2">
        <v>70.0</v>
      </c>
      <c r="P1255" s="2" t="s">
        <v>189</v>
      </c>
      <c r="Q1255" s="2" t="s">
        <v>32</v>
      </c>
      <c r="R1255" s="2">
        <v>38.0</v>
      </c>
      <c r="T1255" s="2" t="s">
        <v>47</v>
      </c>
      <c r="U1255" s="2" t="b">
        <v>0</v>
      </c>
      <c r="V1255" s="5">
        <v>0.0038</v>
      </c>
      <c r="W1255" s="5">
        <v>0.0093</v>
      </c>
      <c r="X1255" s="5">
        <v>3.6E-5</v>
      </c>
      <c r="Y1255" s="2">
        <v>14.90740741</v>
      </c>
      <c r="AA1255" s="2" t="s">
        <v>33</v>
      </c>
    </row>
    <row r="1256">
      <c r="A1256" s="2">
        <v>2856.0</v>
      </c>
      <c r="B1256" s="2" t="s">
        <v>3713</v>
      </c>
      <c r="C1256" s="2" t="s">
        <v>7</v>
      </c>
      <c r="D1256" s="2" t="s">
        <v>3714</v>
      </c>
      <c r="E1256" s="2" t="s">
        <v>3715</v>
      </c>
      <c r="F1256" s="6">
        <v>45878.458333333336</v>
      </c>
      <c r="G1256" s="2">
        <v>48497.0</v>
      </c>
      <c r="H1256" s="2">
        <v>48497.0</v>
      </c>
      <c r="I1256" s="2">
        <v>41296.0</v>
      </c>
      <c r="J1256" s="2">
        <v>301.0</v>
      </c>
      <c r="K1256" s="2">
        <v>241.0</v>
      </c>
      <c r="L1256" s="2">
        <v>6.0</v>
      </c>
      <c r="M1256" s="4">
        <v>30861.0</v>
      </c>
      <c r="N1256" s="2" t="s">
        <v>36</v>
      </c>
      <c r="O1256" s="2">
        <v>71.0</v>
      </c>
      <c r="P1256" s="2" t="s">
        <v>31</v>
      </c>
      <c r="Q1256" s="2" t="s">
        <v>32</v>
      </c>
      <c r="R1256" s="2">
        <v>43.0</v>
      </c>
      <c r="U1256" s="2" t="b">
        <v>1</v>
      </c>
      <c r="V1256" s="5">
        <v>0.0058</v>
      </c>
      <c r="W1256" s="5">
        <v>0.0249</v>
      </c>
      <c r="X1256" s="5">
        <v>1.45E-4</v>
      </c>
      <c r="Y1256" s="2">
        <v>128.0539419</v>
      </c>
      <c r="AA1256" s="2" t="s">
        <v>33</v>
      </c>
    </row>
    <row r="1257">
      <c r="A1257" s="2">
        <v>2855.0</v>
      </c>
      <c r="B1257" s="2" t="s">
        <v>3716</v>
      </c>
      <c r="C1257" s="2" t="s">
        <v>7</v>
      </c>
      <c r="D1257" s="2" t="s">
        <v>3717</v>
      </c>
      <c r="E1257" s="2" t="s">
        <v>3718</v>
      </c>
      <c r="F1257" s="6">
        <v>45878.458333333336</v>
      </c>
      <c r="G1257" s="2">
        <v>63486.0</v>
      </c>
      <c r="H1257" s="2">
        <v>63486.0</v>
      </c>
      <c r="I1257" s="2">
        <v>55643.0</v>
      </c>
      <c r="J1257" s="2">
        <v>352.0</v>
      </c>
      <c r="K1257" s="2">
        <v>291.0</v>
      </c>
      <c r="L1257" s="2">
        <v>3.0</v>
      </c>
      <c r="M1257" s="4">
        <v>18852.0</v>
      </c>
      <c r="N1257" s="2" t="s">
        <v>30</v>
      </c>
      <c r="O1257" s="2">
        <v>70.0</v>
      </c>
      <c r="P1257" s="2" t="s">
        <v>189</v>
      </c>
      <c r="Q1257" s="2" t="s">
        <v>32</v>
      </c>
      <c r="R1257" s="2">
        <v>34.0</v>
      </c>
      <c r="T1257" s="2" t="s">
        <v>58</v>
      </c>
      <c r="U1257" s="2" t="b">
        <v>0</v>
      </c>
      <c r="V1257" s="5">
        <v>0.0052</v>
      </c>
      <c r="W1257" s="5">
        <v>0.0103</v>
      </c>
      <c r="X1257" s="5">
        <v>5.4E-5</v>
      </c>
      <c r="Y1257" s="2">
        <v>64.78350515</v>
      </c>
      <c r="Z1257" s="2">
        <v>894.0</v>
      </c>
      <c r="AA1257" s="2" t="s">
        <v>33</v>
      </c>
    </row>
    <row r="1258">
      <c r="A1258" s="2">
        <v>2862.0</v>
      </c>
      <c r="B1258" s="2" t="s">
        <v>3719</v>
      </c>
      <c r="C1258" s="2" t="s">
        <v>7</v>
      </c>
      <c r="D1258" s="2" t="s">
        <v>3720</v>
      </c>
      <c r="E1258" s="2" t="s">
        <v>3721</v>
      </c>
      <c r="F1258" s="6">
        <v>45878.625</v>
      </c>
      <c r="G1258" s="2">
        <v>48558.0</v>
      </c>
      <c r="H1258" s="2">
        <v>48558.0</v>
      </c>
      <c r="I1258" s="2">
        <v>41686.0</v>
      </c>
      <c r="J1258" s="2">
        <v>248.0</v>
      </c>
      <c r="K1258" s="2">
        <v>188.0</v>
      </c>
      <c r="L1258" s="2">
        <v>2.0</v>
      </c>
      <c r="M1258" s="4">
        <v>8108.0</v>
      </c>
      <c r="N1258" s="2" t="s">
        <v>36</v>
      </c>
      <c r="O1258" s="2">
        <v>71.0</v>
      </c>
      <c r="P1258" s="2" t="s">
        <v>189</v>
      </c>
      <c r="Q1258" s="2" t="s">
        <v>32</v>
      </c>
      <c r="R1258" s="2">
        <v>46.0</v>
      </c>
      <c r="U1258" s="2" t="b">
        <v>0</v>
      </c>
      <c r="V1258" s="5">
        <v>0.0045</v>
      </c>
      <c r="W1258" s="5">
        <v>0.0106</v>
      </c>
      <c r="X1258" s="5">
        <v>4.8E-5</v>
      </c>
      <c r="Y1258" s="2">
        <v>43.12765957</v>
      </c>
      <c r="AA1258" s="2" t="s">
        <v>33</v>
      </c>
    </row>
    <row r="1259">
      <c r="A1259" s="2">
        <v>2860.0</v>
      </c>
      <c r="B1259" s="2" t="s">
        <v>3722</v>
      </c>
      <c r="C1259" s="2" t="s">
        <v>7</v>
      </c>
      <c r="D1259" s="2" t="s">
        <v>3723</v>
      </c>
      <c r="E1259" s="2" t="s">
        <v>3724</v>
      </c>
      <c r="F1259" s="6">
        <v>45878.625</v>
      </c>
      <c r="G1259" s="2">
        <v>63588.0</v>
      </c>
      <c r="H1259" s="2">
        <v>63588.0</v>
      </c>
      <c r="I1259" s="2">
        <v>56132.0</v>
      </c>
      <c r="J1259" s="2">
        <v>355.0</v>
      </c>
      <c r="K1259" s="2">
        <v>294.0</v>
      </c>
      <c r="L1259" s="2">
        <v>7.0</v>
      </c>
      <c r="M1259" s="4">
        <v>13959.0</v>
      </c>
      <c r="N1259" s="2" t="s">
        <v>30</v>
      </c>
      <c r="O1259" s="2">
        <v>70.0</v>
      </c>
      <c r="P1259" s="2" t="s">
        <v>189</v>
      </c>
      <c r="Q1259" s="2" t="s">
        <v>32</v>
      </c>
      <c r="R1259" s="2">
        <v>40.0</v>
      </c>
      <c r="T1259" s="2" t="s">
        <v>1185</v>
      </c>
      <c r="U1259" s="2" t="b">
        <v>0</v>
      </c>
      <c r="V1259" s="5">
        <v>0.0052</v>
      </c>
      <c r="W1259" s="5">
        <v>0.0238</v>
      </c>
      <c r="X1259" s="5">
        <v>1.25E-4</v>
      </c>
      <c r="Y1259" s="2">
        <v>47.47959184</v>
      </c>
      <c r="AA1259" s="2" t="s">
        <v>33</v>
      </c>
    </row>
    <row r="1260">
      <c r="A1260" s="2">
        <v>2865.0</v>
      </c>
      <c r="B1260" s="2" t="s">
        <v>3725</v>
      </c>
      <c r="C1260" s="2" t="s">
        <v>7</v>
      </c>
      <c r="D1260" s="2" t="s">
        <v>3726</v>
      </c>
      <c r="E1260" s="2" t="s">
        <v>3727</v>
      </c>
      <c r="F1260" s="6">
        <v>45878.708333333336</v>
      </c>
      <c r="G1260" s="2">
        <v>48608.0</v>
      </c>
      <c r="H1260" s="2">
        <v>48608.0</v>
      </c>
      <c r="I1260" s="2">
        <v>41678.0</v>
      </c>
      <c r="J1260" s="2">
        <v>369.0</v>
      </c>
      <c r="K1260" s="2">
        <v>293.0</v>
      </c>
      <c r="L1260" s="2">
        <v>4.0</v>
      </c>
      <c r="M1260" s="4">
        <v>15526.0</v>
      </c>
      <c r="N1260" s="2" t="s">
        <v>36</v>
      </c>
      <c r="O1260" s="2">
        <v>71.0</v>
      </c>
      <c r="P1260" s="2" t="s">
        <v>189</v>
      </c>
      <c r="Q1260" s="2" t="s">
        <v>32</v>
      </c>
      <c r="R1260" s="2">
        <v>39.0</v>
      </c>
      <c r="U1260" s="2" t="b">
        <v>0</v>
      </c>
      <c r="V1260" s="5">
        <v>0.007</v>
      </c>
      <c r="W1260" s="5">
        <v>0.0137</v>
      </c>
      <c r="X1260" s="5">
        <v>9.6E-5</v>
      </c>
      <c r="Y1260" s="2">
        <v>52.98976109</v>
      </c>
      <c r="AA1260" s="2" t="s">
        <v>33</v>
      </c>
    </row>
    <row r="1261">
      <c r="A1261" s="2">
        <v>2864.0</v>
      </c>
      <c r="B1261" s="2" t="s">
        <v>3728</v>
      </c>
      <c r="C1261" s="2" t="s">
        <v>7</v>
      </c>
      <c r="D1261" s="2" t="s">
        <v>3729</v>
      </c>
      <c r="E1261" s="2" t="s">
        <v>3730</v>
      </c>
      <c r="F1261" s="6">
        <v>45878.708333333336</v>
      </c>
      <c r="G1261" s="2">
        <v>63645.0</v>
      </c>
      <c r="H1261" s="2">
        <v>63645.0</v>
      </c>
      <c r="I1261" s="2">
        <v>56152.0</v>
      </c>
      <c r="J1261" s="2">
        <v>414.0</v>
      </c>
      <c r="K1261" s="2">
        <v>334.0</v>
      </c>
      <c r="L1261" s="2">
        <v>10.0</v>
      </c>
      <c r="M1261" s="4">
        <v>28549.0</v>
      </c>
      <c r="N1261" s="2" t="s">
        <v>30</v>
      </c>
      <c r="O1261" s="2">
        <v>70.0</v>
      </c>
      <c r="P1261" s="2" t="s">
        <v>189</v>
      </c>
      <c r="Q1261" s="2" t="s">
        <v>32</v>
      </c>
      <c r="R1261" s="2">
        <v>40.0</v>
      </c>
      <c r="T1261" s="2" t="s">
        <v>47</v>
      </c>
      <c r="U1261" s="2" t="b">
        <v>0</v>
      </c>
      <c r="V1261" s="5">
        <v>0.0059</v>
      </c>
      <c r="W1261" s="5">
        <v>0.0299</v>
      </c>
      <c r="X1261" s="5">
        <v>1.78E-4</v>
      </c>
      <c r="Y1261" s="2">
        <v>85.4760479</v>
      </c>
      <c r="Z1261" s="2">
        <v>3569.0</v>
      </c>
      <c r="AA1261" s="2" t="s">
        <v>33</v>
      </c>
    </row>
    <row r="1262">
      <c r="A1262" s="2">
        <v>2867.0</v>
      </c>
      <c r="B1262" s="2" t="s">
        <v>3731</v>
      </c>
      <c r="C1262" s="2" t="s">
        <v>7</v>
      </c>
      <c r="D1262" s="2" t="s">
        <v>3732</v>
      </c>
      <c r="E1262" s="2" t="s">
        <v>3733</v>
      </c>
      <c r="F1262" s="6">
        <v>45879.458333333336</v>
      </c>
      <c r="G1262" s="2">
        <v>48629.0</v>
      </c>
      <c r="H1262" s="2">
        <v>48629.0</v>
      </c>
      <c r="I1262" s="2">
        <v>41242.0</v>
      </c>
      <c r="J1262" s="2">
        <v>441.0</v>
      </c>
      <c r="K1262" s="2">
        <v>359.0</v>
      </c>
      <c r="L1262" s="2">
        <v>4.0</v>
      </c>
      <c r="M1262" s="4">
        <v>9238.0</v>
      </c>
      <c r="N1262" s="2" t="s">
        <v>36</v>
      </c>
      <c r="O1262" s="2">
        <v>71.0</v>
      </c>
      <c r="P1262" s="2" t="s">
        <v>189</v>
      </c>
      <c r="Q1262" s="2" t="s">
        <v>32</v>
      </c>
      <c r="R1262" s="2">
        <v>47.0</v>
      </c>
      <c r="T1262" s="2" t="s">
        <v>58</v>
      </c>
      <c r="U1262" s="2" t="b">
        <v>1</v>
      </c>
      <c r="V1262" s="5">
        <v>0.0087</v>
      </c>
      <c r="W1262" s="5">
        <v>0.0111</v>
      </c>
      <c r="X1262" s="5">
        <v>9.7E-5</v>
      </c>
      <c r="Y1262" s="2">
        <v>25.73259053</v>
      </c>
    </row>
    <row r="1263">
      <c r="A1263" s="2">
        <v>2866.0</v>
      </c>
      <c r="B1263" s="2" t="s">
        <v>3734</v>
      </c>
      <c r="C1263" s="2" t="s">
        <v>7</v>
      </c>
      <c r="D1263" s="2" t="s">
        <v>3735</v>
      </c>
      <c r="E1263" s="2" t="s">
        <v>3736</v>
      </c>
      <c r="F1263" s="6">
        <v>45879.458333333336</v>
      </c>
      <c r="G1263" s="2">
        <v>63655.0</v>
      </c>
      <c r="H1263" s="2">
        <v>63655.0</v>
      </c>
      <c r="I1263" s="2">
        <v>55866.0</v>
      </c>
      <c r="J1263" s="2">
        <v>511.0</v>
      </c>
      <c r="K1263" s="2">
        <v>432.0</v>
      </c>
      <c r="L1263" s="2">
        <v>5.0</v>
      </c>
      <c r="M1263" s="4">
        <v>14869.0</v>
      </c>
      <c r="N1263" s="2" t="s">
        <v>30</v>
      </c>
      <c r="O1263" s="2">
        <v>70.0</v>
      </c>
      <c r="P1263" s="2" t="s">
        <v>189</v>
      </c>
      <c r="Q1263" s="2" t="s">
        <v>32</v>
      </c>
      <c r="R1263" s="2">
        <v>44.0</v>
      </c>
      <c r="U1263" s="2" t="b">
        <v>0</v>
      </c>
      <c r="V1263" s="5">
        <v>0.0077</v>
      </c>
      <c r="W1263" s="5">
        <v>0.0116</v>
      </c>
      <c r="X1263" s="5">
        <v>8.9E-5</v>
      </c>
      <c r="Y1263" s="2">
        <v>34.41898148</v>
      </c>
      <c r="Z1263" s="2">
        <v>2928.0</v>
      </c>
      <c r="AA1263" s="2" t="s">
        <v>33</v>
      </c>
    </row>
    <row r="1264">
      <c r="A1264" s="2">
        <v>2869.0</v>
      </c>
      <c r="B1264" s="2" t="s">
        <v>3737</v>
      </c>
      <c r="C1264" s="2" t="s">
        <v>7</v>
      </c>
      <c r="D1264" s="2" t="s">
        <v>3738</v>
      </c>
      <c r="E1264" s="2" t="s">
        <v>3739</v>
      </c>
      <c r="F1264" s="6">
        <v>45879.625</v>
      </c>
      <c r="G1264" s="2">
        <v>48709.0</v>
      </c>
      <c r="H1264" s="2">
        <v>48709.0</v>
      </c>
      <c r="I1264" s="2">
        <v>41711.0</v>
      </c>
      <c r="J1264" s="2">
        <v>317.0</v>
      </c>
      <c r="K1264" s="2">
        <v>255.0</v>
      </c>
      <c r="L1264" s="2">
        <v>3.0</v>
      </c>
      <c r="M1264" s="4">
        <v>6237.0</v>
      </c>
      <c r="N1264" s="2" t="s">
        <v>36</v>
      </c>
      <c r="O1264" s="2">
        <v>71.0</v>
      </c>
      <c r="P1264" s="2" t="s">
        <v>189</v>
      </c>
      <c r="Q1264" s="2" t="s">
        <v>32</v>
      </c>
      <c r="R1264" s="2">
        <v>37.0</v>
      </c>
      <c r="T1264" s="2" t="s">
        <v>58</v>
      </c>
      <c r="U1264" s="2" t="b">
        <v>0</v>
      </c>
      <c r="V1264" s="5">
        <v>0.0061</v>
      </c>
      <c r="W1264" s="5">
        <v>0.0118</v>
      </c>
      <c r="X1264" s="5">
        <v>7.2E-5</v>
      </c>
      <c r="Y1264" s="2">
        <v>24.45882353</v>
      </c>
      <c r="AA1264" s="2" t="s">
        <v>33</v>
      </c>
    </row>
    <row r="1265">
      <c r="A1265" s="2">
        <v>2868.0</v>
      </c>
      <c r="B1265" s="2" t="s">
        <v>3740</v>
      </c>
      <c r="C1265" s="2" t="s">
        <v>7</v>
      </c>
      <c r="D1265" s="2" t="s">
        <v>3741</v>
      </c>
      <c r="E1265" s="2" t="s">
        <v>3742</v>
      </c>
      <c r="F1265" s="6">
        <v>45879.625</v>
      </c>
      <c r="G1265" s="2">
        <v>63707.0</v>
      </c>
      <c r="H1265" s="2">
        <v>63707.0</v>
      </c>
      <c r="I1265" s="2">
        <v>56222.0</v>
      </c>
      <c r="J1265" s="2">
        <v>484.0</v>
      </c>
      <c r="K1265" s="2">
        <v>412.0</v>
      </c>
      <c r="L1265" s="2">
        <v>6.0</v>
      </c>
      <c r="M1265" s="4">
        <v>18260.0</v>
      </c>
      <c r="N1265" s="2" t="s">
        <v>30</v>
      </c>
      <c r="O1265" s="2">
        <v>70.0</v>
      </c>
      <c r="P1265" s="2" t="s">
        <v>189</v>
      </c>
      <c r="Q1265" s="2" t="s">
        <v>32</v>
      </c>
      <c r="R1265" s="2">
        <v>32.0</v>
      </c>
      <c r="U1265" s="2" t="b">
        <v>0</v>
      </c>
      <c r="V1265" s="5">
        <v>0.0073</v>
      </c>
      <c r="W1265" s="5">
        <v>0.0146</v>
      </c>
      <c r="X1265" s="5">
        <v>1.07E-4</v>
      </c>
      <c r="Y1265" s="2">
        <v>44.32038835</v>
      </c>
      <c r="Z1265" s="2">
        <v>3528.0</v>
      </c>
      <c r="AA1265" s="2" t="s">
        <v>33</v>
      </c>
    </row>
    <row r="1266">
      <c r="A1266" s="2">
        <v>2871.0</v>
      </c>
      <c r="B1266" s="2" t="s">
        <v>3743</v>
      </c>
      <c r="C1266" s="2" t="s">
        <v>7</v>
      </c>
      <c r="D1266" s="2" t="s">
        <v>3744</v>
      </c>
      <c r="E1266" s="2" t="s">
        <v>3745</v>
      </c>
      <c r="F1266" s="6">
        <v>45879.708333333336</v>
      </c>
      <c r="G1266" s="2">
        <v>48746.0</v>
      </c>
      <c r="H1266" s="2">
        <v>48746.0</v>
      </c>
      <c r="I1266" s="2">
        <v>41744.0</v>
      </c>
      <c r="J1266" s="2">
        <v>319.0</v>
      </c>
      <c r="K1266" s="2">
        <v>262.0</v>
      </c>
      <c r="L1266" s="2">
        <v>4.0</v>
      </c>
      <c r="M1266" s="4">
        <v>7645.0</v>
      </c>
      <c r="N1266" s="2" t="s">
        <v>36</v>
      </c>
      <c r="O1266" s="2">
        <v>71.0</v>
      </c>
      <c r="P1266" s="2" t="s">
        <v>31</v>
      </c>
      <c r="Q1266" s="2" t="s">
        <v>32</v>
      </c>
      <c r="R1266" s="2">
        <v>59.0</v>
      </c>
      <c r="T1266" s="2" t="s">
        <v>1785</v>
      </c>
      <c r="U1266" s="2" t="b">
        <v>0</v>
      </c>
      <c r="V1266" s="5">
        <v>0.0063</v>
      </c>
      <c r="W1266" s="5">
        <v>0.0153</v>
      </c>
      <c r="X1266" s="5">
        <v>9.6E-5</v>
      </c>
      <c r="Y1266" s="2">
        <v>29.17938931</v>
      </c>
      <c r="AA1266" s="2" t="s">
        <v>33</v>
      </c>
    </row>
    <row r="1267">
      <c r="A1267" s="2">
        <v>2870.0</v>
      </c>
      <c r="B1267" s="2" t="s">
        <v>3746</v>
      </c>
      <c r="C1267" s="2" t="s">
        <v>7</v>
      </c>
      <c r="D1267" s="2" t="s">
        <v>3747</v>
      </c>
      <c r="E1267" s="2" t="s">
        <v>3748</v>
      </c>
      <c r="F1267" s="6">
        <v>45879.708333333336</v>
      </c>
      <c r="G1267" s="2">
        <v>63745.0</v>
      </c>
      <c r="H1267" s="2">
        <v>63745.0</v>
      </c>
      <c r="I1267" s="2">
        <v>56221.0</v>
      </c>
      <c r="J1267" s="2">
        <v>389.0</v>
      </c>
      <c r="K1267" s="2">
        <v>316.0</v>
      </c>
      <c r="L1267" s="2">
        <v>8.0</v>
      </c>
      <c r="M1267" s="4">
        <v>29803.0</v>
      </c>
      <c r="N1267" s="2" t="s">
        <v>30</v>
      </c>
      <c r="O1267" s="2">
        <v>70.0</v>
      </c>
      <c r="P1267" s="2" t="s">
        <v>31</v>
      </c>
      <c r="Q1267" s="2" t="s">
        <v>32</v>
      </c>
      <c r="R1267" s="2">
        <v>42.0</v>
      </c>
      <c r="T1267" s="2" t="s">
        <v>47</v>
      </c>
      <c r="U1267" s="2" t="b">
        <v>0</v>
      </c>
      <c r="V1267" s="5">
        <v>0.0056</v>
      </c>
      <c r="W1267" s="5">
        <v>0.0253</v>
      </c>
      <c r="X1267" s="5">
        <v>1.42E-4</v>
      </c>
      <c r="Y1267" s="2">
        <v>94.31329114</v>
      </c>
      <c r="AA1267" s="2" t="s">
        <v>33</v>
      </c>
    </row>
    <row r="1268">
      <c r="A1268" s="2">
        <v>2873.0</v>
      </c>
      <c r="B1268" s="2" t="s">
        <v>3749</v>
      </c>
      <c r="C1268" s="2" t="s">
        <v>7</v>
      </c>
      <c r="D1268" s="2" t="s">
        <v>3750</v>
      </c>
      <c r="E1268" s="2" t="s">
        <v>3751</v>
      </c>
      <c r="F1268" s="6">
        <v>45880.458333333336</v>
      </c>
      <c r="G1268" s="2">
        <v>48759.0</v>
      </c>
      <c r="H1268" s="2">
        <v>48759.0</v>
      </c>
      <c r="I1268" s="2">
        <v>41530.0</v>
      </c>
      <c r="J1268" s="2">
        <v>313.0</v>
      </c>
      <c r="K1268" s="2">
        <v>239.0</v>
      </c>
      <c r="L1268" s="2">
        <v>4.0</v>
      </c>
      <c r="M1268" s="4">
        <v>11980.0</v>
      </c>
      <c r="N1268" s="2" t="s">
        <v>36</v>
      </c>
      <c r="O1268" s="2">
        <v>71.0</v>
      </c>
      <c r="P1268" s="2" t="s">
        <v>189</v>
      </c>
      <c r="Q1268" s="2" t="s">
        <v>32</v>
      </c>
      <c r="R1268" s="2">
        <v>50.0</v>
      </c>
      <c r="U1268" s="2" t="b">
        <v>1</v>
      </c>
      <c r="V1268" s="5">
        <v>0.0058</v>
      </c>
      <c r="W1268" s="5">
        <v>0.0167</v>
      </c>
      <c r="X1268" s="5">
        <v>9.6E-5</v>
      </c>
      <c r="Y1268" s="2">
        <v>50.12552301</v>
      </c>
      <c r="AA1268" s="2" t="s">
        <v>33</v>
      </c>
    </row>
    <row r="1269">
      <c r="A1269" s="2">
        <v>2872.0</v>
      </c>
      <c r="B1269" s="2" t="s">
        <v>3752</v>
      </c>
      <c r="C1269" s="2" t="s">
        <v>7</v>
      </c>
      <c r="D1269" s="2" t="s">
        <v>3753</v>
      </c>
      <c r="E1269" s="2" t="s">
        <v>3754</v>
      </c>
      <c r="F1269" s="6">
        <v>45880.458333333336</v>
      </c>
      <c r="G1269" s="2">
        <v>63785.0</v>
      </c>
      <c r="H1269" s="2">
        <v>63785.0</v>
      </c>
      <c r="I1269" s="2">
        <v>56006.0</v>
      </c>
      <c r="J1269" s="2">
        <v>360.0</v>
      </c>
      <c r="K1269" s="2">
        <v>299.0</v>
      </c>
      <c r="L1269" s="2">
        <v>4.0</v>
      </c>
      <c r="M1269" s="4">
        <v>30318.0</v>
      </c>
      <c r="N1269" s="2" t="s">
        <v>30</v>
      </c>
      <c r="O1269" s="2">
        <v>70.0</v>
      </c>
      <c r="P1269" s="2" t="s">
        <v>31</v>
      </c>
      <c r="Q1269" s="2" t="s">
        <v>32</v>
      </c>
      <c r="R1269" s="2">
        <v>39.0</v>
      </c>
      <c r="T1269" s="2" t="s">
        <v>405</v>
      </c>
      <c r="U1269" s="2" t="b">
        <v>0</v>
      </c>
      <c r="V1269" s="5">
        <v>0.0053</v>
      </c>
      <c r="W1269" s="5">
        <v>0.0134</v>
      </c>
      <c r="X1269" s="5">
        <v>7.1E-5</v>
      </c>
      <c r="Y1269" s="2">
        <v>101.3979933</v>
      </c>
      <c r="Z1269" s="2">
        <v>370.0</v>
      </c>
      <c r="AA1269" s="2" t="s">
        <v>33</v>
      </c>
    </row>
    <row r="1270">
      <c r="A1270" s="2">
        <v>2875.0</v>
      </c>
      <c r="B1270" s="2" t="s">
        <v>3755</v>
      </c>
      <c r="C1270" s="2" t="s">
        <v>7</v>
      </c>
      <c r="D1270" s="2" t="s">
        <v>3756</v>
      </c>
      <c r="E1270" s="2" t="s">
        <v>3757</v>
      </c>
      <c r="F1270" s="6">
        <v>45880.625</v>
      </c>
      <c r="G1270" s="2">
        <v>48799.0</v>
      </c>
      <c r="H1270" s="2">
        <v>48799.0</v>
      </c>
      <c r="I1270" s="2">
        <v>41835.0</v>
      </c>
      <c r="J1270" s="2">
        <v>308.0</v>
      </c>
      <c r="K1270" s="2">
        <v>234.0</v>
      </c>
      <c r="L1270" s="2">
        <v>2.0</v>
      </c>
      <c r="M1270" s="4">
        <v>3720.0</v>
      </c>
      <c r="N1270" s="2" t="s">
        <v>36</v>
      </c>
      <c r="O1270" s="2">
        <v>71.0</v>
      </c>
      <c r="P1270" s="2" t="s">
        <v>189</v>
      </c>
      <c r="Q1270" s="2" t="s">
        <v>32</v>
      </c>
      <c r="R1270" s="2">
        <v>32.0</v>
      </c>
      <c r="T1270" s="2" t="s">
        <v>47</v>
      </c>
      <c r="U1270" s="2" t="b">
        <v>0</v>
      </c>
      <c r="V1270" s="5">
        <v>0.0056</v>
      </c>
      <c r="W1270" s="5">
        <v>0.0085</v>
      </c>
      <c r="X1270" s="5">
        <v>4.8E-5</v>
      </c>
      <c r="Y1270" s="2">
        <v>15.8974359</v>
      </c>
      <c r="AA1270" s="2" t="s">
        <v>33</v>
      </c>
    </row>
    <row r="1271">
      <c r="A1271" s="2">
        <v>2874.0</v>
      </c>
      <c r="B1271" s="2" t="s">
        <v>3758</v>
      </c>
      <c r="C1271" s="2" t="s">
        <v>7</v>
      </c>
      <c r="D1271" s="2" t="s">
        <v>3759</v>
      </c>
      <c r="E1271" s="2" t="s">
        <v>3760</v>
      </c>
      <c r="F1271" s="6">
        <v>45880.625</v>
      </c>
      <c r="G1271" s="2">
        <v>63862.0</v>
      </c>
      <c r="H1271" s="2">
        <v>63862.0</v>
      </c>
      <c r="I1271" s="2">
        <v>56350.0</v>
      </c>
      <c r="J1271" s="2">
        <v>362.0</v>
      </c>
      <c r="K1271" s="2">
        <v>284.0</v>
      </c>
      <c r="L1271" s="2">
        <v>8.0</v>
      </c>
      <c r="M1271" s="4">
        <v>40660.0</v>
      </c>
      <c r="N1271" s="2" t="s">
        <v>30</v>
      </c>
      <c r="O1271" s="2">
        <v>70.0</v>
      </c>
      <c r="P1271" s="2" t="s">
        <v>189</v>
      </c>
      <c r="Q1271" s="2" t="s">
        <v>32</v>
      </c>
      <c r="R1271" s="2">
        <v>32.0</v>
      </c>
      <c r="U1271" s="2" t="b">
        <v>0</v>
      </c>
      <c r="V1271" s="5">
        <v>0.005</v>
      </c>
      <c r="W1271" s="5">
        <v>0.0282</v>
      </c>
      <c r="X1271" s="5">
        <v>1.42E-4</v>
      </c>
      <c r="Y1271" s="2">
        <v>143.1690141</v>
      </c>
      <c r="Z1271" s="2">
        <v>1594.0</v>
      </c>
      <c r="AA1271" s="2" t="s">
        <v>33</v>
      </c>
    </row>
    <row r="1272">
      <c r="A1272" s="2">
        <v>2877.0</v>
      </c>
      <c r="B1272" s="2" t="s">
        <v>3761</v>
      </c>
      <c r="C1272" s="2" t="s">
        <v>7</v>
      </c>
      <c r="D1272" s="2" t="s">
        <v>3762</v>
      </c>
      <c r="E1272" s="2" t="s">
        <v>3763</v>
      </c>
      <c r="F1272" s="6">
        <v>45880.708333333336</v>
      </c>
      <c r="G1272" s="2">
        <v>48788.0</v>
      </c>
      <c r="H1272" s="2">
        <v>48788.0</v>
      </c>
      <c r="I1272" s="2">
        <v>41860.0</v>
      </c>
      <c r="J1272" s="2">
        <v>364.0</v>
      </c>
      <c r="K1272" s="2">
        <v>295.0</v>
      </c>
      <c r="L1272" s="2">
        <v>3.0</v>
      </c>
      <c r="M1272" s="4">
        <v>5441.0</v>
      </c>
      <c r="N1272" s="2" t="s">
        <v>36</v>
      </c>
      <c r="O1272" s="2">
        <v>71.0</v>
      </c>
      <c r="P1272" s="2" t="s">
        <v>31</v>
      </c>
      <c r="Q1272" s="2" t="s">
        <v>32</v>
      </c>
      <c r="R1272" s="2">
        <v>42.0</v>
      </c>
      <c r="T1272" s="2" t="s">
        <v>58</v>
      </c>
      <c r="U1272" s="2" t="b">
        <v>0</v>
      </c>
      <c r="V1272" s="5">
        <v>0.007</v>
      </c>
      <c r="W1272" s="5">
        <v>0.0102</v>
      </c>
      <c r="X1272" s="5">
        <v>7.2E-5</v>
      </c>
      <c r="Y1272" s="2">
        <v>18.4440678</v>
      </c>
      <c r="AA1272" s="2" t="s">
        <v>33</v>
      </c>
    </row>
    <row r="1273">
      <c r="A1273" s="2">
        <v>2876.0</v>
      </c>
      <c r="B1273" s="2" t="s">
        <v>3764</v>
      </c>
      <c r="C1273" s="2" t="s">
        <v>7</v>
      </c>
      <c r="D1273" s="2" t="s">
        <v>3765</v>
      </c>
      <c r="E1273" s="2" t="s">
        <v>3766</v>
      </c>
      <c r="F1273" s="6">
        <v>45880.708333333336</v>
      </c>
      <c r="G1273" s="2">
        <v>63864.0</v>
      </c>
      <c r="H1273" s="2">
        <v>63864.0</v>
      </c>
      <c r="I1273" s="2">
        <v>56295.0</v>
      </c>
      <c r="J1273" s="2">
        <v>580.0</v>
      </c>
      <c r="K1273" s="2">
        <v>478.0</v>
      </c>
      <c r="L1273" s="2">
        <v>10.0</v>
      </c>
      <c r="M1273" s="4">
        <v>30894.0</v>
      </c>
      <c r="N1273" s="2" t="s">
        <v>30</v>
      </c>
      <c r="O1273" s="2">
        <v>70.0</v>
      </c>
      <c r="P1273" s="2" t="s">
        <v>189</v>
      </c>
      <c r="Q1273" s="2" t="s">
        <v>32</v>
      </c>
      <c r="R1273" s="2">
        <v>33.0</v>
      </c>
      <c r="U1273" s="2" t="b">
        <v>0</v>
      </c>
      <c r="V1273" s="5">
        <v>0.0085</v>
      </c>
      <c r="W1273" s="5">
        <v>0.0209</v>
      </c>
      <c r="X1273" s="5">
        <v>1.78E-4</v>
      </c>
      <c r="Y1273" s="2">
        <v>64.63179916</v>
      </c>
      <c r="Z1273" s="2">
        <v>4801.0</v>
      </c>
      <c r="AA1273" s="2" t="s">
        <v>33</v>
      </c>
    </row>
    <row r="1274">
      <c r="A1274" s="2">
        <v>2879.0</v>
      </c>
      <c r="B1274" s="2" t="s">
        <v>3767</v>
      </c>
      <c r="C1274" s="2" t="s">
        <v>7</v>
      </c>
      <c r="D1274" s="2" t="s">
        <v>3768</v>
      </c>
      <c r="E1274" s="2" t="s">
        <v>3769</v>
      </c>
      <c r="F1274" s="6">
        <v>45881.416666666664</v>
      </c>
      <c r="G1274" s="2">
        <v>48900.0</v>
      </c>
      <c r="H1274" s="2">
        <v>48900.0</v>
      </c>
      <c r="I1274" s="2">
        <v>41352.0</v>
      </c>
      <c r="J1274" s="2">
        <v>233.0</v>
      </c>
      <c r="K1274" s="2">
        <v>185.0</v>
      </c>
      <c r="L1274" s="2">
        <v>4.0</v>
      </c>
      <c r="M1274" s="4">
        <v>17341.0</v>
      </c>
      <c r="N1274" s="2" t="s">
        <v>36</v>
      </c>
      <c r="O1274" s="2">
        <v>71.0</v>
      </c>
      <c r="P1274" s="2" t="s">
        <v>189</v>
      </c>
      <c r="Q1274" s="2" t="s">
        <v>32</v>
      </c>
      <c r="R1274" s="2">
        <v>29.0</v>
      </c>
      <c r="T1274" s="2" t="s">
        <v>3770</v>
      </c>
      <c r="U1274" s="2" t="b">
        <v>0</v>
      </c>
      <c r="V1274" s="5">
        <v>0.0045</v>
      </c>
      <c r="W1274" s="5">
        <v>0.0216</v>
      </c>
      <c r="X1274" s="5">
        <v>9.7E-5</v>
      </c>
      <c r="Y1274" s="2">
        <v>93.73513514</v>
      </c>
    </row>
    <row r="1275">
      <c r="A1275" s="2">
        <v>2878.0</v>
      </c>
      <c r="B1275" s="2" t="s">
        <v>3771</v>
      </c>
      <c r="C1275" s="2" t="s">
        <v>7</v>
      </c>
      <c r="D1275" s="2" t="s">
        <v>3772</v>
      </c>
      <c r="E1275" s="2" t="s">
        <v>3773</v>
      </c>
      <c r="F1275" s="6">
        <v>45881.416666666664</v>
      </c>
      <c r="G1275" s="2">
        <v>63859.0</v>
      </c>
      <c r="H1275" s="2">
        <v>63859.0</v>
      </c>
      <c r="I1275" s="2">
        <v>55794.0</v>
      </c>
      <c r="J1275" s="2">
        <v>327.0</v>
      </c>
      <c r="K1275" s="2">
        <v>257.0</v>
      </c>
      <c r="L1275" s="2">
        <v>9.0</v>
      </c>
      <c r="M1275" s="4">
        <v>25608.0</v>
      </c>
      <c r="N1275" s="2" t="s">
        <v>30</v>
      </c>
      <c r="O1275" s="2">
        <v>70.0</v>
      </c>
      <c r="P1275" s="2" t="s">
        <v>31</v>
      </c>
      <c r="Q1275" s="2" t="s">
        <v>32</v>
      </c>
      <c r="R1275" s="2">
        <v>24.0</v>
      </c>
      <c r="T1275" s="7" t="str">
        <f>IFERROR(__xludf.DUMMYFUNCTION("AI(""has offer Come X Pay X"",D1275)"),"I am unable to fulfill this request. The query ""has offer Come X Pay X"" is not clear. Please provide a request that asks me to generate text, retrieve information, or categorize content.")</f>
        <v>I am unable to fulfill this request. The query "has offer Come X Pay X" is not clear. Please provide a request that asks me to generate text, retrieve information, or categorize content.</v>
      </c>
      <c r="U1275" s="2" t="b">
        <v>0</v>
      </c>
      <c r="V1275" s="5">
        <v>0.0046</v>
      </c>
      <c r="W1275" s="5">
        <v>0.035</v>
      </c>
      <c r="X1275" s="5">
        <v>1.61E-4</v>
      </c>
      <c r="Y1275" s="2">
        <v>99.64202335</v>
      </c>
      <c r="AA1275" s="2" t="s">
        <v>33</v>
      </c>
    </row>
    <row r="1276">
      <c r="A1276" s="2">
        <v>2881.0</v>
      </c>
      <c r="B1276" s="2" t="s">
        <v>3774</v>
      </c>
      <c r="C1276" s="2" t="s">
        <v>7</v>
      </c>
      <c r="D1276" s="2" t="s">
        <v>3775</v>
      </c>
      <c r="E1276" s="2" t="e">
        <v>#N/A</v>
      </c>
      <c r="F1276" s="6">
        <v>45881.5</v>
      </c>
      <c r="G1276" s="2">
        <v>48924.0</v>
      </c>
      <c r="H1276" s="2">
        <v>48924.0</v>
      </c>
      <c r="I1276" s="2">
        <v>41719.0</v>
      </c>
      <c r="J1276" s="2">
        <v>289.0</v>
      </c>
      <c r="K1276" s="2">
        <v>227.0</v>
      </c>
      <c r="L1276" s="2">
        <v>3.0</v>
      </c>
      <c r="M1276" s="4">
        <v>6073.0</v>
      </c>
      <c r="N1276" s="2" t="s">
        <v>36</v>
      </c>
      <c r="O1276" s="2">
        <v>71.0</v>
      </c>
      <c r="P1276" s="2" t="s">
        <v>189</v>
      </c>
      <c r="Q1276" s="2" t="s">
        <v>32</v>
      </c>
      <c r="R1276" s="2">
        <v>41.0</v>
      </c>
      <c r="T1276" s="2" t="s">
        <v>47</v>
      </c>
      <c r="U1276" s="2" t="b">
        <v>0</v>
      </c>
      <c r="V1276" s="5">
        <v>0.0054</v>
      </c>
      <c r="W1276" s="5">
        <v>0.0132</v>
      </c>
      <c r="X1276" s="5">
        <v>7.2E-5</v>
      </c>
      <c r="Y1276" s="2">
        <v>26.75330396</v>
      </c>
      <c r="AA1276" s="2" t="s">
        <v>33</v>
      </c>
    </row>
    <row r="1277">
      <c r="A1277" s="2">
        <v>2880.0</v>
      </c>
      <c r="B1277" s="2" t="s">
        <v>3776</v>
      </c>
      <c r="C1277" s="2" t="s">
        <v>7</v>
      </c>
      <c r="D1277" s="2" t="s">
        <v>3777</v>
      </c>
      <c r="E1277" s="2" t="e">
        <v>#N/A</v>
      </c>
      <c r="F1277" s="6">
        <v>45881.5</v>
      </c>
      <c r="G1277" s="2">
        <v>63989.0</v>
      </c>
      <c r="H1277" s="2">
        <v>63989.0</v>
      </c>
      <c r="I1277" s="2">
        <v>56195.0</v>
      </c>
      <c r="J1277" s="2">
        <v>342.0</v>
      </c>
      <c r="K1277" s="2">
        <v>286.0</v>
      </c>
      <c r="L1277" s="2">
        <v>5.0</v>
      </c>
      <c r="M1277" s="4">
        <v>8698.0</v>
      </c>
      <c r="N1277" s="2" t="s">
        <v>30</v>
      </c>
      <c r="O1277" s="2">
        <v>70.0</v>
      </c>
      <c r="P1277" s="2" t="s">
        <v>189</v>
      </c>
      <c r="Q1277" s="2" t="s">
        <v>32</v>
      </c>
      <c r="R1277" s="2">
        <v>34.0</v>
      </c>
      <c r="U1277" s="2" t="b">
        <v>0</v>
      </c>
      <c r="V1277" s="5">
        <v>0.0051</v>
      </c>
      <c r="W1277" s="5">
        <v>0.0175</v>
      </c>
      <c r="X1277" s="5">
        <v>8.9E-5</v>
      </c>
      <c r="Y1277" s="2">
        <v>30.41258741</v>
      </c>
      <c r="AA1277" s="2" t="s">
        <v>33</v>
      </c>
    </row>
    <row r="1278">
      <c r="A1278" s="2">
        <v>2883.0</v>
      </c>
      <c r="B1278" s="2" t="s">
        <v>3778</v>
      </c>
      <c r="C1278" s="2" t="s">
        <v>7</v>
      </c>
      <c r="D1278" s="2" t="s">
        <v>3779</v>
      </c>
      <c r="E1278" s="2" t="s">
        <v>3780</v>
      </c>
      <c r="F1278" s="6">
        <v>45881.583333333336</v>
      </c>
      <c r="G1278" s="2">
        <v>48860.0</v>
      </c>
      <c r="H1278" s="2">
        <v>48860.0</v>
      </c>
      <c r="I1278" s="2">
        <v>41801.0</v>
      </c>
      <c r="J1278" s="2">
        <v>335.0</v>
      </c>
      <c r="K1278" s="2">
        <v>267.0</v>
      </c>
      <c r="L1278" s="2">
        <v>3.0</v>
      </c>
      <c r="M1278" s="4">
        <v>5487.0</v>
      </c>
      <c r="N1278" s="2" t="s">
        <v>36</v>
      </c>
      <c r="O1278" s="2">
        <v>71.0</v>
      </c>
      <c r="P1278" s="2" t="s">
        <v>189</v>
      </c>
      <c r="Q1278" s="2" t="s">
        <v>32</v>
      </c>
      <c r="R1278" s="2">
        <v>44.0</v>
      </c>
      <c r="U1278" s="2" t="b">
        <v>0</v>
      </c>
      <c r="V1278" s="5">
        <v>0.0064</v>
      </c>
      <c r="W1278" s="5">
        <v>0.0112</v>
      </c>
      <c r="X1278" s="5">
        <v>7.2E-5</v>
      </c>
      <c r="Y1278" s="2">
        <v>20.5505618</v>
      </c>
      <c r="AA1278" s="2" t="s">
        <v>33</v>
      </c>
    </row>
    <row r="1279">
      <c r="A1279" s="2">
        <v>2882.0</v>
      </c>
      <c r="B1279" s="2" t="s">
        <v>3781</v>
      </c>
      <c r="C1279" s="2" t="s">
        <v>7</v>
      </c>
      <c r="D1279" s="2" t="s">
        <v>3782</v>
      </c>
      <c r="E1279" s="2" t="s">
        <v>3783</v>
      </c>
      <c r="F1279" s="6">
        <v>45881.583333333336</v>
      </c>
      <c r="G1279" s="2">
        <v>63913.0</v>
      </c>
      <c r="H1279" s="2">
        <v>63913.0</v>
      </c>
      <c r="I1279" s="2">
        <v>56211.0</v>
      </c>
      <c r="J1279" s="2">
        <v>535.0</v>
      </c>
      <c r="K1279" s="2">
        <v>431.0</v>
      </c>
      <c r="L1279" s="2">
        <v>7.0</v>
      </c>
      <c r="M1279" s="4">
        <v>14636.0</v>
      </c>
      <c r="N1279" s="2" t="s">
        <v>30</v>
      </c>
      <c r="O1279" s="2">
        <v>70.0</v>
      </c>
      <c r="P1279" s="2" t="s">
        <v>31</v>
      </c>
      <c r="Q1279" s="2" t="s">
        <v>32</v>
      </c>
      <c r="R1279" s="2">
        <v>37.0</v>
      </c>
      <c r="T1279" s="2" t="s">
        <v>47</v>
      </c>
      <c r="U1279" s="2" t="b">
        <v>0</v>
      </c>
      <c r="V1279" s="5">
        <v>0.0077</v>
      </c>
      <c r="W1279" s="5">
        <v>0.0162</v>
      </c>
      <c r="X1279" s="5">
        <v>1.25E-4</v>
      </c>
      <c r="Y1279" s="2">
        <v>33.95823666</v>
      </c>
      <c r="Z1279" s="2">
        <v>5083.0</v>
      </c>
      <c r="AA1279" s="2" t="s">
        <v>33</v>
      </c>
    </row>
    <row r="1280">
      <c r="A1280" s="2">
        <v>2900.0</v>
      </c>
      <c r="B1280" s="2" t="s">
        <v>3784</v>
      </c>
      <c r="C1280" s="2" t="s">
        <v>7</v>
      </c>
      <c r="D1280" s="2" t="s">
        <v>3336</v>
      </c>
      <c r="E1280" s="2" t="s">
        <v>3337</v>
      </c>
      <c r="F1280" s="6">
        <v>45882.47083333333</v>
      </c>
      <c r="G1280" s="2">
        <v>63925.0</v>
      </c>
      <c r="H1280" s="2">
        <v>63925.0</v>
      </c>
      <c r="I1280" s="2">
        <v>56213.0</v>
      </c>
      <c r="J1280" s="2">
        <v>308.0</v>
      </c>
      <c r="K1280" s="2">
        <v>258.0</v>
      </c>
      <c r="L1280" s="2">
        <v>2.0</v>
      </c>
      <c r="M1280" s="4">
        <v>3034.0</v>
      </c>
      <c r="N1280" s="2" t="s">
        <v>30</v>
      </c>
      <c r="O1280" s="2">
        <v>70.0</v>
      </c>
      <c r="P1280" s="2" t="s">
        <v>189</v>
      </c>
      <c r="Q1280" s="2" t="s">
        <v>32</v>
      </c>
      <c r="R1280" s="2">
        <v>35.0</v>
      </c>
      <c r="U1280" s="2" t="b">
        <v>0</v>
      </c>
      <c r="V1280" s="5">
        <v>0.0046</v>
      </c>
      <c r="W1280" s="5">
        <v>0.0078</v>
      </c>
      <c r="X1280" s="5">
        <v>3.6E-5</v>
      </c>
      <c r="Y1280" s="2">
        <v>11.75968992</v>
      </c>
      <c r="AA1280" s="2" t="s">
        <v>33</v>
      </c>
    </row>
    <row r="1281">
      <c r="A1281" s="2">
        <v>2901.0</v>
      </c>
      <c r="B1281" s="2" t="s">
        <v>3785</v>
      </c>
      <c r="C1281" s="2" t="s">
        <v>7</v>
      </c>
      <c r="D1281" s="2" t="s">
        <v>3333</v>
      </c>
      <c r="E1281" s="2" t="s">
        <v>3334</v>
      </c>
      <c r="F1281" s="6">
        <v>45882.475</v>
      </c>
      <c r="G1281" s="2">
        <v>48943.0</v>
      </c>
      <c r="H1281" s="2">
        <v>48943.0</v>
      </c>
      <c r="I1281" s="2">
        <v>41614.0</v>
      </c>
      <c r="J1281" s="2">
        <v>288.0</v>
      </c>
      <c r="K1281" s="2">
        <v>230.0</v>
      </c>
      <c r="L1281" s="2">
        <v>2.0</v>
      </c>
      <c r="M1281" s="4">
        <v>4298.0</v>
      </c>
      <c r="N1281" s="2" t="s">
        <v>36</v>
      </c>
      <c r="O1281" s="2">
        <v>71.0</v>
      </c>
      <c r="P1281" s="2" t="s">
        <v>189</v>
      </c>
      <c r="Q1281" s="2" t="s">
        <v>32</v>
      </c>
      <c r="R1281" s="2">
        <v>43.0</v>
      </c>
      <c r="T1281" s="2" t="s">
        <v>162</v>
      </c>
      <c r="U1281" s="2" t="b">
        <v>0</v>
      </c>
      <c r="V1281" s="5">
        <v>0.0055</v>
      </c>
      <c r="W1281" s="5">
        <v>0.0087</v>
      </c>
      <c r="X1281" s="5">
        <v>4.8E-5</v>
      </c>
      <c r="Y1281" s="2">
        <v>18.68695652</v>
      </c>
      <c r="AA1281" s="2" t="s">
        <v>33</v>
      </c>
    </row>
    <row r="1282">
      <c r="A1282" s="2">
        <v>2903.0</v>
      </c>
      <c r="B1282" s="2" t="s">
        <v>3786</v>
      </c>
      <c r="C1282" s="2" t="s">
        <v>7</v>
      </c>
      <c r="D1282" s="2" t="s">
        <v>3787</v>
      </c>
      <c r="E1282" s="2" t="s">
        <v>3788</v>
      </c>
      <c r="F1282" s="6">
        <v>45882.625</v>
      </c>
      <c r="G1282" s="2">
        <v>48848.0</v>
      </c>
      <c r="H1282" s="2">
        <v>48848.0</v>
      </c>
      <c r="I1282" s="2">
        <v>41877.0</v>
      </c>
      <c r="J1282" s="2">
        <v>276.0</v>
      </c>
      <c r="K1282" s="2">
        <v>222.0</v>
      </c>
      <c r="L1282" s="2">
        <v>2.0</v>
      </c>
      <c r="M1282" s="4">
        <v>5187.0</v>
      </c>
      <c r="N1282" s="2" t="s">
        <v>36</v>
      </c>
      <c r="O1282" s="2">
        <v>71.0</v>
      </c>
      <c r="P1282" s="2" t="s">
        <v>189</v>
      </c>
      <c r="Q1282" s="2" t="s">
        <v>32</v>
      </c>
      <c r="R1282" s="2">
        <v>44.0</v>
      </c>
      <c r="T1282" s="2" t="s">
        <v>162</v>
      </c>
      <c r="U1282" s="2" t="b">
        <v>0</v>
      </c>
      <c r="V1282" s="5">
        <v>0.0053</v>
      </c>
      <c r="W1282" s="5">
        <v>0.009</v>
      </c>
      <c r="X1282" s="5">
        <v>4.8E-5</v>
      </c>
      <c r="Y1282" s="2">
        <v>23.36486486</v>
      </c>
      <c r="AA1282" s="2" t="s">
        <v>33</v>
      </c>
    </row>
    <row r="1283">
      <c r="A1283" s="2">
        <v>2902.0</v>
      </c>
      <c r="B1283" s="2" t="s">
        <v>3789</v>
      </c>
      <c r="C1283" s="2" t="s">
        <v>7</v>
      </c>
      <c r="D1283" s="2" t="s">
        <v>3790</v>
      </c>
      <c r="E1283" s="2" t="s">
        <v>3791</v>
      </c>
      <c r="F1283" s="6">
        <v>45882.625</v>
      </c>
      <c r="G1283" s="2">
        <v>63905.0</v>
      </c>
      <c r="H1283" s="2">
        <v>63905.0</v>
      </c>
      <c r="I1283" s="2">
        <v>56301.0</v>
      </c>
      <c r="J1283" s="2">
        <v>293.0</v>
      </c>
      <c r="K1283" s="2">
        <v>224.0</v>
      </c>
      <c r="L1283" s="2">
        <v>4.0</v>
      </c>
      <c r="M1283" s="4">
        <v>7732.0</v>
      </c>
      <c r="N1283" s="2" t="s">
        <v>30</v>
      </c>
      <c r="O1283" s="2">
        <v>70.0</v>
      </c>
      <c r="P1283" s="2" t="s">
        <v>189</v>
      </c>
      <c r="Q1283" s="2" t="s">
        <v>32</v>
      </c>
      <c r="R1283" s="2">
        <v>43.0</v>
      </c>
      <c r="T1283" s="2" t="s">
        <v>47</v>
      </c>
      <c r="U1283" s="2" t="b">
        <v>0</v>
      </c>
      <c r="V1283" s="5">
        <v>0.004</v>
      </c>
      <c r="W1283" s="5">
        <v>0.0179</v>
      </c>
      <c r="X1283" s="5">
        <v>7.1E-5</v>
      </c>
      <c r="Y1283" s="2">
        <v>34.51785714</v>
      </c>
      <c r="Z1283" s="2">
        <v>5931.0</v>
      </c>
      <c r="AA1283" s="2" t="s">
        <v>33</v>
      </c>
    </row>
    <row r="1284">
      <c r="A1284" s="2">
        <v>2905.0</v>
      </c>
      <c r="B1284" s="2" t="s">
        <v>3792</v>
      </c>
      <c r="C1284" s="2" t="s">
        <v>7</v>
      </c>
      <c r="D1284" s="2" t="s">
        <v>3793</v>
      </c>
      <c r="E1284" s="2" t="s">
        <v>3794</v>
      </c>
      <c r="F1284" s="6">
        <v>45882.708333333336</v>
      </c>
      <c r="G1284" s="2">
        <v>48858.0</v>
      </c>
      <c r="H1284" s="2">
        <v>48858.0</v>
      </c>
      <c r="I1284" s="2">
        <v>41817.0</v>
      </c>
      <c r="J1284" s="2">
        <v>260.0</v>
      </c>
      <c r="K1284" s="2">
        <v>208.0</v>
      </c>
      <c r="L1284" s="2">
        <v>4.0</v>
      </c>
      <c r="M1284" s="4">
        <v>15771.0</v>
      </c>
      <c r="N1284" s="2" t="s">
        <v>36</v>
      </c>
      <c r="O1284" s="2">
        <v>71.0</v>
      </c>
      <c r="P1284" s="2" t="s">
        <v>189</v>
      </c>
      <c r="Q1284" s="2" t="s">
        <v>32</v>
      </c>
      <c r="R1284" s="2">
        <v>47.0</v>
      </c>
      <c r="T1284" s="2" t="s">
        <v>47</v>
      </c>
      <c r="U1284" s="2" t="b">
        <v>0</v>
      </c>
      <c r="V1284" s="5">
        <v>0.005</v>
      </c>
      <c r="W1284" s="5">
        <v>0.0192</v>
      </c>
      <c r="X1284" s="5">
        <v>9.6E-5</v>
      </c>
      <c r="Y1284" s="2">
        <v>75.82211538</v>
      </c>
      <c r="AA1284" s="2" t="s">
        <v>33</v>
      </c>
    </row>
    <row r="1285">
      <c r="A1285" s="2">
        <v>2904.0</v>
      </c>
      <c r="B1285" s="2" t="s">
        <v>3795</v>
      </c>
      <c r="C1285" s="2" t="s">
        <v>7</v>
      </c>
      <c r="D1285" s="2" t="s">
        <v>3796</v>
      </c>
      <c r="E1285" s="2" t="s">
        <v>3797</v>
      </c>
      <c r="F1285" s="6">
        <v>45882.708333333336</v>
      </c>
      <c r="G1285" s="2">
        <v>63890.0</v>
      </c>
      <c r="H1285" s="2">
        <v>63890.0</v>
      </c>
      <c r="I1285" s="2">
        <v>56049.0</v>
      </c>
      <c r="J1285" s="2">
        <v>339.0</v>
      </c>
      <c r="K1285" s="2">
        <v>276.0</v>
      </c>
      <c r="L1285" s="2">
        <v>2.0</v>
      </c>
      <c r="M1285" s="4">
        <v>2685.0</v>
      </c>
      <c r="N1285" s="2" t="s">
        <v>30</v>
      </c>
      <c r="O1285" s="2">
        <v>70.0</v>
      </c>
      <c r="P1285" s="2" t="s">
        <v>189</v>
      </c>
      <c r="Q1285" s="2" t="s">
        <v>32</v>
      </c>
      <c r="R1285" s="2">
        <v>40.0</v>
      </c>
      <c r="T1285" s="2" t="s">
        <v>47</v>
      </c>
      <c r="U1285" s="2" t="b">
        <v>0</v>
      </c>
      <c r="V1285" s="5">
        <v>0.0049</v>
      </c>
      <c r="W1285" s="5">
        <v>0.0072</v>
      </c>
      <c r="X1285" s="5">
        <v>3.6E-5</v>
      </c>
      <c r="Y1285" s="2">
        <v>9.72826087</v>
      </c>
      <c r="AA1285" s="2" t="s">
        <v>33</v>
      </c>
    </row>
    <row r="1286">
      <c r="A1286" s="2">
        <v>2920.0</v>
      </c>
      <c r="B1286" s="2" t="s">
        <v>3798</v>
      </c>
      <c r="C1286" s="2" t="s">
        <v>7</v>
      </c>
      <c r="D1286" s="2" t="s">
        <v>3799</v>
      </c>
      <c r="F1286" s="6">
        <v>45882.73611111111</v>
      </c>
      <c r="G1286" s="2">
        <v>48224.0</v>
      </c>
      <c r="H1286" s="2">
        <v>48218.0</v>
      </c>
      <c r="I1286" s="2">
        <v>41863.0</v>
      </c>
      <c r="J1286" s="2">
        <v>347.0</v>
      </c>
      <c r="K1286" s="2">
        <v>276.0</v>
      </c>
      <c r="L1286" s="2">
        <v>0.0</v>
      </c>
      <c r="M1286" s="2">
        <v>0.0</v>
      </c>
      <c r="N1286" s="2" t="s">
        <v>3800</v>
      </c>
      <c r="O1286" s="2">
        <v>257.0</v>
      </c>
      <c r="P1286" s="2" t="s">
        <v>31</v>
      </c>
      <c r="Q1286" s="2" t="s">
        <v>32</v>
      </c>
      <c r="R1286" s="2">
        <v>12.0</v>
      </c>
      <c r="T1286" s="2" t="s">
        <v>47</v>
      </c>
      <c r="U1286" s="2" t="b">
        <v>0</v>
      </c>
      <c r="V1286" s="5">
        <v>0.0066</v>
      </c>
      <c r="W1286" s="5">
        <v>0.0</v>
      </c>
      <c r="X1286" s="5">
        <v>0.0</v>
      </c>
      <c r="Y1286" s="2">
        <v>0.0</v>
      </c>
    </row>
    <row r="1287">
      <c r="A1287" s="2">
        <v>2922.0</v>
      </c>
      <c r="B1287" s="2" t="s">
        <v>3801</v>
      </c>
      <c r="C1287" s="2" t="s">
        <v>7</v>
      </c>
      <c r="D1287" s="2" t="s">
        <v>3802</v>
      </c>
      <c r="F1287" s="6">
        <v>45882.739583333336</v>
      </c>
      <c r="G1287" s="2">
        <v>59054.0</v>
      </c>
      <c r="H1287" s="2">
        <v>59054.0</v>
      </c>
      <c r="I1287" s="2">
        <v>52695.0</v>
      </c>
      <c r="J1287" s="2">
        <v>461.0</v>
      </c>
      <c r="K1287" s="2">
        <v>372.0</v>
      </c>
      <c r="L1287" s="2">
        <v>1.0</v>
      </c>
      <c r="M1287" s="2">
        <v>0.0</v>
      </c>
      <c r="N1287" s="2" t="s">
        <v>3803</v>
      </c>
      <c r="O1287" s="2">
        <v>258.0</v>
      </c>
      <c r="P1287" s="2" t="s">
        <v>31</v>
      </c>
      <c r="Q1287" s="2" t="s">
        <v>32</v>
      </c>
      <c r="R1287" s="2">
        <v>34.0</v>
      </c>
      <c r="T1287" s="2" t="s">
        <v>47</v>
      </c>
      <c r="U1287" s="2" t="b">
        <v>0</v>
      </c>
      <c r="V1287" s="5">
        <v>0.0071</v>
      </c>
      <c r="W1287" s="5">
        <v>0.0027</v>
      </c>
      <c r="X1287" s="5">
        <v>1.9E-5</v>
      </c>
      <c r="Y1287" s="2">
        <v>0.0</v>
      </c>
    </row>
    <row r="1288">
      <c r="A1288" s="2">
        <v>2924.0</v>
      </c>
      <c r="B1288" s="2" t="s">
        <v>3804</v>
      </c>
      <c r="C1288" s="2" t="s">
        <v>7</v>
      </c>
      <c r="D1288" s="2" t="s">
        <v>3805</v>
      </c>
      <c r="E1288" s="2" t="s">
        <v>3806</v>
      </c>
      <c r="F1288" s="6">
        <v>45883.486805555556</v>
      </c>
      <c r="G1288" s="2">
        <v>63828.0</v>
      </c>
      <c r="H1288" s="2">
        <v>63828.0</v>
      </c>
      <c r="I1288" s="2">
        <v>56198.0</v>
      </c>
      <c r="J1288" s="2">
        <v>386.0</v>
      </c>
      <c r="K1288" s="2">
        <v>301.0</v>
      </c>
      <c r="L1288" s="2">
        <v>3.0</v>
      </c>
      <c r="M1288" s="4">
        <v>2955.0</v>
      </c>
      <c r="N1288" s="2" t="s">
        <v>30</v>
      </c>
      <c r="O1288" s="2">
        <v>70.0</v>
      </c>
      <c r="P1288" s="2" t="s">
        <v>189</v>
      </c>
      <c r="Q1288" s="2" t="s">
        <v>32</v>
      </c>
      <c r="R1288" s="2">
        <v>28.0</v>
      </c>
      <c r="T1288" s="2" t="s">
        <v>47</v>
      </c>
      <c r="U1288" s="2" t="b">
        <v>0</v>
      </c>
      <c r="V1288" s="5">
        <v>0.0054</v>
      </c>
      <c r="W1288" s="5">
        <v>0.01</v>
      </c>
      <c r="X1288" s="5">
        <v>5.3E-5</v>
      </c>
      <c r="Y1288" s="2">
        <v>9.817275748</v>
      </c>
      <c r="AA1288" s="2" t="s">
        <v>33</v>
      </c>
    </row>
    <row r="1289">
      <c r="A1289" s="2">
        <v>2925.0</v>
      </c>
      <c r="B1289" s="2" t="s">
        <v>3807</v>
      </c>
      <c r="C1289" s="2" t="s">
        <v>7</v>
      </c>
      <c r="D1289" s="2" t="s">
        <v>3808</v>
      </c>
      <c r="E1289" s="2" t="s">
        <v>3809</v>
      </c>
      <c r="F1289" s="6">
        <v>45883.48819444444</v>
      </c>
      <c r="G1289" s="2">
        <v>48812.0</v>
      </c>
      <c r="H1289" s="2">
        <v>48812.0</v>
      </c>
      <c r="I1289" s="2">
        <v>41700.0</v>
      </c>
      <c r="J1289" s="2">
        <v>329.0</v>
      </c>
      <c r="K1289" s="2">
        <v>246.0</v>
      </c>
      <c r="L1289" s="2">
        <v>2.0</v>
      </c>
      <c r="M1289" s="4">
        <v>3462.0</v>
      </c>
      <c r="N1289" s="2" t="s">
        <v>36</v>
      </c>
      <c r="O1289" s="2">
        <v>71.0</v>
      </c>
      <c r="P1289" s="2" t="s">
        <v>189</v>
      </c>
      <c r="Q1289" s="2" t="s">
        <v>32</v>
      </c>
      <c r="R1289" s="2">
        <v>29.0</v>
      </c>
      <c r="T1289" s="2" t="s">
        <v>47</v>
      </c>
      <c r="U1289" s="2" t="b">
        <v>0</v>
      </c>
      <c r="V1289" s="5">
        <v>0.0059</v>
      </c>
      <c r="W1289" s="5">
        <v>0.0081</v>
      </c>
      <c r="X1289" s="5">
        <v>4.8E-5</v>
      </c>
      <c r="Y1289" s="2">
        <v>14.07317073</v>
      </c>
      <c r="AA1289" s="2" t="s">
        <v>33</v>
      </c>
    </row>
    <row r="1290">
      <c r="A1290" s="2">
        <v>2927.0</v>
      </c>
      <c r="B1290" s="2" t="s">
        <v>3810</v>
      </c>
      <c r="C1290" s="2" t="s">
        <v>7</v>
      </c>
      <c r="D1290" s="2" t="s">
        <v>3811</v>
      </c>
      <c r="E1290" s="2" t="s">
        <v>3812</v>
      </c>
      <c r="F1290" s="6">
        <v>45883.625</v>
      </c>
      <c r="G1290" s="2">
        <v>48802.0</v>
      </c>
      <c r="H1290" s="2">
        <v>48802.0</v>
      </c>
      <c r="I1290" s="2">
        <v>41877.0</v>
      </c>
      <c r="J1290" s="2">
        <v>361.0</v>
      </c>
      <c r="K1290" s="2">
        <v>273.0</v>
      </c>
      <c r="L1290" s="2">
        <v>5.0</v>
      </c>
      <c r="M1290" s="4">
        <v>12905.0</v>
      </c>
      <c r="N1290" s="2" t="s">
        <v>36</v>
      </c>
      <c r="O1290" s="2">
        <v>71.0</v>
      </c>
      <c r="P1290" s="2" t="s">
        <v>31</v>
      </c>
      <c r="Q1290" s="2" t="s">
        <v>32</v>
      </c>
      <c r="R1290" s="2">
        <v>39.0</v>
      </c>
      <c r="U1290" s="2" t="b">
        <v>1</v>
      </c>
      <c r="V1290" s="5">
        <v>0.0065</v>
      </c>
      <c r="W1290" s="5">
        <v>0.0183</v>
      </c>
      <c r="X1290" s="5">
        <v>1.19E-4</v>
      </c>
      <c r="Y1290" s="2">
        <v>47.27106227</v>
      </c>
      <c r="AA1290" s="2" t="s">
        <v>33</v>
      </c>
    </row>
    <row r="1291">
      <c r="A1291" s="2">
        <v>2926.0</v>
      </c>
      <c r="B1291" s="2" t="s">
        <v>3813</v>
      </c>
      <c r="C1291" s="2" t="s">
        <v>7</v>
      </c>
      <c r="D1291" s="2" t="s">
        <v>3814</v>
      </c>
      <c r="E1291" s="2" t="s">
        <v>3815</v>
      </c>
      <c r="F1291" s="6">
        <v>45883.625</v>
      </c>
      <c r="G1291" s="2">
        <v>63812.0</v>
      </c>
      <c r="H1291" s="2">
        <v>63812.0</v>
      </c>
      <c r="I1291" s="2">
        <v>56319.0</v>
      </c>
      <c r="J1291" s="2">
        <v>498.0</v>
      </c>
      <c r="K1291" s="2">
        <v>389.0</v>
      </c>
      <c r="L1291" s="2">
        <v>4.0</v>
      </c>
      <c r="M1291" s="4">
        <v>5887.0</v>
      </c>
      <c r="N1291" s="2" t="s">
        <v>30</v>
      </c>
      <c r="O1291" s="2">
        <v>70.0</v>
      </c>
      <c r="P1291" s="2" t="s">
        <v>31</v>
      </c>
      <c r="Q1291" s="2" t="s">
        <v>32</v>
      </c>
      <c r="R1291" s="2">
        <v>38.0</v>
      </c>
      <c r="T1291" s="2" t="s">
        <v>405</v>
      </c>
      <c r="U1291" s="2" t="b">
        <v>0</v>
      </c>
      <c r="V1291" s="5">
        <v>0.0069</v>
      </c>
      <c r="W1291" s="5">
        <v>0.0103</v>
      </c>
      <c r="X1291" s="5">
        <v>7.1E-5</v>
      </c>
      <c r="Y1291" s="2">
        <v>15.13367609</v>
      </c>
      <c r="Z1291" s="2">
        <v>3949.0</v>
      </c>
      <c r="AA1291" s="2" t="s">
        <v>33</v>
      </c>
    </row>
    <row r="1292">
      <c r="A1292" s="2">
        <v>2929.0</v>
      </c>
      <c r="B1292" s="2" t="s">
        <v>3816</v>
      </c>
      <c r="C1292" s="2" t="s">
        <v>7</v>
      </c>
      <c r="D1292" s="2" t="s">
        <v>3817</v>
      </c>
      <c r="E1292" s="2" t="s">
        <v>3818</v>
      </c>
      <c r="F1292" s="6">
        <v>45883.708333333336</v>
      </c>
      <c r="G1292" s="2">
        <v>48833.0</v>
      </c>
      <c r="H1292" s="2">
        <v>48833.0</v>
      </c>
      <c r="I1292" s="2">
        <v>41896.0</v>
      </c>
      <c r="J1292" s="2">
        <v>444.0</v>
      </c>
      <c r="K1292" s="2">
        <v>350.0</v>
      </c>
      <c r="L1292" s="2">
        <v>6.0</v>
      </c>
      <c r="M1292" s="4">
        <v>28887.0</v>
      </c>
      <c r="N1292" s="2" t="s">
        <v>36</v>
      </c>
      <c r="O1292" s="2">
        <v>71.0</v>
      </c>
      <c r="P1292" s="2" t="s">
        <v>189</v>
      </c>
      <c r="Q1292" s="2" t="s">
        <v>32</v>
      </c>
      <c r="R1292" s="2">
        <v>45.0</v>
      </c>
      <c r="T1292" s="2" t="s">
        <v>405</v>
      </c>
      <c r="U1292" s="2" t="b">
        <v>1</v>
      </c>
      <c r="V1292" s="5">
        <v>0.0084</v>
      </c>
      <c r="W1292" s="5">
        <v>0.0171</v>
      </c>
      <c r="X1292" s="5">
        <v>1.43E-4</v>
      </c>
      <c r="Y1292" s="2">
        <v>82.53428571</v>
      </c>
      <c r="AA1292" s="2" t="s">
        <v>33</v>
      </c>
    </row>
    <row r="1293">
      <c r="A1293" s="2">
        <v>2928.0</v>
      </c>
      <c r="B1293" s="2" t="s">
        <v>3819</v>
      </c>
      <c r="C1293" s="2" t="s">
        <v>7</v>
      </c>
      <c r="D1293" s="2" t="s">
        <v>3820</v>
      </c>
      <c r="E1293" s="2" t="s">
        <v>3821</v>
      </c>
      <c r="F1293" s="6">
        <v>45883.708333333336</v>
      </c>
      <c r="G1293" s="2">
        <v>63834.0</v>
      </c>
      <c r="H1293" s="2">
        <v>63834.0</v>
      </c>
      <c r="I1293" s="2">
        <v>56297.0</v>
      </c>
      <c r="J1293" s="2">
        <v>533.0</v>
      </c>
      <c r="K1293" s="2">
        <v>443.0</v>
      </c>
      <c r="L1293" s="2">
        <v>6.0</v>
      </c>
      <c r="M1293" s="4">
        <v>14788.0</v>
      </c>
      <c r="N1293" s="2" t="s">
        <v>30</v>
      </c>
      <c r="O1293" s="2">
        <v>70.0</v>
      </c>
      <c r="P1293" s="2" t="s">
        <v>189</v>
      </c>
      <c r="Q1293" s="2" t="s">
        <v>32</v>
      </c>
      <c r="R1293" s="2">
        <v>45.0</v>
      </c>
      <c r="U1293" s="2" t="b">
        <v>0</v>
      </c>
      <c r="V1293" s="5">
        <v>0.0079</v>
      </c>
      <c r="W1293" s="5">
        <v>0.0135</v>
      </c>
      <c r="X1293" s="5">
        <v>1.07E-4</v>
      </c>
      <c r="Y1293" s="2">
        <v>33.38148984</v>
      </c>
      <c r="AA1293" s="2" t="s">
        <v>33</v>
      </c>
    </row>
    <row r="1294">
      <c r="A1294" s="2">
        <v>2931.0</v>
      </c>
      <c r="B1294" s="2" t="s">
        <v>3822</v>
      </c>
      <c r="C1294" s="2" t="s">
        <v>7</v>
      </c>
      <c r="D1294" s="2" t="s">
        <v>2221</v>
      </c>
      <c r="E1294" s="2" t="s">
        <v>2222</v>
      </c>
      <c r="F1294" s="6">
        <v>45884.458333333336</v>
      </c>
      <c r="G1294" s="2">
        <v>48800.0</v>
      </c>
      <c r="H1294" s="2">
        <v>48800.0</v>
      </c>
      <c r="I1294" s="2">
        <v>41467.0</v>
      </c>
      <c r="J1294" s="2">
        <v>223.0</v>
      </c>
      <c r="K1294" s="2">
        <v>187.0</v>
      </c>
      <c r="L1294" s="2">
        <v>2.0</v>
      </c>
      <c r="M1294" s="4">
        <v>8977.0</v>
      </c>
      <c r="N1294" s="2" t="s">
        <v>36</v>
      </c>
      <c r="O1294" s="2">
        <v>71.0</v>
      </c>
      <c r="P1294" s="2" t="s">
        <v>189</v>
      </c>
      <c r="Q1294" s="2" t="s">
        <v>32</v>
      </c>
      <c r="R1294" s="2">
        <v>32.0</v>
      </c>
      <c r="T1294" s="2" t="s">
        <v>47</v>
      </c>
      <c r="U1294" s="2" t="b">
        <v>0</v>
      </c>
      <c r="V1294" s="5">
        <v>0.0045</v>
      </c>
      <c r="W1294" s="5">
        <v>0.0107</v>
      </c>
      <c r="X1294" s="5">
        <v>4.8E-5</v>
      </c>
      <c r="Y1294" s="2">
        <v>48.00534759</v>
      </c>
      <c r="AA1294" s="2" t="s">
        <v>33</v>
      </c>
    </row>
    <row r="1295">
      <c r="A1295" s="2">
        <v>2930.0</v>
      </c>
      <c r="B1295" s="2" t="s">
        <v>3823</v>
      </c>
      <c r="C1295" s="2" t="s">
        <v>7</v>
      </c>
      <c r="D1295" s="2" t="s">
        <v>2667</v>
      </c>
      <c r="E1295" s="2" t="s">
        <v>2226</v>
      </c>
      <c r="F1295" s="6">
        <v>45884.458333333336</v>
      </c>
      <c r="G1295" s="2">
        <v>63805.0</v>
      </c>
      <c r="H1295" s="2">
        <v>63805.0</v>
      </c>
      <c r="I1295" s="2">
        <v>56003.0</v>
      </c>
      <c r="J1295" s="2">
        <v>252.0</v>
      </c>
      <c r="K1295" s="2">
        <v>213.0</v>
      </c>
      <c r="L1295" s="2">
        <v>2.0</v>
      </c>
      <c r="M1295" s="4">
        <v>9420.0</v>
      </c>
      <c r="N1295" s="2" t="s">
        <v>30</v>
      </c>
      <c r="O1295" s="2">
        <v>70.0</v>
      </c>
      <c r="P1295" s="2" t="s">
        <v>189</v>
      </c>
      <c r="Q1295" s="2" t="s">
        <v>32</v>
      </c>
      <c r="R1295" s="2">
        <v>28.0</v>
      </c>
      <c r="T1295" s="2" t="s">
        <v>3824</v>
      </c>
      <c r="U1295" s="2" t="b">
        <v>0</v>
      </c>
      <c r="V1295" s="5">
        <v>0.0038</v>
      </c>
      <c r="W1295" s="5">
        <v>0.0094</v>
      </c>
      <c r="X1295" s="5">
        <v>3.6E-5</v>
      </c>
      <c r="Y1295" s="2">
        <v>44.22535211</v>
      </c>
      <c r="AA1295" s="2" t="s">
        <v>33</v>
      </c>
    </row>
    <row r="1296">
      <c r="A1296" s="2">
        <v>2933.0</v>
      </c>
      <c r="B1296" s="2" t="s">
        <v>3825</v>
      </c>
      <c r="C1296" s="2" t="s">
        <v>7</v>
      </c>
      <c r="D1296" s="2" t="s">
        <v>3826</v>
      </c>
      <c r="E1296" s="2" t="s">
        <v>3827</v>
      </c>
      <c r="F1296" s="6">
        <v>45884.625</v>
      </c>
      <c r="G1296" s="2">
        <v>48816.0</v>
      </c>
      <c r="H1296" s="2">
        <v>48816.0</v>
      </c>
      <c r="I1296" s="2">
        <v>41801.0</v>
      </c>
      <c r="J1296" s="2">
        <v>340.0</v>
      </c>
      <c r="K1296" s="2">
        <v>264.0</v>
      </c>
      <c r="L1296" s="2">
        <v>2.0</v>
      </c>
      <c r="M1296" s="4">
        <v>3330.0</v>
      </c>
      <c r="N1296" s="2" t="s">
        <v>36</v>
      </c>
      <c r="O1296" s="2">
        <v>71.0</v>
      </c>
      <c r="P1296" s="2" t="s">
        <v>31</v>
      </c>
      <c r="Q1296" s="2" t="s">
        <v>32</v>
      </c>
      <c r="R1296" s="2">
        <v>38.0</v>
      </c>
      <c r="T1296" s="2" t="s">
        <v>47</v>
      </c>
      <c r="U1296" s="2" t="b">
        <v>0</v>
      </c>
      <c r="V1296" s="5">
        <v>0.0063</v>
      </c>
      <c r="W1296" s="5">
        <v>0.0076</v>
      </c>
      <c r="X1296" s="5">
        <v>4.8E-5</v>
      </c>
      <c r="Y1296" s="2">
        <v>12.61363636</v>
      </c>
      <c r="AA1296" s="2" t="s">
        <v>33</v>
      </c>
    </row>
    <row r="1297">
      <c r="A1297" s="2">
        <v>2932.0</v>
      </c>
      <c r="B1297" s="2" t="s">
        <v>3828</v>
      </c>
      <c r="C1297" s="2" t="s">
        <v>7</v>
      </c>
      <c r="D1297" s="2" t="s">
        <v>3829</v>
      </c>
      <c r="E1297" s="2" t="s">
        <v>3830</v>
      </c>
      <c r="F1297" s="6">
        <v>45884.625</v>
      </c>
      <c r="G1297" s="2">
        <v>63866.0</v>
      </c>
      <c r="H1297" s="2">
        <v>63866.0</v>
      </c>
      <c r="I1297" s="2">
        <v>56251.0</v>
      </c>
      <c r="J1297" s="2">
        <v>430.0</v>
      </c>
      <c r="K1297" s="2">
        <v>351.0</v>
      </c>
      <c r="L1297" s="2">
        <v>6.0</v>
      </c>
      <c r="M1297" s="4">
        <v>8343.0</v>
      </c>
      <c r="N1297" s="2" t="s">
        <v>30</v>
      </c>
      <c r="O1297" s="2">
        <v>70.0</v>
      </c>
      <c r="P1297" s="2" t="s">
        <v>189</v>
      </c>
      <c r="Q1297" s="2" t="s">
        <v>32</v>
      </c>
      <c r="R1297" s="2">
        <v>35.0</v>
      </c>
      <c r="U1297" s="2" t="b">
        <v>0</v>
      </c>
      <c r="V1297" s="5">
        <v>0.0062</v>
      </c>
      <c r="W1297" s="5">
        <v>0.0171</v>
      </c>
      <c r="X1297" s="5">
        <v>1.07E-4</v>
      </c>
      <c r="Y1297" s="2">
        <v>23.76923077</v>
      </c>
      <c r="Z1297" s="2">
        <v>1069.0</v>
      </c>
      <c r="AA1297" s="2" t="s">
        <v>33</v>
      </c>
    </row>
    <row r="1298">
      <c r="A1298" s="2">
        <v>2935.0</v>
      </c>
      <c r="B1298" s="2" t="s">
        <v>3831</v>
      </c>
      <c r="C1298" s="2" t="s">
        <v>7</v>
      </c>
      <c r="D1298" s="2" t="s">
        <v>3832</v>
      </c>
      <c r="E1298" s="2" t="e">
        <v>#N/A</v>
      </c>
      <c r="F1298" s="6">
        <v>45884.708333333336</v>
      </c>
      <c r="G1298" s="2">
        <v>48767.0</v>
      </c>
      <c r="H1298" s="2">
        <v>48767.0</v>
      </c>
      <c r="I1298" s="2">
        <v>41733.0</v>
      </c>
      <c r="J1298" s="2">
        <v>265.0</v>
      </c>
      <c r="K1298" s="2">
        <v>209.0</v>
      </c>
      <c r="L1298" s="2">
        <v>2.0</v>
      </c>
      <c r="M1298" s="4">
        <v>3253.0</v>
      </c>
      <c r="N1298" s="2" t="s">
        <v>36</v>
      </c>
      <c r="O1298" s="2">
        <v>71.0</v>
      </c>
      <c r="P1298" s="2" t="s">
        <v>189</v>
      </c>
      <c r="Q1298" s="2" t="s">
        <v>32</v>
      </c>
      <c r="R1298" s="2">
        <v>36.0</v>
      </c>
      <c r="T1298" s="2" t="s">
        <v>47</v>
      </c>
      <c r="U1298" s="2" t="b">
        <v>0</v>
      </c>
      <c r="V1298" s="5">
        <v>0.005</v>
      </c>
      <c r="W1298" s="5">
        <v>0.0096</v>
      </c>
      <c r="X1298" s="5">
        <v>4.8E-5</v>
      </c>
      <c r="Y1298" s="2">
        <v>15.5645933</v>
      </c>
      <c r="AA1298" s="2" t="s">
        <v>33</v>
      </c>
    </row>
    <row r="1299">
      <c r="A1299" s="2">
        <v>2934.0</v>
      </c>
      <c r="B1299" s="2" t="s">
        <v>3833</v>
      </c>
      <c r="C1299" s="2" t="s">
        <v>7</v>
      </c>
      <c r="D1299" s="2" t="s">
        <v>3834</v>
      </c>
      <c r="E1299" s="2" t="e">
        <v>#N/A</v>
      </c>
      <c r="F1299" s="6">
        <v>45884.708333333336</v>
      </c>
      <c r="G1299" s="2">
        <v>63845.0</v>
      </c>
      <c r="H1299" s="2">
        <v>63845.0</v>
      </c>
      <c r="I1299" s="2">
        <v>56237.0</v>
      </c>
      <c r="J1299" s="2">
        <v>303.0</v>
      </c>
      <c r="K1299" s="2">
        <v>260.0</v>
      </c>
      <c r="L1299" s="2">
        <v>0.0</v>
      </c>
      <c r="M1299" s="2">
        <v>0.0</v>
      </c>
      <c r="N1299" s="2" t="s">
        <v>30</v>
      </c>
      <c r="O1299" s="2">
        <v>70.0</v>
      </c>
      <c r="P1299" s="2" t="s">
        <v>189</v>
      </c>
      <c r="Q1299" s="2" t="s">
        <v>32</v>
      </c>
      <c r="R1299" s="2">
        <v>29.0</v>
      </c>
      <c r="T1299" s="7" t="str">
        <f>IFERROR(__xludf.DUMMYFUNCTION("AI(""has offer Come X Pay X"",D1299)"),"Yes, there are offers that fit the ""Come X Pay X"" structure:  - Come 2 pay 1 (มา 2 จ่าย 1) for Breakfast Buffet
  - Come 3 pay 2 (มา 3 จ่าย 2) for International Dinner Buffet
  - Come 3 pay 2 (มา 3 จ่าย 2) for Saturday Flames &amp; Feasts Buffet")</f>
        <v>Yes, there are offers that fit the "Come X Pay X" structure:  - Come 2 pay 1 (มา 2 จ่าย 1) for Breakfast Buffet
  - Come 3 pay 2 (มา 3 จ่าย 2) for International Dinner Buffet
  - Come 3 pay 2 (มา 3 จ่าย 2) for Saturday Flames &amp; Feasts Buffet</v>
      </c>
      <c r="U1299" s="2" t="b">
        <v>0</v>
      </c>
      <c r="V1299" s="5">
        <v>0.0046</v>
      </c>
      <c r="W1299" s="5">
        <v>0.0</v>
      </c>
      <c r="X1299" s="5">
        <v>0.0</v>
      </c>
      <c r="Y1299" s="2">
        <v>0.0</v>
      </c>
      <c r="AA1299" s="2" t="s">
        <v>33</v>
      </c>
    </row>
    <row r="1300">
      <c r="A1300" s="2">
        <v>2944.0</v>
      </c>
      <c r="B1300" s="2" t="s">
        <v>3835</v>
      </c>
      <c r="C1300" s="2" t="s">
        <v>7</v>
      </c>
      <c r="D1300" s="2" t="s">
        <v>3836</v>
      </c>
      <c r="E1300" s="2" t="s">
        <v>3837</v>
      </c>
      <c r="F1300" s="6">
        <v>45885.458333333336</v>
      </c>
      <c r="G1300" s="2">
        <v>48790.0</v>
      </c>
      <c r="H1300" s="2">
        <v>48790.0</v>
      </c>
      <c r="I1300" s="2">
        <v>41423.0</v>
      </c>
      <c r="J1300" s="2">
        <v>369.0</v>
      </c>
      <c r="K1300" s="2">
        <v>292.0</v>
      </c>
      <c r="L1300" s="2">
        <v>5.0</v>
      </c>
      <c r="M1300" s="4">
        <v>10057.0</v>
      </c>
      <c r="N1300" s="2" t="s">
        <v>36</v>
      </c>
      <c r="O1300" s="2">
        <v>71.0</v>
      </c>
      <c r="P1300" s="2" t="s">
        <v>189</v>
      </c>
      <c r="Q1300" s="2" t="s">
        <v>32</v>
      </c>
      <c r="R1300" s="2">
        <v>38.0</v>
      </c>
      <c r="T1300" s="2" t="s">
        <v>2206</v>
      </c>
      <c r="U1300" s="2" t="b">
        <v>0</v>
      </c>
      <c r="V1300" s="5">
        <v>0.007</v>
      </c>
      <c r="W1300" s="5">
        <v>0.0171</v>
      </c>
      <c r="X1300" s="5">
        <v>1.21E-4</v>
      </c>
      <c r="Y1300" s="2">
        <v>34.44178082</v>
      </c>
      <c r="AA1300" s="2" t="s">
        <v>33</v>
      </c>
    </row>
    <row r="1301">
      <c r="A1301" s="2">
        <v>2943.0</v>
      </c>
      <c r="B1301" s="2" t="s">
        <v>3838</v>
      </c>
      <c r="C1301" s="2" t="s">
        <v>7</v>
      </c>
      <c r="D1301" s="2" t="s">
        <v>3839</v>
      </c>
      <c r="E1301" s="2" t="s">
        <v>3840</v>
      </c>
      <c r="F1301" s="6">
        <v>45885.458333333336</v>
      </c>
      <c r="G1301" s="2">
        <v>63852.0</v>
      </c>
      <c r="H1301" s="2">
        <v>63852.0</v>
      </c>
      <c r="I1301" s="2">
        <v>55902.0</v>
      </c>
      <c r="J1301" s="2">
        <v>366.0</v>
      </c>
      <c r="K1301" s="2">
        <v>297.0</v>
      </c>
      <c r="L1301" s="2">
        <v>3.0</v>
      </c>
      <c r="M1301" s="4">
        <v>11059.0</v>
      </c>
      <c r="N1301" s="2" t="s">
        <v>30</v>
      </c>
      <c r="O1301" s="2">
        <v>70.0</v>
      </c>
      <c r="P1301" s="2" t="s">
        <v>189</v>
      </c>
      <c r="Q1301" s="2" t="s">
        <v>32</v>
      </c>
      <c r="R1301" s="2">
        <v>43.0</v>
      </c>
      <c r="U1301" s="2" t="b">
        <v>0</v>
      </c>
      <c r="V1301" s="5">
        <v>0.0053</v>
      </c>
      <c r="W1301" s="5">
        <v>0.0101</v>
      </c>
      <c r="X1301" s="5">
        <v>5.4E-5</v>
      </c>
      <c r="Y1301" s="2">
        <v>37.23569024</v>
      </c>
      <c r="Z1301" s="2">
        <v>4089.0</v>
      </c>
      <c r="AA1301" s="2" t="s">
        <v>33</v>
      </c>
    </row>
    <row r="1302">
      <c r="A1302" s="2">
        <v>2946.0</v>
      </c>
      <c r="B1302" s="2" t="s">
        <v>3841</v>
      </c>
      <c r="C1302" s="2" t="s">
        <v>7</v>
      </c>
      <c r="D1302" s="2" t="s">
        <v>3842</v>
      </c>
      <c r="E1302" s="2" t="s">
        <v>3843</v>
      </c>
      <c r="F1302" s="6">
        <v>45885.625</v>
      </c>
      <c r="G1302" s="2">
        <v>48738.0</v>
      </c>
      <c r="H1302" s="2">
        <v>48738.0</v>
      </c>
      <c r="I1302" s="2">
        <v>41744.0</v>
      </c>
      <c r="J1302" s="2">
        <v>354.0</v>
      </c>
      <c r="K1302" s="2">
        <v>281.0</v>
      </c>
      <c r="L1302" s="2">
        <v>4.0</v>
      </c>
      <c r="M1302" s="4">
        <v>12745.0</v>
      </c>
      <c r="N1302" s="2" t="s">
        <v>36</v>
      </c>
      <c r="O1302" s="2">
        <v>71.0</v>
      </c>
      <c r="P1302" s="2" t="s">
        <v>31</v>
      </c>
      <c r="Q1302" s="2" t="s">
        <v>32</v>
      </c>
      <c r="R1302" s="2">
        <v>43.0</v>
      </c>
      <c r="T1302" s="2" t="s">
        <v>58</v>
      </c>
      <c r="U1302" s="2" t="b">
        <v>1</v>
      </c>
      <c r="V1302" s="5">
        <v>0.0067</v>
      </c>
      <c r="W1302" s="5">
        <v>0.0142</v>
      </c>
      <c r="X1302" s="5">
        <v>9.6E-5</v>
      </c>
      <c r="Y1302" s="2">
        <v>45.35587189</v>
      </c>
      <c r="AA1302" s="2" t="s">
        <v>33</v>
      </c>
    </row>
    <row r="1303">
      <c r="A1303" s="2">
        <v>2945.0</v>
      </c>
      <c r="B1303" s="2" t="s">
        <v>3844</v>
      </c>
      <c r="C1303" s="2" t="s">
        <v>7</v>
      </c>
      <c r="D1303" s="2" t="s">
        <v>3845</v>
      </c>
      <c r="E1303" s="2" t="s">
        <v>3846</v>
      </c>
      <c r="F1303" s="6">
        <v>45885.625</v>
      </c>
      <c r="G1303" s="2">
        <v>63837.0</v>
      </c>
      <c r="H1303" s="2">
        <v>63837.0</v>
      </c>
      <c r="I1303" s="2">
        <v>56250.0</v>
      </c>
      <c r="J1303" s="2">
        <v>436.0</v>
      </c>
      <c r="K1303" s="2">
        <v>354.0</v>
      </c>
      <c r="L1303" s="2">
        <v>4.0</v>
      </c>
      <c r="M1303" s="4">
        <v>7823.0</v>
      </c>
      <c r="N1303" s="2" t="s">
        <v>30</v>
      </c>
      <c r="O1303" s="2">
        <v>70.0</v>
      </c>
      <c r="P1303" s="2" t="s">
        <v>31</v>
      </c>
      <c r="Q1303" s="2" t="s">
        <v>32</v>
      </c>
      <c r="R1303" s="2">
        <v>41.0</v>
      </c>
      <c r="T1303" s="2" t="s">
        <v>2396</v>
      </c>
      <c r="U1303" s="2" t="b">
        <v>0</v>
      </c>
      <c r="V1303" s="5">
        <v>0.0063</v>
      </c>
      <c r="W1303" s="5">
        <v>0.0113</v>
      </c>
      <c r="X1303" s="5">
        <v>7.1E-5</v>
      </c>
      <c r="Y1303" s="2">
        <v>22.09887006</v>
      </c>
      <c r="Z1303" s="2">
        <v>3377.0</v>
      </c>
      <c r="AA1303" s="2" t="s">
        <v>33</v>
      </c>
    </row>
    <row r="1304">
      <c r="A1304" s="2">
        <v>2948.0</v>
      </c>
      <c r="B1304" s="2" t="s">
        <v>3847</v>
      </c>
      <c r="C1304" s="2" t="s">
        <v>7</v>
      </c>
      <c r="D1304" s="2" t="s">
        <v>3848</v>
      </c>
      <c r="E1304" s="2" t="s">
        <v>3849</v>
      </c>
      <c r="F1304" s="6">
        <v>45885.708333333336</v>
      </c>
      <c r="G1304" s="2">
        <v>48763.0</v>
      </c>
      <c r="H1304" s="2">
        <v>48763.0</v>
      </c>
      <c r="I1304" s="2">
        <v>41707.0</v>
      </c>
      <c r="J1304" s="2">
        <v>334.0</v>
      </c>
      <c r="K1304" s="2">
        <v>267.0</v>
      </c>
      <c r="L1304" s="2">
        <v>6.0</v>
      </c>
      <c r="M1304" s="4">
        <v>16998.0</v>
      </c>
      <c r="N1304" s="2" t="s">
        <v>36</v>
      </c>
      <c r="O1304" s="2">
        <v>71.0</v>
      </c>
      <c r="P1304" s="2" t="s">
        <v>189</v>
      </c>
      <c r="Q1304" s="2" t="s">
        <v>32</v>
      </c>
      <c r="R1304" s="2">
        <v>54.0</v>
      </c>
      <c r="T1304" s="2" t="s">
        <v>47</v>
      </c>
      <c r="U1304" s="2" t="b">
        <v>0</v>
      </c>
      <c r="V1304" s="5">
        <v>0.0064</v>
      </c>
      <c r="W1304" s="5">
        <v>0.0225</v>
      </c>
      <c r="X1304" s="5">
        <v>1.44E-4</v>
      </c>
      <c r="Y1304" s="2">
        <v>63.66292135</v>
      </c>
      <c r="AA1304" s="2" t="s">
        <v>33</v>
      </c>
    </row>
    <row r="1305">
      <c r="A1305" s="2">
        <v>2947.0</v>
      </c>
      <c r="B1305" s="2" t="s">
        <v>3850</v>
      </c>
      <c r="C1305" s="2" t="s">
        <v>7</v>
      </c>
      <c r="D1305" s="2" t="s">
        <v>3851</v>
      </c>
      <c r="E1305" s="2" t="s">
        <v>3852</v>
      </c>
      <c r="F1305" s="6">
        <v>45885.708333333336</v>
      </c>
      <c r="G1305" s="2">
        <v>63872.0</v>
      </c>
      <c r="H1305" s="2">
        <v>63872.0</v>
      </c>
      <c r="I1305" s="2">
        <v>56279.0</v>
      </c>
      <c r="J1305" s="2">
        <v>416.0</v>
      </c>
      <c r="K1305" s="2">
        <v>335.0</v>
      </c>
      <c r="L1305" s="2">
        <v>6.0</v>
      </c>
      <c r="M1305" s="4">
        <v>5103.0</v>
      </c>
      <c r="N1305" s="2" t="s">
        <v>30</v>
      </c>
      <c r="O1305" s="2">
        <v>70.0</v>
      </c>
      <c r="P1305" s="2" t="s">
        <v>189</v>
      </c>
      <c r="Q1305" s="2" t="s">
        <v>32</v>
      </c>
      <c r="R1305" s="2">
        <v>48.0</v>
      </c>
      <c r="T1305" s="2" t="s">
        <v>47</v>
      </c>
      <c r="U1305" s="2" t="b">
        <v>0</v>
      </c>
      <c r="V1305" s="5">
        <v>0.006</v>
      </c>
      <c r="W1305" s="5">
        <v>0.0179</v>
      </c>
      <c r="X1305" s="5">
        <v>1.07E-4</v>
      </c>
      <c r="Y1305" s="2">
        <v>15.23283582</v>
      </c>
      <c r="Z1305" s="2">
        <v>4619.0</v>
      </c>
      <c r="AA1305" s="2" t="s">
        <v>33</v>
      </c>
    </row>
    <row r="1306">
      <c r="A1306" s="2">
        <v>2959.0</v>
      </c>
      <c r="B1306" s="2" t="s">
        <v>3853</v>
      </c>
      <c r="C1306" s="2" t="s">
        <v>7</v>
      </c>
      <c r="D1306" s="2" t="s">
        <v>3854</v>
      </c>
      <c r="E1306" s="2" t="s">
        <v>3855</v>
      </c>
      <c r="F1306" s="6">
        <v>45886.458333333336</v>
      </c>
      <c r="G1306" s="2">
        <v>48771.0</v>
      </c>
      <c r="H1306" s="2">
        <v>48771.0</v>
      </c>
      <c r="I1306" s="2">
        <v>41424.0</v>
      </c>
      <c r="J1306" s="2">
        <v>302.0</v>
      </c>
      <c r="K1306" s="2">
        <v>232.0</v>
      </c>
      <c r="L1306" s="2">
        <v>4.0</v>
      </c>
      <c r="M1306" s="4">
        <v>7450.0</v>
      </c>
      <c r="N1306" s="2" t="s">
        <v>36</v>
      </c>
      <c r="O1306" s="2">
        <v>71.0</v>
      </c>
      <c r="P1306" s="2" t="s">
        <v>189</v>
      </c>
      <c r="Q1306" s="2" t="s">
        <v>32</v>
      </c>
      <c r="R1306" s="2">
        <v>37.0</v>
      </c>
      <c r="T1306" s="2" t="s">
        <v>143</v>
      </c>
      <c r="U1306" s="2" t="b">
        <v>0</v>
      </c>
      <c r="V1306" s="5">
        <v>0.0056</v>
      </c>
      <c r="W1306" s="5">
        <v>0.0172</v>
      </c>
      <c r="X1306" s="5">
        <v>9.7E-5</v>
      </c>
      <c r="Y1306" s="2">
        <v>32.11206897</v>
      </c>
      <c r="AA1306" s="2" t="s">
        <v>33</v>
      </c>
    </row>
    <row r="1307">
      <c r="A1307" s="2">
        <v>2958.0</v>
      </c>
      <c r="B1307" s="2" t="s">
        <v>3856</v>
      </c>
      <c r="C1307" s="2" t="s">
        <v>7</v>
      </c>
      <c r="D1307" s="2" t="s">
        <v>3857</v>
      </c>
      <c r="E1307" s="2" t="s">
        <v>3858</v>
      </c>
      <c r="F1307" s="6">
        <v>45886.458333333336</v>
      </c>
      <c r="G1307" s="2">
        <v>63902.0</v>
      </c>
      <c r="H1307" s="2">
        <v>63902.0</v>
      </c>
      <c r="I1307" s="2">
        <v>55925.0</v>
      </c>
      <c r="J1307" s="2">
        <v>407.0</v>
      </c>
      <c r="K1307" s="2">
        <v>317.0</v>
      </c>
      <c r="L1307" s="2">
        <v>2.0</v>
      </c>
      <c r="M1307" s="4">
        <v>5994.0</v>
      </c>
      <c r="N1307" s="2" t="s">
        <v>30</v>
      </c>
      <c r="O1307" s="2">
        <v>70.0</v>
      </c>
      <c r="P1307" s="2" t="s">
        <v>189</v>
      </c>
      <c r="Q1307" s="2" t="s">
        <v>32</v>
      </c>
      <c r="R1307" s="2">
        <v>30.0</v>
      </c>
      <c r="T1307" s="2" t="s">
        <v>58</v>
      </c>
      <c r="U1307" s="2" t="b">
        <v>0</v>
      </c>
      <c r="V1307" s="5">
        <v>0.0057</v>
      </c>
      <c r="W1307" s="5">
        <v>0.0063</v>
      </c>
      <c r="X1307" s="5">
        <v>3.6E-5</v>
      </c>
      <c r="Y1307" s="2">
        <v>18.90851735</v>
      </c>
      <c r="Z1307" s="2">
        <v>3854.0</v>
      </c>
      <c r="AA1307" s="2" t="s">
        <v>33</v>
      </c>
    </row>
    <row r="1308">
      <c r="A1308" s="2">
        <v>2961.0</v>
      </c>
      <c r="B1308" s="2" t="s">
        <v>3859</v>
      </c>
      <c r="C1308" s="2" t="s">
        <v>7</v>
      </c>
      <c r="D1308" s="2" t="s">
        <v>3860</v>
      </c>
      <c r="E1308" s="2" t="s">
        <v>3861</v>
      </c>
      <c r="F1308" s="6">
        <v>45886.625</v>
      </c>
      <c r="G1308" s="2">
        <v>48791.0</v>
      </c>
      <c r="H1308" s="2">
        <v>48791.0</v>
      </c>
      <c r="I1308" s="2">
        <v>41745.0</v>
      </c>
      <c r="J1308" s="2">
        <v>295.0</v>
      </c>
      <c r="K1308" s="2">
        <v>228.0</v>
      </c>
      <c r="L1308" s="2">
        <v>3.0</v>
      </c>
      <c r="M1308" s="4">
        <v>30868.0</v>
      </c>
      <c r="N1308" s="2" t="s">
        <v>36</v>
      </c>
      <c r="O1308" s="2">
        <v>71.0</v>
      </c>
      <c r="P1308" s="2" t="s">
        <v>189</v>
      </c>
      <c r="Q1308" s="2" t="s">
        <v>32</v>
      </c>
      <c r="R1308" s="2">
        <v>53.0</v>
      </c>
      <c r="T1308" s="2" t="s">
        <v>58</v>
      </c>
      <c r="U1308" s="2" t="b">
        <v>0</v>
      </c>
      <c r="V1308" s="5">
        <v>0.0055</v>
      </c>
      <c r="W1308" s="5">
        <v>0.0132</v>
      </c>
      <c r="X1308" s="5">
        <v>7.2E-5</v>
      </c>
      <c r="Y1308" s="2">
        <v>135.3859649</v>
      </c>
      <c r="AA1308" s="2" t="s">
        <v>33</v>
      </c>
    </row>
    <row r="1309">
      <c r="A1309" s="2">
        <v>2960.0</v>
      </c>
      <c r="B1309" s="2" t="s">
        <v>3862</v>
      </c>
      <c r="C1309" s="2" t="s">
        <v>7</v>
      </c>
      <c r="D1309" s="2" t="s">
        <v>3863</v>
      </c>
      <c r="E1309" s="2" t="s">
        <v>3864</v>
      </c>
      <c r="F1309" s="6">
        <v>45886.625</v>
      </c>
      <c r="G1309" s="2">
        <v>63932.0</v>
      </c>
      <c r="H1309" s="2">
        <v>63932.0</v>
      </c>
      <c r="I1309" s="2">
        <v>56320.0</v>
      </c>
      <c r="J1309" s="2">
        <v>391.0</v>
      </c>
      <c r="K1309" s="2">
        <v>319.0</v>
      </c>
      <c r="L1309" s="2">
        <v>4.0</v>
      </c>
      <c r="M1309" s="4">
        <v>9503.0</v>
      </c>
      <c r="N1309" s="2" t="s">
        <v>30</v>
      </c>
      <c r="O1309" s="2">
        <v>70.0</v>
      </c>
      <c r="P1309" s="2" t="s">
        <v>189</v>
      </c>
      <c r="Q1309" s="2" t="s">
        <v>32</v>
      </c>
      <c r="R1309" s="2">
        <v>53.0</v>
      </c>
      <c r="U1309" s="2" t="b">
        <v>0</v>
      </c>
      <c r="V1309" s="5">
        <v>0.0057</v>
      </c>
      <c r="W1309" s="5">
        <v>0.0125</v>
      </c>
      <c r="X1309" s="5">
        <v>7.1E-5</v>
      </c>
      <c r="Y1309" s="2">
        <v>29.78996865</v>
      </c>
      <c r="Z1309" s="2">
        <v>6214.0</v>
      </c>
      <c r="AA1309" s="2" t="s">
        <v>33</v>
      </c>
    </row>
    <row r="1310">
      <c r="A1310" s="2">
        <v>2963.0</v>
      </c>
      <c r="B1310" s="2" t="s">
        <v>3865</v>
      </c>
      <c r="C1310" s="2" t="s">
        <v>7</v>
      </c>
      <c r="D1310" s="2" t="s">
        <v>3866</v>
      </c>
      <c r="E1310" s="2" t="s">
        <v>3867</v>
      </c>
      <c r="F1310" s="6">
        <v>45886.708333333336</v>
      </c>
      <c r="G1310" s="2">
        <v>48754.0</v>
      </c>
      <c r="H1310" s="2">
        <v>48754.0</v>
      </c>
      <c r="I1310" s="2">
        <v>41808.0</v>
      </c>
      <c r="J1310" s="2">
        <v>340.0</v>
      </c>
      <c r="K1310" s="2">
        <v>260.0</v>
      </c>
      <c r="L1310" s="2">
        <v>0.0</v>
      </c>
      <c r="M1310" s="2">
        <v>0.0</v>
      </c>
      <c r="N1310" s="2" t="s">
        <v>36</v>
      </c>
      <c r="O1310" s="2">
        <v>71.0</v>
      </c>
      <c r="P1310" s="2" t="s">
        <v>31</v>
      </c>
      <c r="Q1310" s="2" t="s">
        <v>32</v>
      </c>
      <c r="R1310" s="2">
        <v>31.0</v>
      </c>
      <c r="T1310" s="2" t="s">
        <v>58</v>
      </c>
      <c r="U1310" s="2" t="b">
        <v>1</v>
      </c>
      <c r="V1310" s="5">
        <v>0.0062</v>
      </c>
      <c r="W1310" s="5">
        <v>0.0</v>
      </c>
      <c r="X1310" s="5">
        <v>0.0</v>
      </c>
      <c r="Y1310" s="2">
        <v>0.0</v>
      </c>
      <c r="AA1310" s="2" t="s">
        <v>33</v>
      </c>
    </row>
    <row r="1311">
      <c r="A1311" s="2">
        <v>2962.0</v>
      </c>
      <c r="B1311" s="2" t="s">
        <v>3868</v>
      </c>
      <c r="C1311" s="2" t="s">
        <v>7</v>
      </c>
      <c r="D1311" s="2" t="s">
        <v>3869</v>
      </c>
      <c r="E1311" s="2" t="s">
        <v>3870</v>
      </c>
      <c r="F1311" s="6">
        <v>45886.708333333336</v>
      </c>
      <c r="G1311" s="2">
        <v>63903.0</v>
      </c>
      <c r="H1311" s="2">
        <v>63903.0</v>
      </c>
      <c r="I1311" s="2">
        <v>56327.0</v>
      </c>
      <c r="J1311" s="2">
        <v>529.0</v>
      </c>
      <c r="K1311" s="2">
        <v>424.0</v>
      </c>
      <c r="L1311" s="2">
        <v>4.0</v>
      </c>
      <c r="M1311" s="4">
        <v>12381.0</v>
      </c>
      <c r="N1311" s="2" t="s">
        <v>30</v>
      </c>
      <c r="O1311" s="2">
        <v>70.0</v>
      </c>
      <c r="P1311" s="2" t="s">
        <v>189</v>
      </c>
      <c r="Q1311" s="2" t="s">
        <v>32</v>
      </c>
      <c r="R1311" s="2">
        <v>30.0</v>
      </c>
      <c r="T1311" s="2" t="s">
        <v>405</v>
      </c>
      <c r="U1311" s="2" t="b">
        <v>0</v>
      </c>
      <c r="V1311" s="5">
        <v>0.0075</v>
      </c>
      <c r="W1311" s="5">
        <v>0.0094</v>
      </c>
      <c r="X1311" s="5">
        <v>7.1E-5</v>
      </c>
      <c r="Y1311" s="2">
        <v>29.2004717</v>
      </c>
      <c r="Z1311" s="2">
        <v>3596.0</v>
      </c>
      <c r="AA1311" s="2" t="s">
        <v>33</v>
      </c>
    </row>
    <row r="1312">
      <c r="A1312" s="2">
        <v>2978.0</v>
      </c>
      <c r="B1312" s="2" t="s">
        <v>3871</v>
      </c>
      <c r="C1312" s="2" t="s">
        <v>7</v>
      </c>
      <c r="D1312" s="2" t="s">
        <v>3872</v>
      </c>
      <c r="E1312" s="2" t="s">
        <v>3873</v>
      </c>
      <c r="F1312" s="6">
        <v>45887.486805555556</v>
      </c>
      <c r="G1312" s="2">
        <v>63885.0</v>
      </c>
      <c r="H1312" s="2">
        <v>63885.0</v>
      </c>
      <c r="I1312" s="2">
        <v>56140.0</v>
      </c>
      <c r="J1312" s="2">
        <v>448.0</v>
      </c>
      <c r="K1312" s="2">
        <v>359.0</v>
      </c>
      <c r="L1312" s="2">
        <v>5.0</v>
      </c>
      <c r="M1312" s="4">
        <v>13565.0</v>
      </c>
      <c r="N1312" s="2" t="s">
        <v>30</v>
      </c>
      <c r="O1312" s="2">
        <v>70.0</v>
      </c>
      <c r="P1312" s="2" t="s">
        <v>31</v>
      </c>
      <c r="Q1312" s="2" t="s">
        <v>32</v>
      </c>
      <c r="R1312" s="2">
        <v>21.0</v>
      </c>
      <c r="U1312" s="2" t="b">
        <v>0</v>
      </c>
      <c r="V1312" s="5">
        <v>0.0064</v>
      </c>
      <c r="W1312" s="5">
        <v>0.0139</v>
      </c>
      <c r="X1312" s="5">
        <v>8.9E-5</v>
      </c>
      <c r="Y1312" s="2">
        <v>37.78551532</v>
      </c>
      <c r="AA1312" s="2" t="s">
        <v>33</v>
      </c>
    </row>
    <row r="1313">
      <c r="A1313" s="2">
        <v>2979.0</v>
      </c>
      <c r="B1313" s="2" t="s">
        <v>3874</v>
      </c>
      <c r="C1313" s="2" t="s">
        <v>7</v>
      </c>
      <c r="D1313" s="2" t="s">
        <v>3875</v>
      </c>
      <c r="E1313" s="2" t="s">
        <v>3876</v>
      </c>
      <c r="F1313" s="6">
        <v>45887.48819444444</v>
      </c>
      <c r="G1313" s="2">
        <v>48691.0</v>
      </c>
      <c r="H1313" s="2">
        <v>48691.0</v>
      </c>
      <c r="I1313" s="2">
        <v>41646.0</v>
      </c>
      <c r="J1313" s="2">
        <v>311.0</v>
      </c>
      <c r="K1313" s="2">
        <v>235.0</v>
      </c>
      <c r="L1313" s="2">
        <v>2.0</v>
      </c>
      <c r="M1313" s="4">
        <v>5498.0</v>
      </c>
      <c r="N1313" s="2" t="s">
        <v>36</v>
      </c>
      <c r="O1313" s="2">
        <v>71.0</v>
      </c>
      <c r="P1313" s="2" t="s">
        <v>189</v>
      </c>
      <c r="Q1313" s="2" t="s">
        <v>32</v>
      </c>
      <c r="R1313" s="2">
        <v>34.0</v>
      </c>
      <c r="T1313" s="2" t="s">
        <v>47</v>
      </c>
      <c r="U1313" s="2" t="b">
        <v>0</v>
      </c>
      <c r="V1313" s="5">
        <v>0.0056</v>
      </c>
      <c r="W1313" s="5">
        <v>0.0085</v>
      </c>
      <c r="X1313" s="5">
        <v>4.8E-5</v>
      </c>
      <c r="Y1313" s="2">
        <v>23.39574468</v>
      </c>
      <c r="AA1313" s="2" t="s">
        <v>33</v>
      </c>
    </row>
    <row r="1314">
      <c r="A1314" s="2">
        <v>2987.0</v>
      </c>
      <c r="B1314" s="2" t="s">
        <v>3877</v>
      </c>
      <c r="C1314" s="2" t="s">
        <v>7</v>
      </c>
      <c r="D1314" s="2" t="s">
        <v>3878</v>
      </c>
      <c r="E1314" s="2" t="s">
        <v>3879</v>
      </c>
      <c r="F1314" s="6">
        <v>45887.64097222222</v>
      </c>
      <c r="G1314" s="2">
        <v>63852.0</v>
      </c>
      <c r="H1314" s="2">
        <v>63852.0</v>
      </c>
      <c r="I1314" s="2">
        <v>56309.0</v>
      </c>
      <c r="J1314" s="2">
        <v>351.0</v>
      </c>
      <c r="K1314" s="2">
        <v>290.0</v>
      </c>
      <c r="L1314" s="2">
        <v>3.0</v>
      </c>
      <c r="M1314" s="4">
        <v>4393.0</v>
      </c>
      <c r="N1314" s="2" t="s">
        <v>30</v>
      </c>
      <c r="O1314" s="2">
        <v>70.0</v>
      </c>
      <c r="P1314" s="2" t="s">
        <v>189</v>
      </c>
      <c r="Q1314" s="2" t="s">
        <v>32</v>
      </c>
      <c r="R1314" s="2">
        <v>33.0</v>
      </c>
      <c r="T1314" s="2" t="s">
        <v>405</v>
      </c>
      <c r="U1314" s="2" t="b">
        <v>0</v>
      </c>
      <c r="V1314" s="5">
        <v>0.0052</v>
      </c>
      <c r="W1314" s="5">
        <v>0.0103</v>
      </c>
      <c r="X1314" s="5">
        <v>5.3E-5</v>
      </c>
      <c r="Y1314" s="2">
        <v>15.14827586</v>
      </c>
      <c r="AA1314" s="2" t="s">
        <v>33</v>
      </c>
    </row>
    <row r="1315">
      <c r="A1315" s="2">
        <v>2988.0</v>
      </c>
      <c r="B1315" s="2" t="s">
        <v>3880</v>
      </c>
      <c r="C1315" s="2" t="s">
        <v>7</v>
      </c>
      <c r="D1315" s="2" t="s">
        <v>3881</v>
      </c>
      <c r="E1315" s="2" t="s">
        <v>3882</v>
      </c>
      <c r="F1315" s="6">
        <v>45887.68680555555</v>
      </c>
      <c r="G1315" s="2">
        <v>48675.0</v>
      </c>
      <c r="H1315" s="2">
        <v>48675.0</v>
      </c>
      <c r="I1315" s="2">
        <v>0.0</v>
      </c>
      <c r="J1315" s="2">
        <v>0.0</v>
      </c>
      <c r="K1315" s="2">
        <v>0.0</v>
      </c>
      <c r="L1315" s="2">
        <v>0.0</v>
      </c>
      <c r="M1315" s="2">
        <v>0.0</v>
      </c>
      <c r="N1315" s="2" t="s">
        <v>36</v>
      </c>
      <c r="O1315" s="2">
        <v>71.0</v>
      </c>
      <c r="P1315" s="2" t="s">
        <v>31</v>
      </c>
      <c r="Q1315" s="2" t="s">
        <v>32</v>
      </c>
      <c r="R1315" s="2">
        <v>32.0</v>
      </c>
      <c r="U1315" s="2" t="b">
        <v>1</v>
      </c>
      <c r="AA1315" s="2" t="s">
        <v>33</v>
      </c>
    </row>
    <row r="1316">
      <c r="A1316" s="2">
        <v>2997.0</v>
      </c>
      <c r="B1316" s="2" t="s">
        <v>3883</v>
      </c>
      <c r="C1316" s="2" t="s">
        <v>7</v>
      </c>
      <c r="D1316" s="2" t="s">
        <v>3884</v>
      </c>
      <c r="E1316" s="2" t="s">
        <v>3885</v>
      </c>
      <c r="F1316" s="6">
        <v>45887.71527777778</v>
      </c>
      <c r="G1316" s="2">
        <v>48686.0</v>
      </c>
      <c r="H1316" s="2">
        <v>48686.0</v>
      </c>
      <c r="I1316" s="2">
        <v>41822.0</v>
      </c>
      <c r="J1316" s="2">
        <v>510.0</v>
      </c>
      <c r="K1316" s="2">
        <v>389.0</v>
      </c>
      <c r="L1316" s="2">
        <v>7.0</v>
      </c>
      <c r="M1316" s="4">
        <v>21059.0</v>
      </c>
      <c r="N1316" s="2" t="s">
        <v>36</v>
      </c>
      <c r="O1316" s="2">
        <v>71.0</v>
      </c>
      <c r="P1316" s="2" t="s">
        <v>31</v>
      </c>
      <c r="Q1316" s="2" t="s">
        <v>32</v>
      </c>
      <c r="R1316" s="2">
        <v>48.0</v>
      </c>
      <c r="U1316" s="2" t="b">
        <v>0</v>
      </c>
      <c r="V1316" s="5">
        <v>0.0093</v>
      </c>
      <c r="W1316" s="5">
        <v>0.018</v>
      </c>
      <c r="X1316" s="5">
        <v>1.67E-4</v>
      </c>
      <c r="Y1316" s="2">
        <v>54.13624679</v>
      </c>
      <c r="AA1316" s="2" t="s">
        <v>33</v>
      </c>
    </row>
    <row r="1317">
      <c r="A1317" s="2">
        <v>2996.0</v>
      </c>
      <c r="B1317" s="2" t="s">
        <v>3886</v>
      </c>
      <c r="C1317" s="2" t="s">
        <v>7</v>
      </c>
      <c r="D1317" s="2" t="s">
        <v>3887</v>
      </c>
      <c r="E1317" s="2" t="s">
        <v>3888</v>
      </c>
      <c r="F1317" s="6">
        <v>45887.71527777778</v>
      </c>
      <c r="G1317" s="2">
        <v>63824.0</v>
      </c>
      <c r="H1317" s="2">
        <v>63824.0</v>
      </c>
      <c r="I1317" s="2">
        <v>56285.0</v>
      </c>
      <c r="J1317" s="2">
        <v>451.0</v>
      </c>
      <c r="K1317" s="2">
        <v>346.0</v>
      </c>
      <c r="L1317" s="2">
        <v>4.0</v>
      </c>
      <c r="M1317" s="4">
        <v>18174.0</v>
      </c>
      <c r="N1317" s="2" t="s">
        <v>30</v>
      </c>
      <c r="O1317" s="2">
        <v>70.0</v>
      </c>
      <c r="P1317" s="2" t="s">
        <v>31</v>
      </c>
      <c r="Q1317" s="2" t="s">
        <v>32</v>
      </c>
      <c r="R1317" s="2">
        <v>46.0</v>
      </c>
      <c r="T1317" s="2" t="s">
        <v>47</v>
      </c>
      <c r="U1317" s="2" t="b">
        <v>0</v>
      </c>
      <c r="V1317" s="5">
        <v>0.0061</v>
      </c>
      <c r="W1317" s="5">
        <v>0.0116</v>
      </c>
      <c r="X1317" s="5">
        <v>7.1E-5</v>
      </c>
      <c r="Y1317" s="2">
        <v>52.52601156</v>
      </c>
      <c r="Z1317" s="2">
        <v>4619.0</v>
      </c>
      <c r="AA1317" s="2" t="s">
        <v>33</v>
      </c>
    </row>
    <row r="1318">
      <c r="A1318" s="2">
        <v>2999.0</v>
      </c>
      <c r="B1318" s="2" t="s">
        <v>3889</v>
      </c>
      <c r="C1318" s="2" t="s">
        <v>7</v>
      </c>
      <c r="D1318" s="2" t="s">
        <v>3333</v>
      </c>
      <c r="E1318" s="2" t="s">
        <v>3890</v>
      </c>
      <c r="F1318" s="6">
        <v>45888.458333333336</v>
      </c>
      <c r="G1318" s="2">
        <v>48584.0</v>
      </c>
      <c r="H1318" s="2">
        <v>48584.0</v>
      </c>
      <c r="I1318" s="2">
        <v>41539.0</v>
      </c>
      <c r="J1318" s="2">
        <v>238.0</v>
      </c>
      <c r="K1318" s="2">
        <v>182.0</v>
      </c>
      <c r="L1318" s="2">
        <v>2.0</v>
      </c>
      <c r="M1318" s="4">
        <v>9398.0</v>
      </c>
      <c r="N1318" s="2" t="s">
        <v>36</v>
      </c>
      <c r="O1318" s="2">
        <v>71.0</v>
      </c>
      <c r="P1318" s="2" t="s">
        <v>189</v>
      </c>
      <c r="Q1318" s="2" t="s">
        <v>32</v>
      </c>
      <c r="R1318" s="2">
        <v>43.0</v>
      </c>
      <c r="U1318" s="2" t="b">
        <v>0</v>
      </c>
      <c r="V1318" s="5">
        <v>0.0044</v>
      </c>
      <c r="W1318" s="5">
        <v>0.011</v>
      </c>
      <c r="X1318" s="5">
        <v>4.8E-5</v>
      </c>
      <c r="Y1318" s="2">
        <v>51.63736264</v>
      </c>
      <c r="AA1318" s="2" t="s">
        <v>33</v>
      </c>
    </row>
    <row r="1319">
      <c r="A1319" s="2">
        <v>2998.0</v>
      </c>
      <c r="B1319" s="2" t="s">
        <v>3891</v>
      </c>
      <c r="C1319" s="2" t="s">
        <v>7</v>
      </c>
      <c r="D1319" s="2" t="s">
        <v>3892</v>
      </c>
      <c r="E1319" s="2" t="s">
        <v>3893</v>
      </c>
      <c r="F1319" s="6">
        <v>45888.458333333336</v>
      </c>
      <c r="G1319" s="2">
        <v>63802.0</v>
      </c>
      <c r="H1319" s="2">
        <v>63802.0</v>
      </c>
      <c r="I1319" s="2">
        <v>56110.0</v>
      </c>
      <c r="J1319" s="2">
        <v>598.0</v>
      </c>
      <c r="K1319" s="2">
        <v>480.0</v>
      </c>
      <c r="L1319" s="2">
        <v>6.0</v>
      </c>
      <c r="M1319" s="4">
        <v>14217.0</v>
      </c>
      <c r="N1319" s="2" t="s">
        <v>30</v>
      </c>
      <c r="O1319" s="2">
        <v>70.0</v>
      </c>
      <c r="P1319" s="2" t="s">
        <v>189</v>
      </c>
      <c r="Q1319" s="2" t="s">
        <v>32</v>
      </c>
      <c r="R1319" s="2">
        <v>37.0</v>
      </c>
      <c r="T1319" s="2" t="s">
        <v>58</v>
      </c>
      <c r="U1319" s="2" t="b">
        <v>0</v>
      </c>
      <c r="V1319" s="5">
        <v>0.0086</v>
      </c>
      <c r="W1319" s="5">
        <v>0.0125</v>
      </c>
      <c r="X1319" s="5">
        <v>1.07E-4</v>
      </c>
      <c r="Y1319" s="2">
        <v>29.61875</v>
      </c>
      <c r="Z1319" s="2">
        <v>5046.0</v>
      </c>
      <c r="AA1319" s="2" t="s">
        <v>33</v>
      </c>
    </row>
    <row r="1320">
      <c r="A1320" s="2">
        <v>3001.0</v>
      </c>
      <c r="B1320" s="2" t="s">
        <v>3894</v>
      </c>
      <c r="C1320" s="2" t="s">
        <v>7</v>
      </c>
      <c r="D1320" s="2" t="s">
        <v>3895</v>
      </c>
      <c r="E1320" s="2" t="s">
        <v>3896</v>
      </c>
      <c r="F1320" s="6">
        <v>45888.625</v>
      </c>
      <c r="G1320" s="2">
        <v>48556.0</v>
      </c>
      <c r="H1320" s="2">
        <v>48556.0</v>
      </c>
      <c r="I1320" s="2">
        <v>41814.0</v>
      </c>
      <c r="J1320" s="2">
        <v>338.0</v>
      </c>
      <c r="K1320" s="2">
        <v>262.0</v>
      </c>
      <c r="L1320" s="2">
        <v>9.0</v>
      </c>
      <c r="M1320" s="4">
        <v>11846.0</v>
      </c>
      <c r="N1320" s="2" t="s">
        <v>36</v>
      </c>
      <c r="O1320" s="2">
        <v>71.0</v>
      </c>
      <c r="P1320" s="2" t="s">
        <v>189</v>
      </c>
      <c r="Q1320" s="2" t="s">
        <v>32</v>
      </c>
      <c r="R1320" s="2">
        <v>39.0</v>
      </c>
      <c r="U1320" s="2" t="b">
        <v>1</v>
      </c>
      <c r="V1320" s="5">
        <v>0.0063</v>
      </c>
      <c r="W1320" s="5">
        <v>0.0344</v>
      </c>
      <c r="X1320" s="5">
        <v>2.15E-4</v>
      </c>
      <c r="Y1320" s="2">
        <v>45.21374046</v>
      </c>
      <c r="AA1320" s="2" t="s">
        <v>33</v>
      </c>
    </row>
    <row r="1321">
      <c r="A1321" s="2">
        <v>3000.0</v>
      </c>
      <c r="B1321" s="2" t="s">
        <v>3897</v>
      </c>
      <c r="C1321" s="2" t="s">
        <v>7</v>
      </c>
      <c r="D1321" s="2" t="s">
        <v>3898</v>
      </c>
      <c r="E1321" s="2" t="s">
        <v>3899</v>
      </c>
      <c r="F1321" s="6">
        <v>45888.625</v>
      </c>
      <c r="G1321" s="2">
        <v>63810.0</v>
      </c>
      <c r="H1321" s="2">
        <v>63810.0</v>
      </c>
      <c r="I1321" s="2">
        <v>56374.0</v>
      </c>
      <c r="J1321" s="2">
        <v>418.0</v>
      </c>
      <c r="K1321" s="2">
        <v>334.0</v>
      </c>
      <c r="L1321" s="2">
        <v>7.0</v>
      </c>
      <c r="M1321" s="4">
        <v>23011.0</v>
      </c>
      <c r="N1321" s="2" t="s">
        <v>30</v>
      </c>
      <c r="O1321" s="2">
        <v>70.0</v>
      </c>
      <c r="P1321" s="2" t="s">
        <v>189</v>
      </c>
      <c r="Q1321" s="2" t="s">
        <v>32</v>
      </c>
      <c r="R1321" s="2">
        <v>38.0</v>
      </c>
      <c r="T1321" s="2" t="s">
        <v>405</v>
      </c>
      <c r="U1321" s="2" t="b">
        <v>0</v>
      </c>
      <c r="V1321" s="5">
        <v>0.0059</v>
      </c>
      <c r="W1321" s="5">
        <v>0.021</v>
      </c>
      <c r="X1321" s="5">
        <v>1.24E-4</v>
      </c>
      <c r="Y1321" s="2">
        <v>68.89520958</v>
      </c>
      <c r="Z1321" s="2">
        <v>4463.0</v>
      </c>
      <c r="AA1321" s="2" t="s">
        <v>33</v>
      </c>
    </row>
    <row r="1322">
      <c r="A1322" s="2">
        <v>3003.0</v>
      </c>
      <c r="B1322" s="2" t="s">
        <v>3900</v>
      </c>
      <c r="C1322" s="2" t="s">
        <v>7</v>
      </c>
      <c r="D1322" s="2" t="s">
        <v>3901</v>
      </c>
      <c r="E1322" s="2" t="s">
        <v>3902</v>
      </c>
      <c r="F1322" s="6">
        <v>45888.708333333336</v>
      </c>
      <c r="G1322" s="2">
        <v>48498.0</v>
      </c>
      <c r="H1322" s="2">
        <v>48498.0</v>
      </c>
      <c r="I1322" s="2">
        <v>41835.0</v>
      </c>
      <c r="J1322" s="2">
        <v>278.0</v>
      </c>
      <c r="K1322" s="2">
        <v>216.0</v>
      </c>
      <c r="L1322" s="2">
        <v>5.0</v>
      </c>
      <c r="M1322" s="4">
        <v>12294.0</v>
      </c>
      <c r="N1322" s="2" t="s">
        <v>36</v>
      </c>
      <c r="O1322" s="2">
        <v>71.0</v>
      </c>
      <c r="P1322" s="2" t="s">
        <v>31</v>
      </c>
      <c r="Q1322" s="2" t="s">
        <v>32</v>
      </c>
      <c r="R1322" s="2">
        <v>43.0</v>
      </c>
      <c r="T1322" s="2" t="s">
        <v>58</v>
      </c>
      <c r="U1322" s="2" t="b">
        <v>1</v>
      </c>
      <c r="V1322" s="5">
        <v>0.0052</v>
      </c>
      <c r="W1322" s="5">
        <v>0.0231</v>
      </c>
      <c r="X1322" s="5">
        <v>1.2E-4</v>
      </c>
      <c r="Y1322" s="2">
        <v>56.91666667</v>
      </c>
      <c r="AA1322" s="2" t="s">
        <v>33</v>
      </c>
    </row>
    <row r="1323">
      <c r="A1323" s="2">
        <v>3002.0</v>
      </c>
      <c r="B1323" s="2" t="s">
        <v>3903</v>
      </c>
      <c r="C1323" s="2" t="s">
        <v>7</v>
      </c>
      <c r="D1323" s="2" t="s">
        <v>3904</v>
      </c>
      <c r="E1323" s="2" t="s">
        <v>3905</v>
      </c>
      <c r="F1323" s="6">
        <v>45888.708333333336</v>
      </c>
      <c r="G1323" s="2">
        <v>63751.0</v>
      </c>
      <c r="H1323" s="2">
        <v>63751.0</v>
      </c>
      <c r="I1323" s="2">
        <v>56204.0</v>
      </c>
      <c r="J1323" s="2">
        <v>351.0</v>
      </c>
      <c r="K1323" s="2">
        <v>266.0</v>
      </c>
      <c r="L1323" s="2">
        <v>1.0</v>
      </c>
      <c r="M1323" s="4">
        <v>1580.0</v>
      </c>
      <c r="N1323" s="2" t="s">
        <v>30</v>
      </c>
      <c r="O1323" s="2">
        <v>70.0</v>
      </c>
      <c r="P1323" s="2" t="s">
        <v>31</v>
      </c>
      <c r="Q1323" s="2" t="s">
        <v>32</v>
      </c>
      <c r="R1323" s="2">
        <v>42.0</v>
      </c>
      <c r="U1323" s="2" t="b">
        <v>0</v>
      </c>
      <c r="V1323" s="5">
        <v>0.0047</v>
      </c>
      <c r="W1323" s="5">
        <v>0.0038</v>
      </c>
      <c r="X1323" s="5">
        <v>1.8E-5</v>
      </c>
      <c r="Y1323" s="2">
        <v>5.939849624</v>
      </c>
      <c r="Z1323" s="2">
        <v>4975.0</v>
      </c>
      <c r="AA1323" s="2" t="s">
        <v>33</v>
      </c>
    </row>
    <row r="1324">
      <c r="A1324" s="2">
        <v>3005.0</v>
      </c>
      <c r="B1324" s="2" t="s">
        <v>3906</v>
      </c>
      <c r="C1324" s="2" t="s">
        <v>7</v>
      </c>
      <c r="D1324" s="2" t="s">
        <v>3333</v>
      </c>
      <c r="E1324" s="2" t="s">
        <v>3334</v>
      </c>
      <c r="F1324" s="6">
        <v>45889.458333333336</v>
      </c>
      <c r="G1324" s="2">
        <v>48583.0</v>
      </c>
      <c r="H1324" s="2">
        <v>48583.0</v>
      </c>
      <c r="I1324" s="2">
        <v>41367.0</v>
      </c>
      <c r="J1324" s="2">
        <v>264.0</v>
      </c>
      <c r="K1324" s="2">
        <v>222.0</v>
      </c>
      <c r="L1324" s="2">
        <v>4.0</v>
      </c>
      <c r="M1324" s="4">
        <v>12773.0</v>
      </c>
      <c r="N1324" s="2" t="s">
        <v>36</v>
      </c>
      <c r="O1324" s="2">
        <v>71.0</v>
      </c>
      <c r="P1324" s="2" t="s">
        <v>31</v>
      </c>
      <c r="Q1324" s="2" t="s">
        <v>32</v>
      </c>
      <c r="R1324" s="2">
        <v>43.0</v>
      </c>
      <c r="T1324" s="2" t="s">
        <v>162</v>
      </c>
      <c r="U1324" s="2" t="b">
        <v>0</v>
      </c>
      <c r="V1324" s="5">
        <v>0.0054</v>
      </c>
      <c r="W1324" s="5">
        <v>0.018</v>
      </c>
      <c r="X1324" s="5">
        <v>9.7E-5</v>
      </c>
      <c r="Y1324" s="2">
        <v>57.53603604</v>
      </c>
      <c r="AA1324" s="2" t="s">
        <v>33</v>
      </c>
    </row>
    <row r="1325">
      <c r="A1325" s="2">
        <v>3004.0</v>
      </c>
      <c r="B1325" s="2" t="s">
        <v>3907</v>
      </c>
      <c r="C1325" s="2" t="s">
        <v>7</v>
      </c>
      <c r="D1325" s="2" t="s">
        <v>3908</v>
      </c>
      <c r="E1325" s="2" t="s">
        <v>3337</v>
      </c>
      <c r="F1325" s="6">
        <v>45889.458333333336</v>
      </c>
      <c r="G1325" s="2">
        <v>63808.0</v>
      </c>
      <c r="H1325" s="2">
        <v>63808.0</v>
      </c>
      <c r="I1325" s="2">
        <v>55960.0</v>
      </c>
      <c r="J1325" s="2">
        <v>317.0</v>
      </c>
      <c r="K1325" s="2">
        <v>254.0</v>
      </c>
      <c r="L1325" s="2">
        <v>3.0</v>
      </c>
      <c r="M1325" s="4">
        <v>7504.0</v>
      </c>
      <c r="N1325" s="2" t="s">
        <v>30</v>
      </c>
      <c r="O1325" s="2">
        <v>70.0</v>
      </c>
      <c r="P1325" s="2" t="s">
        <v>31</v>
      </c>
      <c r="Q1325" s="2" t="s">
        <v>32</v>
      </c>
      <c r="R1325" s="2">
        <v>31.0</v>
      </c>
      <c r="T1325" s="2" t="s">
        <v>47</v>
      </c>
      <c r="U1325" s="2" t="b">
        <v>0</v>
      </c>
      <c r="V1325" s="5">
        <v>0.0045</v>
      </c>
      <c r="W1325" s="5">
        <v>0.0118</v>
      </c>
      <c r="X1325" s="5">
        <v>5.4E-5</v>
      </c>
      <c r="Y1325" s="2">
        <v>29.54330709</v>
      </c>
      <c r="AA1325" s="2" t="s">
        <v>33</v>
      </c>
    </row>
    <row r="1326">
      <c r="A1326" s="2">
        <v>3036.0</v>
      </c>
      <c r="B1326" s="2" t="s">
        <v>3909</v>
      </c>
      <c r="C1326" s="2" t="s">
        <v>7</v>
      </c>
      <c r="D1326" s="2" t="s">
        <v>3910</v>
      </c>
      <c r="E1326" s="2" t="e">
        <v>#N/A</v>
      </c>
      <c r="F1326" s="6">
        <v>45889.520833333336</v>
      </c>
      <c r="G1326" s="2">
        <v>6326.0</v>
      </c>
      <c r="H1326" s="2">
        <v>6326.0</v>
      </c>
      <c r="I1326" s="2">
        <v>5274.0</v>
      </c>
      <c r="J1326" s="2">
        <v>80.0</v>
      </c>
      <c r="K1326" s="2">
        <v>64.0</v>
      </c>
      <c r="L1326" s="2">
        <v>3.0</v>
      </c>
      <c r="M1326" s="4">
        <v>4929.0</v>
      </c>
      <c r="N1326" s="2" t="s">
        <v>423</v>
      </c>
      <c r="O1326" s="2">
        <v>119.0</v>
      </c>
      <c r="P1326" s="2" t="s">
        <v>189</v>
      </c>
      <c r="Q1326" s="2" t="s">
        <v>1367</v>
      </c>
      <c r="R1326" s="2">
        <v>24.0</v>
      </c>
      <c r="T1326" s="2" t="s">
        <v>162</v>
      </c>
      <c r="U1326" s="2" t="b">
        <v>0</v>
      </c>
      <c r="V1326" s="5">
        <v>0.0121</v>
      </c>
      <c r="W1326" s="5">
        <v>0.0469</v>
      </c>
      <c r="X1326" s="5">
        <v>5.69E-4</v>
      </c>
      <c r="Y1326" s="2">
        <v>77.015625</v>
      </c>
      <c r="AA1326" s="2" t="s">
        <v>423</v>
      </c>
    </row>
    <row r="1327">
      <c r="A1327" s="2">
        <v>3037.0</v>
      </c>
      <c r="B1327" s="2" t="s">
        <v>3911</v>
      </c>
      <c r="C1327" s="2" t="s">
        <v>7</v>
      </c>
      <c r="D1327" s="2" t="s">
        <v>3912</v>
      </c>
      <c r="E1327" s="2" t="s">
        <v>3913</v>
      </c>
      <c r="F1327" s="6">
        <v>45889.541666666664</v>
      </c>
      <c r="G1327" s="2">
        <v>6231.0</v>
      </c>
      <c r="H1327" s="2">
        <v>6231.0</v>
      </c>
      <c r="I1327" s="2">
        <v>5282.0</v>
      </c>
      <c r="J1327" s="2">
        <v>59.0</v>
      </c>
      <c r="K1327" s="2">
        <v>46.0</v>
      </c>
      <c r="L1327" s="2">
        <v>0.0</v>
      </c>
      <c r="M1327" s="2">
        <v>0.0</v>
      </c>
      <c r="N1327" s="2" t="s">
        <v>423</v>
      </c>
      <c r="O1327" s="2">
        <v>119.0</v>
      </c>
      <c r="P1327" s="2" t="s">
        <v>31</v>
      </c>
      <c r="Q1327" s="2" t="s">
        <v>1367</v>
      </c>
      <c r="R1327" s="2">
        <v>39.0</v>
      </c>
      <c r="T1327" s="2" t="s">
        <v>47</v>
      </c>
      <c r="U1327" s="2" t="b">
        <v>0</v>
      </c>
      <c r="V1327" s="5">
        <v>0.0087</v>
      </c>
      <c r="W1327" s="5">
        <v>0.0</v>
      </c>
      <c r="X1327" s="5">
        <v>0.0</v>
      </c>
      <c r="Y1327" s="2">
        <v>0.0</v>
      </c>
      <c r="AA1327" s="2" t="s">
        <v>423</v>
      </c>
    </row>
    <row r="1328">
      <c r="A1328" s="2">
        <v>3042.0</v>
      </c>
      <c r="B1328" s="2" t="s">
        <v>3914</v>
      </c>
      <c r="C1328" s="2" t="s">
        <v>7</v>
      </c>
      <c r="D1328" s="2" t="s">
        <v>3915</v>
      </c>
      <c r="E1328" s="2" t="s">
        <v>3916</v>
      </c>
      <c r="F1328" s="6">
        <v>45889.604166666664</v>
      </c>
      <c r="G1328" s="2">
        <v>6231.0</v>
      </c>
      <c r="H1328" s="2">
        <v>6231.0</v>
      </c>
      <c r="I1328" s="2">
        <v>5268.0</v>
      </c>
      <c r="J1328" s="2">
        <v>79.0</v>
      </c>
      <c r="K1328" s="2">
        <v>67.0</v>
      </c>
      <c r="L1328" s="2">
        <v>3.0</v>
      </c>
      <c r="M1328" s="4">
        <v>4754.0</v>
      </c>
      <c r="N1328" s="2" t="s">
        <v>423</v>
      </c>
      <c r="O1328" s="2">
        <v>119.0</v>
      </c>
      <c r="P1328" s="2" t="s">
        <v>31</v>
      </c>
      <c r="Q1328" s="2" t="s">
        <v>1367</v>
      </c>
      <c r="R1328" s="2">
        <v>62.0</v>
      </c>
      <c r="T1328" s="2" t="s">
        <v>47</v>
      </c>
      <c r="U1328" s="2" t="b">
        <v>0</v>
      </c>
      <c r="V1328" s="5">
        <v>0.0127</v>
      </c>
      <c r="W1328" s="5">
        <v>0.0448</v>
      </c>
      <c r="X1328" s="5">
        <v>5.69E-4</v>
      </c>
      <c r="Y1328" s="2">
        <v>70.95522388</v>
      </c>
      <c r="AA1328" s="2" t="s">
        <v>423</v>
      </c>
    </row>
    <row r="1329">
      <c r="A1329" s="2">
        <v>3007.0</v>
      </c>
      <c r="B1329" s="2" t="s">
        <v>3917</v>
      </c>
      <c r="C1329" s="2" t="s">
        <v>7</v>
      </c>
      <c r="D1329" s="2" t="s">
        <v>3918</v>
      </c>
      <c r="E1329" s="2" t="s">
        <v>3919</v>
      </c>
      <c r="F1329" s="6">
        <v>45889.625</v>
      </c>
      <c r="G1329" s="2">
        <v>48602.0</v>
      </c>
      <c r="H1329" s="2">
        <v>48602.0</v>
      </c>
      <c r="I1329" s="2">
        <v>41804.0</v>
      </c>
      <c r="J1329" s="2">
        <v>406.0</v>
      </c>
      <c r="K1329" s="2">
        <v>328.0</v>
      </c>
      <c r="L1329" s="2">
        <v>10.0</v>
      </c>
      <c r="M1329" s="4">
        <v>38758.0</v>
      </c>
      <c r="N1329" s="2" t="s">
        <v>36</v>
      </c>
      <c r="O1329" s="2">
        <v>71.0</v>
      </c>
      <c r="P1329" s="2" t="s">
        <v>189</v>
      </c>
      <c r="Q1329" s="2" t="s">
        <v>32</v>
      </c>
      <c r="R1329" s="2">
        <v>47.0</v>
      </c>
      <c r="T1329" s="2" t="s">
        <v>162</v>
      </c>
      <c r="U1329" s="2" t="b">
        <v>0</v>
      </c>
      <c r="V1329" s="5">
        <v>0.0078</v>
      </c>
      <c r="W1329" s="5">
        <v>0.0305</v>
      </c>
      <c r="X1329" s="5">
        <v>2.39E-4</v>
      </c>
      <c r="Y1329" s="2">
        <v>118.1646341</v>
      </c>
      <c r="AA1329" s="2" t="s">
        <v>33</v>
      </c>
    </row>
    <row r="1330">
      <c r="A1330" s="2">
        <v>3006.0</v>
      </c>
      <c r="B1330" s="2" t="s">
        <v>3920</v>
      </c>
      <c r="C1330" s="2" t="s">
        <v>7</v>
      </c>
      <c r="D1330" s="2" t="s">
        <v>3921</v>
      </c>
      <c r="E1330" s="2" t="s">
        <v>3922</v>
      </c>
      <c r="F1330" s="6">
        <v>45889.625</v>
      </c>
      <c r="G1330" s="2">
        <v>63845.0</v>
      </c>
      <c r="H1330" s="2">
        <v>63845.0</v>
      </c>
      <c r="I1330" s="2">
        <v>56342.0</v>
      </c>
      <c r="J1330" s="2">
        <v>429.0</v>
      </c>
      <c r="K1330" s="2">
        <v>349.0</v>
      </c>
      <c r="L1330" s="2">
        <v>7.0</v>
      </c>
      <c r="M1330" s="4">
        <v>18455.0</v>
      </c>
      <c r="N1330" s="2" t="s">
        <v>30</v>
      </c>
      <c r="O1330" s="2">
        <v>70.0</v>
      </c>
      <c r="P1330" s="2" t="s">
        <v>189</v>
      </c>
      <c r="Q1330" s="2" t="s">
        <v>32</v>
      </c>
      <c r="R1330" s="2">
        <v>38.0</v>
      </c>
      <c r="U1330" s="2" t="b">
        <v>0</v>
      </c>
      <c r="V1330" s="5">
        <v>0.0062</v>
      </c>
      <c r="W1330" s="5">
        <v>0.0201</v>
      </c>
      <c r="X1330" s="5">
        <v>1.24E-4</v>
      </c>
      <c r="Y1330" s="2">
        <v>52.87965616</v>
      </c>
      <c r="Z1330" s="2" t="s">
        <v>3923</v>
      </c>
      <c r="AA1330" s="2" t="s">
        <v>33</v>
      </c>
    </row>
    <row r="1331">
      <c r="A1331" s="2">
        <v>3043.0</v>
      </c>
      <c r="B1331" s="2" t="s">
        <v>3924</v>
      </c>
      <c r="C1331" s="2" t="s">
        <v>7</v>
      </c>
      <c r="D1331" s="2" t="s">
        <v>3925</v>
      </c>
      <c r="E1331" s="2" t="s">
        <v>3926</v>
      </c>
      <c r="F1331" s="6">
        <v>45889.666666666664</v>
      </c>
      <c r="G1331" s="2">
        <v>6231.0</v>
      </c>
      <c r="H1331" s="2">
        <v>6231.0</v>
      </c>
      <c r="I1331" s="2">
        <v>5296.0</v>
      </c>
      <c r="J1331" s="2">
        <v>59.0</v>
      </c>
      <c r="K1331" s="2">
        <v>45.0</v>
      </c>
      <c r="L1331" s="2">
        <v>1.0</v>
      </c>
      <c r="M1331" s="4">
        <v>3998.0</v>
      </c>
      <c r="N1331" s="2" t="s">
        <v>423</v>
      </c>
      <c r="O1331" s="2">
        <v>119.0</v>
      </c>
      <c r="P1331" s="2" t="s">
        <v>31</v>
      </c>
      <c r="Q1331" s="2" t="s">
        <v>1367</v>
      </c>
      <c r="R1331" s="2">
        <v>55.0</v>
      </c>
      <c r="T1331" s="2" t="s">
        <v>47</v>
      </c>
      <c r="U1331" s="2" t="b">
        <v>0</v>
      </c>
      <c r="V1331" s="5">
        <v>0.0085</v>
      </c>
      <c r="W1331" s="5">
        <v>0.0222</v>
      </c>
      <c r="X1331" s="5">
        <v>1.89E-4</v>
      </c>
      <c r="Y1331" s="2">
        <v>88.84444444</v>
      </c>
      <c r="AA1331" s="2" t="s">
        <v>423</v>
      </c>
    </row>
    <row r="1332">
      <c r="A1332" s="2">
        <v>3009.0</v>
      </c>
      <c r="B1332" s="2" t="s">
        <v>3927</v>
      </c>
      <c r="C1332" s="2" t="s">
        <v>7</v>
      </c>
      <c r="D1332" s="2" t="s">
        <v>3928</v>
      </c>
      <c r="E1332" s="2" t="s">
        <v>3929</v>
      </c>
      <c r="F1332" s="6">
        <v>45889.708333333336</v>
      </c>
      <c r="G1332" s="2">
        <v>48516.0</v>
      </c>
      <c r="H1332" s="2">
        <v>48516.0</v>
      </c>
      <c r="I1332" s="2">
        <v>41772.0</v>
      </c>
      <c r="J1332" s="2">
        <v>302.0</v>
      </c>
      <c r="K1332" s="2">
        <v>232.0</v>
      </c>
      <c r="L1332" s="2">
        <v>3.0</v>
      </c>
      <c r="M1332" s="4">
        <v>9024.0</v>
      </c>
      <c r="N1332" s="2" t="s">
        <v>36</v>
      </c>
      <c r="O1332" s="2">
        <v>71.0</v>
      </c>
      <c r="P1332" s="2" t="s">
        <v>31</v>
      </c>
      <c r="Q1332" s="2" t="s">
        <v>32</v>
      </c>
      <c r="R1332" s="2">
        <v>37.0</v>
      </c>
      <c r="T1332" s="2" t="s">
        <v>58</v>
      </c>
      <c r="U1332" s="2" t="b">
        <v>0</v>
      </c>
      <c r="V1332" s="5">
        <v>0.0056</v>
      </c>
      <c r="W1332" s="5">
        <v>0.0129</v>
      </c>
      <c r="X1332" s="5">
        <v>7.2E-5</v>
      </c>
      <c r="Y1332" s="2">
        <v>38.89655172</v>
      </c>
      <c r="AA1332" s="2" t="s">
        <v>33</v>
      </c>
    </row>
    <row r="1333">
      <c r="A1333" s="2">
        <v>3008.0</v>
      </c>
      <c r="B1333" s="2" t="s">
        <v>3930</v>
      </c>
      <c r="C1333" s="2" t="s">
        <v>7</v>
      </c>
      <c r="D1333" s="2" t="s">
        <v>3931</v>
      </c>
      <c r="E1333" s="2" t="s">
        <v>3932</v>
      </c>
      <c r="F1333" s="6">
        <v>45889.708333333336</v>
      </c>
      <c r="G1333" s="2">
        <v>63781.0</v>
      </c>
      <c r="H1333" s="2">
        <v>63781.0</v>
      </c>
      <c r="I1333" s="2">
        <v>56266.0</v>
      </c>
      <c r="J1333" s="2">
        <v>452.0</v>
      </c>
      <c r="K1333" s="2">
        <v>364.0</v>
      </c>
      <c r="L1333" s="2">
        <v>1.0</v>
      </c>
      <c r="M1333" s="2">
        <v>690.0</v>
      </c>
      <c r="N1333" s="2" t="s">
        <v>30</v>
      </c>
      <c r="O1333" s="2">
        <v>70.0</v>
      </c>
      <c r="P1333" s="2" t="s">
        <v>189</v>
      </c>
      <c r="Q1333" s="2" t="s">
        <v>32</v>
      </c>
      <c r="R1333" s="2">
        <v>31.0</v>
      </c>
      <c r="U1333" s="2" t="b">
        <v>0</v>
      </c>
      <c r="V1333" s="5">
        <v>0.0065</v>
      </c>
      <c r="W1333" s="5">
        <v>0.0027</v>
      </c>
      <c r="X1333" s="5">
        <v>1.8E-5</v>
      </c>
      <c r="Y1333" s="2">
        <v>1.895604396</v>
      </c>
      <c r="Z1333" s="2">
        <v>4669.0</v>
      </c>
      <c r="AA1333" s="2" t="s">
        <v>33</v>
      </c>
    </row>
    <row r="1334">
      <c r="A1334" s="2">
        <v>3018.0</v>
      </c>
      <c r="B1334" s="2" t="s">
        <v>3933</v>
      </c>
      <c r="C1334" s="2" t="s">
        <v>7</v>
      </c>
      <c r="D1334" s="2" t="s">
        <v>3934</v>
      </c>
      <c r="E1334" s="2" t="s">
        <v>3935</v>
      </c>
      <c r="F1334" s="6">
        <v>45890.458333333336</v>
      </c>
      <c r="G1334" s="2">
        <v>48549.0</v>
      </c>
      <c r="H1334" s="2">
        <v>48549.0</v>
      </c>
      <c r="I1334" s="2">
        <v>41448.0</v>
      </c>
      <c r="J1334" s="2">
        <v>313.0</v>
      </c>
      <c r="K1334" s="2">
        <v>246.0</v>
      </c>
      <c r="L1334" s="2">
        <v>5.0</v>
      </c>
      <c r="M1334" s="4">
        <v>7535.0</v>
      </c>
      <c r="N1334" s="2" t="s">
        <v>36</v>
      </c>
      <c r="O1334" s="2">
        <v>71.0</v>
      </c>
      <c r="P1334" s="2" t="s">
        <v>31</v>
      </c>
      <c r="Q1334" s="2" t="s">
        <v>32</v>
      </c>
      <c r="R1334" s="2">
        <v>33.0</v>
      </c>
      <c r="T1334" s="2" t="s">
        <v>58</v>
      </c>
      <c r="U1334" s="2" t="b">
        <v>1</v>
      </c>
      <c r="V1334" s="5">
        <v>0.0059</v>
      </c>
      <c r="W1334" s="5">
        <v>0.0203</v>
      </c>
      <c r="X1334" s="5">
        <v>1.21E-4</v>
      </c>
      <c r="Y1334" s="2">
        <v>30.6300813</v>
      </c>
      <c r="AA1334" s="2" t="s">
        <v>33</v>
      </c>
    </row>
    <row r="1335">
      <c r="A1335" s="2">
        <v>3017.0</v>
      </c>
      <c r="B1335" s="2" t="s">
        <v>3936</v>
      </c>
      <c r="C1335" s="2" t="s">
        <v>7</v>
      </c>
      <c r="D1335" s="2" t="s">
        <v>3937</v>
      </c>
      <c r="E1335" s="2" t="s">
        <v>3938</v>
      </c>
      <c r="F1335" s="6">
        <v>45890.458333333336</v>
      </c>
      <c r="G1335" s="2">
        <v>63846.0</v>
      </c>
      <c r="H1335" s="2">
        <v>63846.0</v>
      </c>
      <c r="I1335" s="2">
        <v>56025.0</v>
      </c>
      <c r="J1335" s="2">
        <v>397.0</v>
      </c>
      <c r="K1335" s="2">
        <v>325.0</v>
      </c>
      <c r="L1335" s="2">
        <v>3.0</v>
      </c>
      <c r="M1335" s="4">
        <v>2792.0</v>
      </c>
      <c r="N1335" s="2" t="s">
        <v>30</v>
      </c>
      <c r="O1335" s="2">
        <v>70.0</v>
      </c>
      <c r="P1335" s="2" t="s">
        <v>31</v>
      </c>
      <c r="Q1335" s="2" t="s">
        <v>32</v>
      </c>
      <c r="R1335" s="2">
        <v>32.0</v>
      </c>
      <c r="T1335" s="2" t="s">
        <v>405</v>
      </c>
      <c r="U1335" s="2" t="b">
        <v>0</v>
      </c>
      <c r="V1335" s="5">
        <v>0.0058</v>
      </c>
      <c r="W1335" s="5">
        <v>0.0092</v>
      </c>
      <c r="X1335" s="5">
        <v>5.4E-5</v>
      </c>
      <c r="Y1335" s="2">
        <v>8.590769231</v>
      </c>
      <c r="Z1335" s="2">
        <v>2294.0</v>
      </c>
      <c r="AA1335" s="2" t="s">
        <v>33</v>
      </c>
    </row>
    <row r="1336">
      <c r="A1336" s="2">
        <v>3054.0</v>
      </c>
      <c r="B1336" s="2" t="s">
        <v>3939</v>
      </c>
      <c r="C1336" s="2" t="s">
        <v>7</v>
      </c>
      <c r="D1336" s="2" t="s">
        <v>3940</v>
      </c>
      <c r="E1336" s="2" t="s">
        <v>3941</v>
      </c>
      <c r="F1336" s="6">
        <v>45890.50347222222</v>
      </c>
      <c r="G1336" s="2">
        <v>6261.0</v>
      </c>
      <c r="H1336" s="2">
        <v>6261.0</v>
      </c>
      <c r="I1336" s="2">
        <v>5252.0</v>
      </c>
      <c r="J1336" s="2">
        <v>55.0</v>
      </c>
      <c r="K1336" s="2">
        <v>45.0</v>
      </c>
      <c r="L1336" s="2">
        <v>0.0</v>
      </c>
      <c r="M1336" s="2">
        <v>0.0</v>
      </c>
      <c r="N1336" s="2" t="s">
        <v>423</v>
      </c>
      <c r="O1336" s="2">
        <v>119.0</v>
      </c>
      <c r="P1336" s="2" t="s">
        <v>189</v>
      </c>
      <c r="Q1336" s="2" t="s">
        <v>1367</v>
      </c>
      <c r="R1336" s="2">
        <v>29.0</v>
      </c>
      <c r="T1336" s="2" t="s">
        <v>47</v>
      </c>
      <c r="U1336" s="2" t="b">
        <v>0</v>
      </c>
      <c r="V1336" s="5">
        <v>0.0086</v>
      </c>
      <c r="W1336" s="5">
        <v>0.0</v>
      </c>
      <c r="X1336" s="5">
        <v>0.0</v>
      </c>
      <c r="Y1336" s="2">
        <v>0.0</v>
      </c>
      <c r="AA1336" s="2" t="s">
        <v>423</v>
      </c>
    </row>
    <row r="1337">
      <c r="A1337" s="2">
        <v>3055.0</v>
      </c>
      <c r="B1337" s="2" t="s">
        <v>3942</v>
      </c>
      <c r="C1337" s="2" t="s">
        <v>7</v>
      </c>
      <c r="D1337" s="2" t="s">
        <v>3943</v>
      </c>
      <c r="E1337" s="2" t="s">
        <v>3944</v>
      </c>
      <c r="F1337" s="6">
        <v>45890.541666666664</v>
      </c>
      <c r="G1337" s="2">
        <v>6247.0</v>
      </c>
      <c r="H1337" s="2">
        <v>6247.0</v>
      </c>
      <c r="I1337" s="2">
        <v>5268.0</v>
      </c>
      <c r="J1337" s="2">
        <v>56.0</v>
      </c>
      <c r="K1337" s="2">
        <v>45.0</v>
      </c>
      <c r="L1337" s="2">
        <v>1.0</v>
      </c>
      <c r="M1337" s="4">
        <v>8649.0</v>
      </c>
      <c r="N1337" s="2" t="s">
        <v>423</v>
      </c>
      <c r="O1337" s="2">
        <v>119.0</v>
      </c>
      <c r="P1337" s="2" t="s">
        <v>189</v>
      </c>
      <c r="Q1337" s="2" t="s">
        <v>1367</v>
      </c>
      <c r="R1337" s="2">
        <v>31.0</v>
      </c>
      <c r="T1337" s="2" t="s">
        <v>47</v>
      </c>
      <c r="U1337" s="2" t="b">
        <v>0</v>
      </c>
      <c r="V1337" s="5">
        <v>0.0085</v>
      </c>
      <c r="W1337" s="5">
        <v>0.0222</v>
      </c>
      <c r="X1337" s="5">
        <v>1.9E-4</v>
      </c>
      <c r="Y1337" s="2">
        <v>192.2</v>
      </c>
      <c r="AA1337" s="2" t="s">
        <v>423</v>
      </c>
    </row>
    <row r="1338">
      <c r="A1338" s="2">
        <v>3020.0</v>
      </c>
      <c r="B1338" s="2" t="s">
        <v>3945</v>
      </c>
      <c r="C1338" s="2" t="s">
        <v>7</v>
      </c>
      <c r="D1338" s="2" t="s">
        <v>3946</v>
      </c>
      <c r="E1338" s="2" t="s">
        <v>3947</v>
      </c>
      <c r="F1338" s="6">
        <v>45890.625</v>
      </c>
      <c r="G1338" s="2">
        <v>48538.0</v>
      </c>
      <c r="H1338" s="2">
        <v>48538.0</v>
      </c>
      <c r="I1338" s="2">
        <v>41760.0</v>
      </c>
      <c r="J1338" s="2">
        <v>358.0</v>
      </c>
      <c r="K1338" s="2">
        <v>283.0</v>
      </c>
      <c r="L1338" s="2">
        <v>5.0</v>
      </c>
      <c r="M1338" s="4">
        <v>16227.0</v>
      </c>
      <c r="N1338" s="2" t="s">
        <v>36</v>
      </c>
      <c r="O1338" s="2">
        <v>71.0</v>
      </c>
      <c r="P1338" s="2" t="s">
        <v>31</v>
      </c>
      <c r="Q1338" s="2" t="s">
        <v>32</v>
      </c>
      <c r="R1338" s="2">
        <v>52.0</v>
      </c>
      <c r="U1338" s="2" t="b">
        <v>0</v>
      </c>
      <c r="V1338" s="5">
        <v>0.0068</v>
      </c>
      <c r="W1338" s="5">
        <v>0.0177</v>
      </c>
      <c r="X1338" s="5">
        <v>1.2E-4</v>
      </c>
      <c r="Y1338" s="2">
        <v>57.33922261</v>
      </c>
      <c r="AA1338" s="2" t="s">
        <v>33</v>
      </c>
    </row>
    <row r="1339">
      <c r="A1339" s="2">
        <v>3019.0</v>
      </c>
      <c r="B1339" s="2" t="s">
        <v>3948</v>
      </c>
      <c r="C1339" s="2" t="s">
        <v>7</v>
      </c>
      <c r="D1339" s="2" t="s">
        <v>3949</v>
      </c>
      <c r="E1339" s="2" t="s">
        <v>3950</v>
      </c>
      <c r="F1339" s="6">
        <v>45890.625</v>
      </c>
      <c r="G1339" s="2">
        <v>63876.0</v>
      </c>
      <c r="H1339" s="2">
        <v>63876.0</v>
      </c>
      <c r="I1339" s="2">
        <v>56378.0</v>
      </c>
      <c r="J1339" s="2">
        <v>413.0</v>
      </c>
      <c r="K1339" s="2">
        <v>337.0</v>
      </c>
      <c r="L1339" s="2">
        <v>6.0</v>
      </c>
      <c r="M1339" s="4">
        <v>14383.0</v>
      </c>
      <c r="N1339" s="2" t="s">
        <v>30</v>
      </c>
      <c r="O1339" s="2">
        <v>70.0</v>
      </c>
      <c r="P1339" s="2" t="s">
        <v>31</v>
      </c>
      <c r="Q1339" s="2" t="s">
        <v>32</v>
      </c>
      <c r="R1339" s="2">
        <v>39.0</v>
      </c>
      <c r="U1339" s="2" t="b">
        <v>0</v>
      </c>
      <c r="V1339" s="5">
        <v>0.006</v>
      </c>
      <c r="W1339" s="5">
        <v>0.0178</v>
      </c>
      <c r="X1339" s="5">
        <v>1.06E-4</v>
      </c>
      <c r="Y1339" s="2">
        <v>42.67952522</v>
      </c>
      <c r="Z1339" s="2">
        <v>2434.0</v>
      </c>
      <c r="AA1339" s="2" t="s">
        <v>33</v>
      </c>
    </row>
    <row r="1340">
      <c r="A1340" s="2">
        <v>3056.0</v>
      </c>
      <c r="B1340" s="2" t="s">
        <v>3951</v>
      </c>
      <c r="C1340" s="2" t="s">
        <v>7</v>
      </c>
      <c r="D1340" s="2" t="s">
        <v>3952</v>
      </c>
      <c r="E1340" s="2" t="e">
        <v>#N/A</v>
      </c>
      <c r="F1340" s="6">
        <v>45890.666666666664</v>
      </c>
      <c r="G1340" s="2">
        <v>6248.0</v>
      </c>
      <c r="H1340" s="2">
        <v>6248.0</v>
      </c>
      <c r="I1340" s="2">
        <v>5261.0</v>
      </c>
      <c r="J1340" s="2">
        <v>63.0</v>
      </c>
      <c r="K1340" s="2">
        <v>47.0</v>
      </c>
      <c r="L1340" s="2">
        <v>1.0</v>
      </c>
      <c r="M1340" s="2">
        <v>950.0</v>
      </c>
      <c r="N1340" s="2" t="s">
        <v>423</v>
      </c>
      <c r="O1340" s="2">
        <v>119.0</v>
      </c>
      <c r="P1340" s="2" t="s">
        <v>189</v>
      </c>
      <c r="Q1340" s="2" t="s">
        <v>1367</v>
      </c>
      <c r="R1340" s="2">
        <v>38.0</v>
      </c>
      <c r="T1340" s="2" t="s">
        <v>47</v>
      </c>
      <c r="U1340" s="2" t="b">
        <v>0</v>
      </c>
      <c r="V1340" s="5">
        <v>0.0089</v>
      </c>
      <c r="W1340" s="5">
        <v>0.0213</v>
      </c>
      <c r="X1340" s="5">
        <v>1.9E-4</v>
      </c>
      <c r="Y1340" s="2">
        <v>20.21276596</v>
      </c>
      <c r="AA1340" s="2" t="s">
        <v>423</v>
      </c>
    </row>
    <row r="1341">
      <c r="A1341" s="2">
        <v>3057.0</v>
      </c>
      <c r="B1341" s="2" t="s">
        <v>3953</v>
      </c>
      <c r="C1341" s="2" t="s">
        <v>7</v>
      </c>
      <c r="D1341" s="2" t="s">
        <v>3954</v>
      </c>
      <c r="E1341" s="2" t="e">
        <v>#N/A</v>
      </c>
      <c r="F1341" s="6">
        <v>45890.708333333336</v>
      </c>
      <c r="G1341" s="2">
        <v>6250.0</v>
      </c>
      <c r="H1341" s="2">
        <v>6250.0</v>
      </c>
      <c r="I1341" s="2">
        <v>5297.0</v>
      </c>
      <c r="J1341" s="2">
        <v>46.0</v>
      </c>
      <c r="K1341" s="2">
        <v>35.0</v>
      </c>
      <c r="L1341" s="2">
        <v>1.0</v>
      </c>
      <c r="M1341" s="4">
        <v>3998.0</v>
      </c>
      <c r="N1341" s="2" t="s">
        <v>423</v>
      </c>
      <c r="O1341" s="2">
        <v>119.0</v>
      </c>
      <c r="P1341" s="2" t="s">
        <v>189</v>
      </c>
      <c r="Q1341" s="2" t="s">
        <v>1367</v>
      </c>
      <c r="R1341" s="2">
        <v>44.0</v>
      </c>
      <c r="T1341" s="2" t="s">
        <v>3955</v>
      </c>
      <c r="U1341" s="2" t="b">
        <v>0</v>
      </c>
      <c r="V1341" s="5">
        <v>0.0066</v>
      </c>
      <c r="W1341" s="5">
        <v>0.0286</v>
      </c>
      <c r="X1341" s="5">
        <v>1.89E-4</v>
      </c>
      <c r="Y1341" s="2">
        <v>114.2285714</v>
      </c>
      <c r="AA1341" s="2" t="s">
        <v>423</v>
      </c>
    </row>
    <row r="1342">
      <c r="A1342" s="2">
        <v>3022.0</v>
      </c>
      <c r="B1342" s="2" t="s">
        <v>3956</v>
      </c>
      <c r="C1342" s="2" t="s">
        <v>7</v>
      </c>
      <c r="D1342" s="2" t="s">
        <v>3957</v>
      </c>
      <c r="E1342" s="2" t="s">
        <v>3958</v>
      </c>
      <c r="F1342" s="6">
        <v>45890.708333333336</v>
      </c>
      <c r="G1342" s="2">
        <v>48494.0</v>
      </c>
      <c r="H1342" s="2">
        <v>48494.0</v>
      </c>
      <c r="I1342" s="2">
        <v>41737.0</v>
      </c>
      <c r="J1342" s="2">
        <v>403.0</v>
      </c>
      <c r="K1342" s="2">
        <v>309.0</v>
      </c>
      <c r="L1342" s="2">
        <v>8.0</v>
      </c>
      <c r="M1342" s="4">
        <v>35381.0</v>
      </c>
      <c r="N1342" s="2" t="s">
        <v>36</v>
      </c>
      <c r="O1342" s="2">
        <v>71.0</v>
      </c>
      <c r="P1342" s="2" t="s">
        <v>189</v>
      </c>
      <c r="Q1342" s="2" t="s">
        <v>32</v>
      </c>
      <c r="R1342" s="2">
        <v>33.0</v>
      </c>
      <c r="T1342" s="2" t="s">
        <v>58</v>
      </c>
      <c r="U1342" s="2" t="b">
        <v>1</v>
      </c>
      <c r="V1342" s="5">
        <v>0.0074</v>
      </c>
      <c r="W1342" s="5">
        <v>0.0259</v>
      </c>
      <c r="X1342" s="5">
        <v>1.92E-4</v>
      </c>
      <c r="Y1342" s="2">
        <v>114.5016181</v>
      </c>
      <c r="AA1342" s="2" t="s">
        <v>33</v>
      </c>
    </row>
    <row r="1343">
      <c r="A1343" s="2">
        <v>3021.0</v>
      </c>
      <c r="B1343" s="2" t="s">
        <v>3959</v>
      </c>
      <c r="C1343" s="2" t="s">
        <v>7</v>
      </c>
      <c r="D1343" s="2" t="s">
        <v>3960</v>
      </c>
      <c r="E1343" s="2" t="s">
        <v>3961</v>
      </c>
      <c r="F1343" s="6">
        <v>45890.708333333336</v>
      </c>
      <c r="G1343" s="2">
        <v>63866.0</v>
      </c>
      <c r="H1343" s="2">
        <v>63866.0</v>
      </c>
      <c r="I1343" s="2">
        <v>56404.0</v>
      </c>
      <c r="J1343" s="2">
        <v>489.0</v>
      </c>
      <c r="K1343" s="2">
        <v>381.0</v>
      </c>
      <c r="L1343" s="2">
        <v>2.0</v>
      </c>
      <c r="M1343" s="4">
        <v>3869.0</v>
      </c>
      <c r="N1343" s="2" t="s">
        <v>30</v>
      </c>
      <c r="O1343" s="2">
        <v>70.0</v>
      </c>
      <c r="P1343" s="2" t="s">
        <v>189</v>
      </c>
      <c r="Q1343" s="2" t="s">
        <v>32</v>
      </c>
      <c r="R1343" s="2">
        <v>31.0</v>
      </c>
      <c r="U1343" s="2" t="b">
        <v>0</v>
      </c>
      <c r="V1343" s="5">
        <v>0.0068</v>
      </c>
      <c r="W1343" s="5">
        <v>0.0052</v>
      </c>
      <c r="X1343" s="5">
        <v>3.5E-5</v>
      </c>
      <c r="Y1343" s="2">
        <v>10.15485564</v>
      </c>
      <c r="Z1343" s="2">
        <v>3166.0</v>
      </c>
      <c r="AA1343" s="2" t="s">
        <v>33</v>
      </c>
    </row>
    <row r="1344">
      <c r="A1344" s="2">
        <v>3024.0</v>
      </c>
      <c r="B1344" s="2" t="s">
        <v>3962</v>
      </c>
      <c r="C1344" s="2" t="s">
        <v>7</v>
      </c>
      <c r="D1344" s="2" t="s">
        <v>3963</v>
      </c>
      <c r="E1344" s="2" t="s">
        <v>3964</v>
      </c>
      <c r="F1344" s="6">
        <v>45891.458333333336</v>
      </c>
      <c r="G1344" s="2">
        <v>48473.0</v>
      </c>
      <c r="H1344" s="2">
        <v>48473.0</v>
      </c>
      <c r="I1344" s="2">
        <v>41406.0</v>
      </c>
      <c r="J1344" s="2">
        <v>322.0</v>
      </c>
      <c r="K1344" s="2">
        <v>243.0</v>
      </c>
      <c r="L1344" s="2">
        <v>3.0</v>
      </c>
      <c r="M1344" s="4">
        <v>19449.0</v>
      </c>
      <c r="N1344" s="2" t="s">
        <v>36</v>
      </c>
      <c r="O1344" s="2">
        <v>71.0</v>
      </c>
      <c r="P1344" s="2" t="s">
        <v>189</v>
      </c>
      <c r="Q1344" s="2" t="s">
        <v>32</v>
      </c>
      <c r="R1344" s="2">
        <v>43.0</v>
      </c>
      <c r="T1344" s="2" t="s">
        <v>162</v>
      </c>
      <c r="U1344" s="2" t="b">
        <v>0</v>
      </c>
      <c r="V1344" s="5">
        <v>0.0059</v>
      </c>
      <c r="W1344" s="5">
        <v>0.0123</v>
      </c>
      <c r="X1344" s="5">
        <v>7.2E-5</v>
      </c>
      <c r="Y1344" s="2">
        <v>80.03703704</v>
      </c>
      <c r="AA1344" s="2" t="s">
        <v>33</v>
      </c>
    </row>
    <row r="1345">
      <c r="A1345" s="2">
        <v>3023.0</v>
      </c>
      <c r="B1345" s="2" t="s">
        <v>3965</v>
      </c>
      <c r="C1345" s="2" t="s">
        <v>7</v>
      </c>
      <c r="D1345" s="2" t="s">
        <v>3966</v>
      </c>
      <c r="E1345" s="2" t="s">
        <v>3967</v>
      </c>
      <c r="F1345" s="6">
        <v>45891.458333333336</v>
      </c>
      <c r="G1345" s="2">
        <v>63855.0</v>
      </c>
      <c r="H1345" s="2">
        <v>63855.0</v>
      </c>
      <c r="I1345" s="2">
        <v>56165.0</v>
      </c>
      <c r="J1345" s="2">
        <v>331.0</v>
      </c>
      <c r="K1345" s="2">
        <v>266.0</v>
      </c>
      <c r="L1345" s="2">
        <v>4.0</v>
      </c>
      <c r="M1345" s="4">
        <v>5030.0</v>
      </c>
      <c r="N1345" s="2" t="s">
        <v>30</v>
      </c>
      <c r="O1345" s="2">
        <v>70.0</v>
      </c>
      <c r="P1345" s="2" t="s">
        <v>189</v>
      </c>
      <c r="Q1345" s="2" t="s">
        <v>32</v>
      </c>
      <c r="R1345" s="2">
        <v>38.0</v>
      </c>
      <c r="T1345" s="2" t="s">
        <v>162</v>
      </c>
      <c r="U1345" s="2" t="b">
        <v>0</v>
      </c>
      <c r="V1345" s="5">
        <v>0.0047</v>
      </c>
      <c r="W1345" s="5">
        <v>0.015</v>
      </c>
      <c r="X1345" s="5">
        <v>7.1E-5</v>
      </c>
      <c r="Y1345" s="2">
        <v>18.90977444</v>
      </c>
      <c r="AA1345" s="2" t="s">
        <v>33</v>
      </c>
    </row>
    <row r="1346">
      <c r="A1346" s="2">
        <v>3065.0</v>
      </c>
      <c r="B1346" s="2" t="s">
        <v>3968</v>
      </c>
      <c r="C1346" s="2" t="s">
        <v>7</v>
      </c>
      <c r="D1346" s="2" t="s">
        <v>3969</v>
      </c>
      <c r="E1346" s="2" t="e">
        <v>#N/A</v>
      </c>
      <c r="F1346" s="6">
        <v>45891.5</v>
      </c>
      <c r="G1346" s="2">
        <v>6261.0</v>
      </c>
      <c r="H1346" s="2">
        <v>6261.0</v>
      </c>
      <c r="I1346" s="2">
        <v>5255.0</v>
      </c>
      <c r="J1346" s="2">
        <v>62.0</v>
      </c>
      <c r="K1346" s="2">
        <v>46.0</v>
      </c>
      <c r="L1346" s="2">
        <v>1.0</v>
      </c>
      <c r="M1346" s="4">
        <v>7848.0</v>
      </c>
      <c r="N1346" s="2" t="s">
        <v>423</v>
      </c>
      <c r="O1346" s="2">
        <v>119.0</v>
      </c>
      <c r="P1346" s="2" t="s">
        <v>189</v>
      </c>
      <c r="Q1346" s="2" t="s">
        <v>1367</v>
      </c>
      <c r="R1346" s="2">
        <v>70.0</v>
      </c>
      <c r="U1346" s="2" t="b">
        <v>0</v>
      </c>
      <c r="V1346" s="5">
        <v>0.0088</v>
      </c>
      <c r="W1346" s="5">
        <v>0.0217</v>
      </c>
      <c r="X1346" s="5">
        <v>1.9E-4</v>
      </c>
      <c r="Y1346" s="2">
        <v>170.6086957</v>
      </c>
      <c r="AA1346" s="2" t="s">
        <v>423</v>
      </c>
    </row>
    <row r="1347">
      <c r="A1347" s="2">
        <v>3066.0</v>
      </c>
      <c r="B1347" s="2" t="s">
        <v>3970</v>
      </c>
      <c r="C1347" s="2" t="s">
        <v>7</v>
      </c>
      <c r="D1347" s="2" t="s">
        <v>3971</v>
      </c>
      <c r="E1347" s="2" t="s">
        <v>3972</v>
      </c>
      <c r="F1347" s="6">
        <v>45891.583333333336</v>
      </c>
      <c r="G1347" s="2">
        <v>6248.0</v>
      </c>
      <c r="H1347" s="2">
        <v>6248.0</v>
      </c>
      <c r="I1347" s="2">
        <v>5246.0</v>
      </c>
      <c r="J1347" s="2">
        <v>75.0</v>
      </c>
      <c r="K1347" s="2">
        <v>63.0</v>
      </c>
      <c r="L1347" s="2">
        <v>2.0</v>
      </c>
      <c r="M1347" s="4">
        <v>5717.0</v>
      </c>
      <c r="N1347" s="2" t="s">
        <v>423</v>
      </c>
      <c r="O1347" s="2">
        <v>119.0</v>
      </c>
      <c r="P1347" s="2" t="s">
        <v>189</v>
      </c>
      <c r="Q1347" s="2" t="s">
        <v>1367</v>
      </c>
      <c r="R1347" s="2">
        <v>22.0</v>
      </c>
      <c r="T1347" s="2" t="s">
        <v>47</v>
      </c>
      <c r="U1347" s="2" t="b">
        <v>0</v>
      </c>
      <c r="V1347" s="5">
        <v>0.012</v>
      </c>
      <c r="W1347" s="5">
        <v>0.0317</v>
      </c>
      <c r="X1347" s="5">
        <v>3.81E-4</v>
      </c>
      <c r="Y1347" s="2">
        <v>90.74603175</v>
      </c>
      <c r="AA1347" s="2" t="s">
        <v>423</v>
      </c>
    </row>
    <row r="1348">
      <c r="A1348" s="2">
        <v>3027.0</v>
      </c>
      <c r="B1348" s="2" t="s">
        <v>3973</v>
      </c>
      <c r="C1348" s="2" t="s">
        <v>7</v>
      </c>
      <c r="D1348" s="2" t="s">
        <v>3974</v>
      </c>
      <c r="E1348" s="2" t="s">
        <v>3975</v>
      </c>
      <c r="F1348" s="6">
        <v>45891.625</v>
      </c>
      <c r="G1348" s="2">
        <v>48537.0</v>
      </c>
      <c r="H1348" s="2">
        <v>48537.0</v>
      </c>
      <c r="I1348" s="2">
        <v>41689.0</v>
      </c>
      <c r="J1348" s="2">
        <v>295.0</v>
      </c>
      <c r="K1348" s="2">
        <v>222.0</v>
      </c>
      <c r="L1348" s="2">
        <v>0.0</v>
      </c>
      <c r="M1348" s="2">
        <v>0.0</v>
      </c>
      <c r="N1348" s="2" t="s">
        <v>36</v>
      </c>
      <c r="O1348" s="2">
        <v>71.0</v>
      </c>
      <c r="P1348" s="2" t="s">
        <v>31</v>
      </c>
      <c r="Q1348" s="2" t="s">
        <v>32</v>
      </c>
      <c r="R1348" s="2">
        <v>33.0</v>
      </c>
      <c r="T1348" s="2" t="s">
        <v>58</v>
      </c>
      <c r="U1348" s="2" t="b">
        <v>1</v>
      </c>
      <c r="V1348" s="5">
        <v>0.0053</v>
      </c>
      <c r="W1348" s="5">
        <v>0.0</v>
      </c>
      <c r="X1348" s="5">
        <v>0.0</v>
      </c>
      <c r="Y1348" s="2">
        <v>0.0</v>
      </c>
      <c r="AA1348" s="2" t="s">
        <v>33</v>
      </c>
    </row>
    <row r="1349">
      <c r="A1349" s="2">
        <v>3026.0</v>
      </c>
      <c r="B1349" s="2" t="s">
        <v>3976</v>
      </c>
      <c r="C1349" s="2" t="s">
        <v>7</v>
      </c>
      <c r="D1349" s="2" t="s">
        <v>3977</v>
      </c>
      <c r="E1349" s="2" t="s">
        <v>3978</v>
      </c>
      <c r="F1349" s="6">
        <v>45891.625</v>
      </c>
      <c r="G1349" s="2">
        <v>63867.0</v>
      </c>
      <c r="H1349" s="2">
        <v>63867.0</v>
      </c>
      <c r="I1349" s="2">
        <v>56350.0</v>
      </c>
      <c r="J1349" s="2">
        <v>404.0</v>
      </c>
      <c r="K1349" s="2">
        <v>323.0</v>
      </c>
      <c r="L1349" s="2">
        <v>7.0</v>
      </c>
      <c r="M1349" s="4">
        <v>18724.0</v>
      </c>
      <c r="N1349" s="2" t="s">
        <v>30</v>
      </c>
      <c r="O1349" s="2">
        <v>70.0</v>
      </c>
      <c r="P1349" s="2" t="s">
        <v>31</v>
      </c>
      <c r="Q1349" s="2" t="s">
        <v>32</v>
      </c>
      <c r="R1349" s="2">
        <v>34.0</v>
      </c>
      <c r="T1349" s="2" t="s">
        <v>58</v>
      </c>
      <c r="U1349" s="2" t="b">
        <v>0</v>
      </c>
      <c r="V1349" s="5">
        <v>0.0057</v>
      </c>
      <c r="W1349" s="5">
        <v>0.0217</v>
      </c>
      <c r="X1349" s="5">
        <v>1.24E-4</v>
      </c>
      <c r="Y1349" s="2">
        <v>57.96904025</v>
      </c>
      <c r="AA1349" s="2" t="s">
        <v>33</v>
      </c>
    </row>
    <row r="1350">
      <c r="A1350" s="2">
        <v>3067.0</v>
      </c>
      <c r="B1350" s="2" t="s">
        <v>3979</v>
      </c>
      <c r="C1350" s="2" t="s">
        <v>7</v>
      </c>
      <c r="D1350" s="2" t="s">
        <v>3980</v>
      </c>
      <c r="E1350" s="2" t="e">
        <v>#N/A</v>
      </c>
      <c r="F1350" s="6">
        <v>45891.666666666664</v>
      </c>
      <c r="G1350" s="2">
        <v>6252.0</v>
      </c>
      <c r="H1350" s="2">
        <v>6252.0</v>
      </c>
      <c r="I1350" s="2">
        <v>5278.0</v>
      </c>
      <c r="J1350" s="2">
        <v>57.0</v>
      </c>
      <c r="K1350" s="2">
        <v>47.0</v>
      </c>
      <c r="L1350" s="2">
        <v>2.0</v>
      </c>
      <c r="M1350" s="4">
        <v>6846.0</v>
      </c>
      <c r="N1350" s="2" t="s">
        <v>423</v>
      </c>
      <c r="O1350" s="2">
        <v>119.0</v>
      </c>
      <c r="P1350" s="2" t="s">
        <v>189</v>
      </c>
      <c r="Q1350" s="2" t="s">
        <v>1367</v>
      </c>
      <c r="R1350" s="2">
        <v>31.0</v>
      </c>
      <c r="T1350" s="2" t="s">
        <v>47</v>
      </c>
      <c r="U1350" s="2" t="b">
        <v>0</v>
      </c>
      <c r="V1350" s="5">
        <v>0.0089</v>
      </c>
      <c r="W1350" s="5">
        <v>0.0426</v>
      </c>
      <c r="X1350" s="5">
        <v>3.79E-4</v>
      </c>
      <c r="Y1350" s="2">
        <v>145.6595745</v>
      </c>
      <c r="AA1350" s="2" t="s">
        <v>423</v>
      </c>
    </row>
    <row r="1351">
      <c r="A1351" s="2">
        <v>3029.0</v>
      </c>
      <c r="B1351" s="2" t="s">
        <v>3981</v>
      </c>
      <c r="C1351" s="2" t="s">
        <v>7</v>
      </c>
      <c r="D1351" s="2" t="s">
        <v>3982</v>
      </c>
      <c r="E1351" s="2" t="s">
        <v>3983</v>
      </c>
      <c r="F1351" s="6">
        <v>45891.708333333336</v>
      </c>
      <c r="G1351" s="2">
        <v>48483.0</v>
      </c>
      <c r="H1351" s="2">
        <v>48483.0</v>
      </c>
      <c r="I1351" s="2">
        <v>41729.0</v>
      </c>
      <c r="J1351" s="2">
        <v>251.0</v>
      </c>
      <c r="K1351" s="2">
        <v>200.0</v>
      </c>
      <c r="L1351" s="2">
        <v>0.0</v>
      </c>
      <c r="M1351" s="2">
        <v>0.0</v>
      </c>
      <c r="N1351" s="2" t="s">
        <v>36</v>
      </c>
      <c r="O1351" s="2">
        <v>71.0</v>
      </c>
      <c r="P1351" s="2" t="s">
        <v>189</v>
      </c>
      <c r="Q1351" s="2" t="s">
        <v>32</v>
      </c>
      <c r="R1351" s="2">
        <v>34.0</v>
      </c>
      <c r="U1351" s="2" t="b">
        <v>0</v>
      </c>
      <c r="V1351" s="5">
        <v>0.0048</v>
      </c>
      <c r="W1351" s="5">
        <v>0.0</v>
      </c>
      <c r="X1351" s="5">
        <v>0.0</v>
      </c>
      <c r="Y1351" s="2">
        <v>0.0</v>
      </c>
      <c r="AA1351" s="2" t="s">
        <v>33</v>
      </c>
    </row>
    <row r="1352">
      <c r="A1352" s="2">
        <v>3028.0</v>
      </c>
      <c r="B1352" s="2" t="s">
        <v>3984</v>
      </c>
      <c r="C1352" s="2" t="s">
        <v>7</v>
      </c>
      <c r="D1352" s="2" t="s">
        <v>3985</v>
      </c>
      <c r="E1352" s="2" t="s">
        <v>3986</v>
      </c>
      <c r="F1352" s="6">
        <v>45891.708333333336</v>
      </c>
      <c r="G1352" s="2">
        <v>63879.0</v>
      </c>
      <c r="H1352" s="2">
        <v>63879.0</v>
      </c>
      <c r="I1352" s="2">
        <v>56414.0</v>
      </c>
      <c r="J1352" s="2">
        <v>311.0</v>
      </c>
      <c r="K1352" s="2">
        <v>253.0</v>
      </c>
      <c r="L1352" s="2">
        <v>3.0</v>
      </c>
      <c r="M1352" s="4">
        <v>5209.0</v>
      </c>
      <c r="N1352" s="2" t="s">
        <v>30</v>
      </c>
      <c r="O1352" s="2">
        <v>70.0</v>
      </c>
      <c r="P1352" s="2" t="s">
        <v>189</v>
      </c>
      <c r="Q1352" s="2" t="s">
        <v>32</v>
      </c>
      <c r="R1352" s="2">
        <v>30.0</v>
      </c>
      <c r="T1352" s="2" t="s">
        <v>3987</v>
      </c>
      <c r="U1352" s="2" t="b">
        <v>0</v>
      </c>
      <c r="V1352" s="5">
        <v>0.0045</v>
      </c>
      <c r="W1352" s="5">
        <v>0.0119</v>
      </c>
      <c r="X1352" s="5">
        <v>5.3E-5</v>
      </c>
      <c r="Y1352" s="2">
        <v>20.58893281</v>
      </c>
      <c r="AA1352" s="2" t="s">
        <v>33</v>
      </c>
    </row>
    <row r="1353">
      <c r="A1353" s="2">
        <v>3031.0</v>
      </c>
      <c r="B1353" s="2" t="s">
        <v>3988</v>
      </c>
      <c r="C1353" s="2" t="s">
        <v>7</v>
      </c>
      <c r="D1353" s="2" t="s">
        <v>3989</v>
      </c>
      <c r="E1353" s="2" t="s">
        <v>3990</v>
      </c>
      <c r="F1353" s="6">
        <v>45892.458333333336</v>
      </c>
      <c r="G1353" s="2">
        <v>48590.0</v>
      </c>
      <c r="H1353" s="2">
        <v>48590.0</v>
      </c>
      <c r="I1353" s="2">
        <v>41438.0</v>
      </c>
      <c r="J1353" s="2">
        <v>264.0</v>
      </c>
      <c r="K1353" s="2">
        <v>201.0</v>
      </c>
      <c r="L1353" s="2">
        <v>3.0</v>
      </c>
      <c r="M1353" s="4">
        <v>29528.0</v>
      </c>
      <c r="N1353" s="2" t="s">
        <v>36</v>
      </c>
      <c r="O1353" s="2">
        <v>71.0</v>
      </c>
      <c r="P1353" s="2" t="s">
        <v>31</v>
      </c>
      <c r="Q1353" s="2" t="s">
        <v>32</v>
      </c>
      <c r="R1353" s="2">
        <v>40.0</v>
      </c>
      <c r="T1353" s="2" t="s">
        <v>47</v>
      </c>
      <c r="U1353" s="2" t="b">
        <v>0</v>
      </c>
      <c r="V1353" s="5">
        <v>0.0049</v>
      </c>
      <c r="W1353" s="5">
        <v>0.0149</v>
      </c>
      <c r="X1353" s="5">
        <v>7.2E-5</v>
      </c>
      <c r="Y1353" s="2">
        <v>146.9054726</v>
      </c>
      <c r="AA1353" s="2" t="s">
        <v>33</v>
      </c>
    </row>
    <row r="1354">
      <c r="A1354" s="2">
        <v>3030.0</v>
      </c>
      <c r="B1354" s="2" t="s">
        <v>3991</v>
      </c>
      <c r="C1354" s="2" t="s">
        <v>7</v>
      </c>
      <c r="D1354" s="2" t="s">
        <v>3992</v>
      </c>
      <c r="E1354" s="2" t="s">
        <v>3993</v>
      </c>
      <c r="F1354" s="6">
        <v>45892.458333333336</v>
      </c>
      <c r="G1354" s="2">
        <v>63939.0</v>
      </c>
      <c r="H1354" s="2">
        <v>63939.0</v>
      </c>
      <c r="I1354" s="2">
        <v>56141.0</v>
      </c>
      <c r="J1354" s="2">
        <v>260.0</v>
      </c>
      <c r="K1354" s="2">
        <v>208.0</v>
      </c>
      <c r="L1354" s="2">
        <v>5.0</v>
      </c>
      <c r="M1354" s="4">
        <v>16892.0</v>
      </c>
      <c r="N1354" s="2" t="s">
        <v>30</v>
      </c>
      <c r="O1354" s="2">
        <v>70.0</v>
      </c>
      <c r="P1354" s="2" t="s">
        <v>189</v>
      </c>
      <c r="Q1354" s="2" t="s">
        <v>32</v>
      </c>
      <c r="R1354" s="2">
        <v>49.0</v>
      </c>
      <c r="T1354" s="2" t="s">
        <v>47</v>
      </c>
      <c r="U1354" s="2" t="b">
        <v>0</v>
      </c>
      <c r="V1354" s="5">
        <v>0.0037</v>
      </c>
      <c r="W1354" s="5">
        <v>0.024</v>
      </c>
      <c r="X1354" s="5">
        <v>8.9E-5</v>
      </c>
      <c r="Y1354" s="2">
        <v>81.21153846</v>
      </c>
      <c r="Z1354" s="2">
        <v>1613.0</v>
      </c>
      <c r="AA1354" s="2" t="s">
        <v>33</v>
      </c>
    </row>
    <row r="1355">
      <c r="A1355" s="2">
        <v>3033.0</v>
      </c>
      <c r="B1355" s="2" t="s">
        <v>3994</v>
      </c>
      <c r="C1355" s="2" t="s">
        <v>7</v>
      </c>
      <c r="D1355" s="2" t="s">
        <v>3995</v>
      </c>
      <c r="E1355" s="2" t="s">
        <v>3996</v>
      </c>
      <c r="F1355" s="6">
        <v>45892.625</v>
      </c>
      <c r="G1355" s="2">
        <v>48654.0</v>
      </c>
      <c r="H1355" s="2">
        <v>48654.0</v>
      </c>
      <c r="I1355" s="2">
        <v>41775.0</v>
      </c>
      <c r="J1355" s="2">
        <v>358.0</v>
      </c>
      <c r="K1355" s="2">
        <v>280.0</v>
      </c>
      <c r="L1355" s="2">
        <v>7.0</v>
      </c>
      <c r="M1355" s="4">
        <v>15080.0</v>
      </c>
      <c r="N1355" s="2" t="s">
        <v>36</v>
      </c>
      <c r="O1355" s="2">
        <v>71.0</v>
      </c>
      <c r="P1355" s="2" t="s">
        <v>189</v>
      </c>
      <c r="Q1355" s="2" t="s">
        <v>32</v>
      </c>
      <c r="R1355" s="2">
        <v>27.0</v>
      </c>
      <c r="T1355" s="2" t="s">
        <v>58</v>
      </c>
      <c r="U1355" s="2" t="b">
        <v>1</v>
      </c>
      <c r="V1355" s="5">
        <v>0.0067</v>
      </c>
      <c r="W1355" s="5">
        <v>0.025</v>
      </c>
      <c r="X1355" s="5">
        <v>1.68E-4</v>
      </c>
      <c r="Y1355" s="2">
        <v>53.85714286</v>
      </c>
      <c r="AA1355" s="2" t="s">
        <v>33</v>
      </c>
    </row>
    <row r="1356">
      <c r="A1356" s="2">
        <v>3032.0</v>
      </c>
      <c r="B1356" s="2" t="s">
        <v>3997</v>
      </c>
      <c r="C1356" s="2" t="s">
        <v>7</v>
      </c>
      <c r="D1356" s="2" t="s">
        <v>3998</v>
      </c>
      <c r="E1356" s="2" t="s">
        <v>3999</v>
      </c>
      <c r="F1356" s="6">
        <v>45892.625</v>
      </c>
      <c r="G1356" s="2">
        <v>64011.0</v>
      </c>
      <c r="H1356" s="2">
        <v>64011.0</v>
      </c>
      <c r="I1356" s="2">
        <v>56503.0</v>
      </c>
      <c r="J1356" s="2">
        <v>568.0</v>
      </c>
      <c r="K1356" s="2">
        <v>464.0</v>
      </c>
      <c r="L1356" s="2">
        <v>13.0</v>
      </c>
      <c r="M1356" s="4">
        <v>22207.0</v>
      </c>
      <c r="N1356" s="2" t="s">
        <v>30</v>
      </c>
      <c r="O1356" s="2">
        <v>70.0</v>
      </c>
      <c r="P1356" s="2" t="s">
        <v>189</v>
      </c>
      <c r="Q1356" s="2" t="s">
        <v>32</v>
      </c>
      <c r="R1356" s="2">
        <v>26.0</v>
      </c>
      <c r="U1356" s="2" t="b">
        <v>0</v>
      </c>
      <c r="V1356" s="5">
        <v>0.0082</v>
      </c>
      <c r="W1356" s="5">
        <v>0.028</v>
      </c>
      <c r="X1356" s="5">
        <v>2.3E-4</v>
      </c>
      <c r="Y1356" s="2">
        <v>47.85991379</v>
      </c>
      <c r="AA1356" s="2" t="s">
        <v>33</v>
      </c>
    </row>
    <row r="1357">
      <c r="A1357" s="2">
        <v>3035.0</v>
      </c>
      <c r="B1357" s="2" t="s">
        <v>4000</v>
      </c>
      <c r="C1357" s="2" t="s">
        <v>7</v>
      </c>
      <c r="D1357" s="2" t="s">
        <v>4001</v>
      </c>
      <c r="E1357" s="2" t="s">
        <v>4002</v>
      </c>
      <c r="F1357" s="6">
        <v>45892.708333333336</v>
      </c>
      <c r="G1357" s="2">
        <v>48659.0</v>
      </c>
      <c r="H1357" s="2">
        <v>48659.0</v>
      </c>
      <c r="I1357" s="2">
        <v>41769.0</v>
      </c>
      <c r="J1357" s="2">
        <v>282.0</v>
      </c>
      <c r="K1357" s="2">
        <v>219.0</v>
      </c>
      <c r="L1357" s="2">
        <v>4.0</v>
      </c>
      <c r="M1357" s="4">
        <v>7952.0</v>
      </c>
      <c r="N1357" s="2" t="s">
        <v>36</v>
      </c>
      <c r="O1357" s="2">
        <v>71.0</v>
      </c>
      <c r="P1357" s="2" t="s">
        <v>189</v>
      </c>
      <c r="Q1357" s="2" t="s">
        <v>32</v>
      </c>
      <c r="R1357" s="2">
        <v>38.0</v>
      </c>
      <c r="T1357" s="2" t="s">
        <v>47</v>
      </c>
      <c r="U1357" s="2" t="b">
        <v>0</v>
      </c>
      <c r="V1357" s="5">
        <v>0.0052</v>
      </c>
      <c r="W1357" s="5">
        <v>0.0183</v>
      </c>
      <c r="X1357" s="5">
        <v>9.6E-5</v>
      </c>
      <c r="Y1357" s="2">
        <v>36.31050228</v>
      </c>
      <c r="AA1357" s="2" t="s">
        <v>33</v>
      </c>
    </row>
    <row r="1358">
      <c r="A1358" s="2">
        <v>3034.0</v>
      </c>
      <c r="B1358" s="2" t="s">
        <v>4003</v>
      </c>
      <c r="C1358" s="2" t="s">
        <v>7</v>
      </c>
      <c r="D1358" s="2" t="s">
        <v>4004</v>
      </c>
      <c r="E1358" s="2" t="s">
        <v>4005</v>
      </c>
      <c r="F1358" s="6">
        <v>45892.708333333336</v>
      </c>
      <c r="G1358" s="2">
        <v>63984.0</v>
      </c>
      <c r="H1358" s="2">
        <v>63984.0</v>
      </c>
      <c r="I1358" s="2">
        <v>56505.0</v>
      </c>
      <c r="J1358" s="2">
        <v>295.0</v>
      </c>
      <c r="K1358" s="2">
        <v>234.0</v>
      </c>
      <c r="L1358" s="2">
        <v>4.0</v>
      </c>
      <c r="M1358" s="4">
        <v>4111.0</v>
      </c>
      <c r="N1358" s="2" t="s">
        <v>30</v>
      </c>
      <c r="O1358" s="2">
        <v>70.0</v>
      </c>
      <c r="P1358" s="2" t="s">
        <v>189</v>
      </c>
      <c r="Q1358" s="2" t="s">
        <v>32</v>
      </c>
      <c r="R1358" s="2">
        <v>33.0</v>
      </c>
      <c r="T1358" s="2" t="s">
        <v>4006</v>
      </c>
      <c r="U1358" s="2" t="b">
        <v>0</v>
      </c>
      <c r="V1358" s="5">
        <v>0.0041</v>
      </c>
      <c r="W1358" s="5">
        <v>0.0171</v>
      </c>
      <c r="X1358" s="5">
        <v>7.1E-5</v>
      </c>
      <c r="Y1358" s="2">
        <v>17.56837607</v>
      </c>
      <c r="Z1358" s="2">
        <v>6134.0</v>
      </c>
      <c r="AA1358" s="2" t="s">
        <v>33</v>
      </c>
    </row>
    <row r="1359">
      <c r="A1359" s="2">
        <v>3039.0</v>
      </c>
      <c r="B1359" s="2" t="s">
        <v>4007</v>
      </c>
      <c r="C1359" s="2" t="s">
        <v>7</v>
      </c>
      <c r="D1359" s="2" t="s">
        <v>4008</v>
      </c>
      <c r="E1359" s="2" t="s">
        <v>4009</v>
      </c>
      <c r="F1359" s="6">
        <v>45893.416666666664</v>
      </c>
      <c r="G1359" s="2">
        <v>48720.0</v>
      </c>
      <c r="H1359" s="2">
        <v>48720.0</v>
      </c>
      <c r="I1359" s="2">
        <v>41303.0</v>
      </c>
      <c r="J1359" s="2">
        <v>301.0</v>
      </c>
      <c r="K1359" s="2">
        <v>226.0</v>
      </c>
      <c r="L1359" s="2">
        <v>4.0</v>
      </c>
      <c r="M1359" s="4">
        <v>7814.0</v>
      </c>
      <c r="N1359" s="2" t="s">
        <v>36</v>
      </c>
      <c r="O1359" s="2">
        <v>71.0</v>
      </c>
      <c r="P1359" s="2" t="s">
        <v>31</v>
      </c>
      <c r="Q1359" s="2" t="s">
        <v>32</v>
      </c>
      <c r="R1359" s="2">
        <v>39.0</v>
      </c>
      <c r="T1359" s="2" t="s">
        <v>47</v>
      </c>
      <c r="U1359" s="2" t="b">
        <v>0</v>
      </c>
      <c r="V1359" s="5">
        <v>0.0055</v>
      </c>
      <c r="W1359" s="5">
        <v>0.0177</v>
      </c>
      <c r="X1359" s="5">
        <v>9.7E-5</v>
      </c>
      <c r="Y1359" s="2">
        <v>34.57522124</v>
      </c>
      <c r="AA1359" s="2" t="s">
        <v>33</v>
      </c>
    </row>
    <row r="1360">
      <c r="A1360" s="2">
        <v>3038.0</v>
      </c>
      <c r="B1360" s="2" t="s">
        <v>4010</v>
      </c>
      <c r="C1360" s="2" t="s">
        <v>7</v>
      </c>
      <c r="D1360" s="2" t="s">
        <v>4011</v>
      </c>
      <c r="E1360" s="2" t="s">
        <v>4012</v>
      </c>
      <c r="F1360" s="6">
        <v>45893.416666666664</v>
      </c>
      <c r="G1360" s="2">
        <v>64057.0</v>
      </c>
      <c r="H1360" s="2">
        <v>64057.0</v>
      </c>
      <c r="I1360" s="2">
        <v>55997.0</v>
      </c>
      <c r="J1360" s="2">
        <v>271.0</v>
      </c>
      <c r="K1360" s="2">
        <v>219.0</v>
      </c>
      <c r="L1360" s="2">
        <v>3.0</v>
      </c>
      <c r="M1360" s="4">
        <v>12908.0</v>
      </c>
      <c r="N1360" s="2" t="s">
        <v>30</v>
      </c>
      <c r="O1360" s="2">
        <v>70.0</v>
      </c>
      <c r="P1360" s="2" t="s">
        <v>31</v>
      </c>
      <c r="Q1360" s="2" t="s">
        <v>32</v>
      </c>
      <c r="R1360" s="2">
        <v>39.0</v>
      </c>
      <c r="U1360" s="2" t="b">
        <v>0</v>
      </c>
      <c r="V1360" s="5">
        <v>0.0039</v>
      </c>
      <c r="W1360" s="5">
        <v>0.0137</v>
      </c>
      <c r="X1360" s="5">
        <v>5.4E-5</v>
      </c>
      <c r="Y1360" s="2">
        <v>58.94063927</v>
      </c>
      <c r="AA1360" s="2" t="s">
        <v>33</v>
      </c>
    </row>
    <row r="1361">
      <c r="A1361" s="2">
        <v>3041.0</v>
      </c>
      <c r="B1361" s="2" t="s">
        <v>4013</v>
      </c>
      <c r="C1361" s="2" t="s">
        <v>7</v>
      </c>
      <c r="D1361" s="2" t="s">
        <v>4014</v>
      </c>
      <c r="E1361" s="2" t="s">
        <v>4015</v>
      </c>
      <c r="F1361" s="6">
        <v>45893.541666666664</v>
      </c>
      <c r="G1361" s="2">
        <v>48734.0</v>
      </c>
      <c r="H1361" s="2">
        <v>48734.0</v>
      </c>
      <c r="I1361" s="2">
        <v>41689.0</v>
      </c>
      <c r="J1361" s="2">
        <v>299.0</v>
      </c>
      <c r="K1361" s="2">
        <v>238.0</v>
      </c>
      <c r="L1361" s="2">
        <v>4.0</v>
      </c>
      <c r="M1361" s="4">
        <v>7766.0</v>
      </c>
      <c r="N1361" s="2" t="s">
        <v>36</v>
      </c>
      <c r="O1361" s="2">
        <v>71.0</v>
      </c>
      <c r="P1361" s="2" t="s">
        <v>189</v>
      </c>
      <c r="Q1361" s="2" t="s">
        <v>32</v>
      </c>
      <c r="R1361" s="2">
        <v>45.0</v>
      </c>
      <c r="T1361" s="7" t="str">
        <f>IFERROR(__xludf.DUMMYFUNCTION("AI(""has offer Come X Pay X"",D1361)"),"Suki Buffet (Mon-Fri) at ฿ 399")</f>
        <v>Suki Buffet (Mon-Fri) at ฿ 399</v>
      </c>
      <c r="U1361" s="2" t="b">
        <v>0</v>
      </c>
      <c r="V1361" s="5">
        <v>0.0057</v>
      </c>
      <c r="W1361" s="5">
        <v>0.0168</v>
      </c>
      <c r="X1361" s="5">
        <v>9.6E-5</v>
      </c>
      <c r="Y1361" s="2">
        <v>32.6302521</v>
      </c>
      <c r="AA1361" s="2" t="s">
        <v>33</v>
      </c>
    </row>
    <row r="1362">
      <c r="A1362" s="2">
        <v>3040.0</v>
      </c>
      <c r="B1362" s="2" t="s">
        <v>4016</v>
      </c>
      <c r="C1362" s="2" t="s">
        <v>7</v>
      </c>
      <c r="D1362" s="2" t="s">
        <v>4017</v>
      </c>
      <c r="E1362" s="2" t="s">
        <v>4018</v>
      </c>
      <c r="F1362" s="6">
        <v>45893.541666666664</v>
      </c>
      <c r="G1362" s="2">
        <v>64090.0</v>
      </c>
      <c r="H1362" s="2">
        <v>64090.0</v>
      </c>
      <c r="I1362" s="2">
        <v>56503.0</v>
      </c>
      <c r="J1362" s="2">
        <v>391.0</v>
      </c>
      <c r="K1362" s="2">
        <v>324.0</v>
      </c>
      <c r="L1362" s="2">
        <v>3.0</v>
      </c>
      <c r="M1362" s="4">
        <v>5016.0</v>
      </c>
      <c r="N1362" s="2" t="s">
        <v>30</v>
      </c>
      <c r="O1362" s="2">
        <v>70.0</v>
      </c>
      <c r="P1362" s="2" t="s">
        <v>189</v>
      </c>
      <c r="Q1362" s="2" t="s">
        <v>32</v>
      </c>
      <c r="R1362" s="2">
        <v>38.0</v>
      </c>
      <c r="T1362" s="2" t="s">
        <v>47</v>
      </c>
      <c r="U1362" s="2" t="b">
        <v>0</v>
      </c>
      <c r="V1362" s="5">
        <v>0.0057</v>
      </c>
      <c r="W1362" s="5">
        <v>0.0093</v>
      </c>
      <c r="X1362" s="5">
        <v>5.3E-5</v>
      </c>
      <c r="Y1362" s="2">
        <v>15.48148148</v>
      </c>
      <c r="Z1362" s="2" t="s">
        <v>1084</v>
      </c>
      <c r="AA1362" s="2" t="s">
        <v>33</v>
      </c>
    </row>
    <row r="1363">
      <c r="A1363" s="2">
        <v>3045.0</v>
      </c>
      <c r="B1363" s="2" t="s">
        <v>4019</v>
      </c>
      <c r="C1363" s="2" t="s">
        <v>7</v>
      </c>
      <c r="D1363" s="2" t="s">
        <v>4020</v>
      </c>
      <c r="E1363" s="2" t="s">
        <v>4021</v>
      </c>
      <c r="F1363" s="6">
        <v>45893.625</v>
      </c>
      <c r="G1363" s="2">
        <v>48692.0</v>
      </c>
      <c r="H1363" s="2">
        <v>48692.0</v>
      </c>
      <c r="I1363" s="2">
        <v>41814.0</v>
      </c>
      <c r="J1363" s="2">
        <v>367.0</v>
      </c>
      <c r="K1363" s="2">
        <v>280.0</v>
      </c>
      <c r="L1363" s="2">
        <v>8.0</v>
      </c>
      <c r="M1363" s="4">
        <v>18836.0</v>
      </c>
      <c r="N1363" s="2" t="s">
        <v>36</v>
      </c>
      <c r="O1363" s="2">
        <v>71.0</v>
      </c>
      <c r="P1363" s="2" t="s">
        <v>31</v>
      </c>
      <c r="Q1363" s="2" t="s">
        <v>32</v>
      </c>
      <c r="R1363" s="2">
        <v>37.0</v>
      </c>
      <c r="U1363" s="2" t="b">
        <v>1</v>
      </c>
      <c r="V1363" s="5">
        <v>0.0067</v>
      </c>
      <c r="W1363" s="5">
        <v>0.0286</v>
      </c>
      <c r="X1363" s="5">
        <v>1.91E-4</v>
      </c>
      <c r="Y1363" s="2">
        <v>67.27142857</v>
      </c>
      <c r="AA1363" s="2" t="s">
        <v>33</v>
      </c>
    </row>
    <row r="1364">
      <c r="A1364" s="2">
        <v>3044.0</v>
      </c>
      <c r="B1364" s="2" t="s">
        <v>4022</v>
      </c>
      <c r="C1364" s="2" t="s">
        <v>7</v>
      </c>
      <c r="D1364" s="2" t="s">
        <v>4023</v>
      </c>
      <c r="E1364" s="2" t="s">
        <v>4024</v>
      </c>
      <c r="F1364" s="6">
        <v>45893.625</v>
      </c>
      <c r="G1364" s="2">
        <v>64084.0</v>
      </c>
      <c r="H1364" s="2">
        <v>64084.0</v>
      </c>
      <c r="I1364" s="2">
        <v>56591.0</v>
      </c>
      <c r="J1364" s="2">
        <v>412.0</v>
      </c>
      <c r="K1364" s="2">
        <v>338.0</v>
      </c>
      <c r="L1364" s="2">
        <v>8.0</v>
      </c>
      <c r="M1364" s="4">
        <v>16351.0</v>
      </c>
      <c r="N1364" s="2" t="s">
        <v>30</v>
      </c>
      <c r="O1364" s="2">
        <v>70.0</v>
      </c>
      <c r="P1364" s="2" t="s">
        <v>189</v>
      </c>
      <c r="Q1364" s="2" t="s">
        <v>32</v>
      </c>
      <c r="R1364" s="2">
        <v>38.0</v>
      </c>
      <c r="T1364" s="2" t="s">
        <v>405</v>
      </c>
      <c r="U1364" s="2" t="b">
        <v>0</v>
      </c>
      <c r="V1364" s="5">
        <v>0.006</v>
      </c>
      <c r="W1364" s="5">
        <v>0.0237</v>
      </c>
      <c r="X1364" s="5">
        <v>1.41E-4</v>
      </c>
      <c r="Y1364" s="2">
        <v>48.37573964</v>
      </c>
      <c r="AA1364" s="2" t="s">
        <v>33</v>
      </c>
    </row>
    <row r="1365">
      <c r="A1365" s="2">
        <v>3075.0</v>
      </c>
      <c r="B1365" s="2" t="s">
        <v>4025</v>
      </c>
      <c r="C1365" s="2" t="s">
        <v>7</v>
      </c>
      <c r="D1365" s="2" t="s">
        <v>4026</v>
      </c>
      <c r="F1365" s="6">
        <v>45894.479166666664</v>
      </c>
      <c r="G1365" s="2">
        <v>48343.0</v>
      </c>
      <c r="H1365" s="2">
        <v>48339.0</v>
      </c>
      <c r="I1365" s="2">
        <v>41760.0</v>
      </c>
      <c r="J1365" s="2">
        <v>301.0</v>
      </c>
      <c r="K1365" s="2">
        <v>244.0</v>
      </c>
      <c r="L1365" s="2">
        <v>2.0</v>
      </c>
      <c r="M1365" s="2">
        <v>745.0</v>
      </c>
      <c r="N1365" s="2" t="s">
        <v>3800</v>
      </c>
      <c r="O1365" s="2">
        <v>257.0</v>
      </c>
      <c r="P1365" s="2" t="s">
        <v>31</v>
      </c>
      <c r="Q1365" s="2" t="s">
        <v>32</v>
      </c>
      <c r="R1365" s="2">
        <v>40.0</v>
      </c>
      <c r="U1365" s="2" t="b">
        <v>0</v>
      </c>
      <c r="V1365" s="5">
        <v>0.0058</v>
      </c>
      <c r="W1365" s="5">
        <v>0.0082</v>
      </c>
      <c r="X1365" s="5">
        <v>4.8E-5</v>
      </c>
      <c r="Y1365" s="2">
        <v>3.054918008</v>
      </c>
    </row>
    <row r="1366">
      <c r="A1366" s="2">
        <v>3077.0</v>
      </c>
      <c r="B1366" s="2" t="s">
        <v>4027</v>
      </c>
      <c r="C1366" s="2" t="s">
        <v>7</v>
      </c>
      <c r="D1366" s="2" t="s">
        <v>4028</v>
      </c>
      <c r="F1366" s="6">
        <v>45894.489583333336</v>
      </c>
      <c r="G1366" s="2">
        <v>59484.0</v>
      </c>
      <c r="H1366" s="2">
        <v>59472.0</v>
      </c>
      <c r="I1366" s="2">
        <v>53096.0</v>
      </c>
      <c r="J1366" s="2">
        <v>401.0</v>
      </c>
      <c r="K1366" s="2">
        <v>334.0</v>
      </c>
      <c r="L1366" s="2">
        <v>0.0</v>
      </c>
      <c r="M1366" s="2">
        <v>0.0</v>
      </c>
      <c r="N1366" s="2" t="s">
        <v>3803</v>
      </c>
      <c r="O1366" s="2">
        <v>258.0</v>
      </c>
      <c r="P1366" s="2" t="s">
        <v>31</v>
      </c>
      <c r="Q1366" s="2" t="s">
        <v>32</v>
      </c>
      <c r="R1366" s="2">
        <v>35.0</v>
      </c>
      <c r="T1366" s="2" t="s">
        <v>47</v>
      </c>
      <c r="U1366" s="2" t="b">
        <v>0</v>
      </c>
      <c r="V1366" s="5">
        <v>0.0063</v>
      </c>
      <c r="W1366" s="5">
        <v>0.0</v>
      </c>
      <c r="X1366" s="5">
        <v>0.0</v>
      </c>
      <c r="Y1366" s="2">
        <v>0.0</v>
      </c>
    </row>
    <row r="1367">
      <c r="A1367" s="2">
        <v>3086.0</v>
      </c>
      <c r="B1367" s="2" t="s">
        <v>4029</v>
      </c>
      <c r="C1367" s="2" t="s">
        <v>7</v>
      </c>
      <c r="D1367" s="2" t="s">
        <v>4030</v>
      </c>
      <c r="E1367" s="2" t="s">
        <v>4031</v>
      </c>
      <c r="F1367" s="6">
        <v>45894.62569444445</v>
      </c>
      <c r="G1367" s="2">
        <v>64125.0</v>
      </c>
      <c r="H1367" s="2">
        <v>64125.0</v>
      </c>
      <c r="I1367" s="2">
        <v>56756.0</v>
      </c>
      <c r="J1367" s="2">
        <v>449.0</v>
      </c>
      <c r="K1367" s="2">
        <v>354.0</v>
      </c>
      <c r="L1367" s="2">
        <v>2.0</v>
      </c>
      <c r="M1367" s="4">
        <v>4566.0</v>
      </c>
      <c r="N1367" s="2" t="s">
        <v>30</v>
      </c>
      <c r="O1367" s="2">
        <v>70.0</v>
      </c>
      <c r="P1367" s="2" t="s">
        <v>189</v>
      </c>
      <c r="Q1367" s="2" t="s">
        <v>32</v>
      </c>
      <c r="R1367" s="2">
        <v>35.0</v>
      </c>
      <c r="U1367" s="2" t="b">
        <v>0</v>
      </c>
      <c r="V1367" s="5">
        <v>0.0062</v>
      </c>
      <c r="W1367" s="5">
        <v>0.0056</v>
      </c>
      <c r="X1367" s="5">
        <v>3.5E-5</v>
      </c>
      <c r="Y1367" s="2">
        <v>12.89830508</v>
      </c>
      <c r="Z1367" s="2">
        <v>222.0</v>
      </c>
      <c r="AA1367" s="2" t="s">
        <v>33</v>
      </c>
    </row>
    <row r="1368">
      <c r="A1368" s="2">
        <v>3087.0</v>
      </c>
      <c r="B1368" s="2" t="s">
        <v>4032</v>
      </c>
      <c r="C1368" s="2" t="s">
        <v>7</v>
      </c>
      <c r="D1368" s="2" t="s">
        <v>4033</v>
      </c>
      <c r="E1368" s="2" t="s">
        <v>4034</v>
      </c>
      <c r="F1368" s="6">
        <v>45894.62708333333</v>
      </c>
      <c r="G1368" s="2">
        <v>48731.0</v>
      </c>
      <c r="H1368" s="2">
        <v>48731.0</v>
      </c>
      <c r="I1368" s="2">
        <v>41934.0</v>
      </c>
      <c r="J1368" s="2">
        <v>333.0</v>
      </c>
      <c r="K1368" s="2">
        <v>263.0</v>
      </c>
      <c r="L1368" s="2">
        <v>7.0</v>
      </c>
      <c r="M1368" s="4">
        <v>24862.0</v>
      </c>
      <c r="N1368" s="2" t="s">
        <v>36</v>
      </c>
      <c r="O1368" s="2">
        <v>71.0</v>
      </c>
      <c r="P1368" s="2" t="s">
        <v>189</v>
      </c>
      <c r="Q1368" s="2" t="s">
        <v>32</v>
      </c>
      <c r="R1368" s="2">
        <v>36.0</v>
      </c>
      <c r="U1368" s="2" t="b">
        <v>1</v>
      </c>
      <c r="V1368" s="5">
        <v>0.0063</v>
      </c>
      <c r="W1368" s="5">
        <v>0.0266</v>
      </c>
      <c r="X1368" s="5">
        <v>1.67E-4</v>
      </c>
      <c r="Y1368" s="2">
        <v>94.53231939</v>
      </c>
      <c r="AA1368" s="2" t="s">
        <v>33</v>
      </c>
    </row>
    <row r="1369">
      <c r="A1369" s="2">
        <v>3089.0</v>
      </c>
      <c r="B1369" s="2" t="s">
        <v>4035</v>
      </c>
      <c r="C1369" s="2" t="s">
        <v>7</v>
      </c>
      <c r="D1369" s="2" t="s">
        <v>4036</v>
      </c>
      <c r="E1369" s="2" t="s">
        <v>4037</v>
      </c>
      <c r="F1369" s="6">
        <v>45894.708333333336</v>
      </c>
      <c r="G1369" s="2">
        <v>48688.0</v>
      </c>
      <c r="H1369" s="2">
        <v>48688.0</v>
      </c>
      <c r="I1369" s="2">
        <v>41926.0</v>
      </c>
      <c r="J1369" s="2">
        <v>371.0</v>
      </c>
      <c r="K1369" s="2">
        <v>296.0</v>
      </c>
      <c r="L1369" s="2">
        <v>8.0</v>
      </c>
      <c r="M1369" s="4">
        <v>14293.0</v>
      </c>
      <c r="N1369" s="2" t="s">
        <v>36</v>
      </c>
      <c r="O1369" s="2">
        <v>71.0</v>
      </c>
      <c r="P1369" s="2" t="s">
        <v>31</v>
      </c>
      <c r="Q1369" s="2" t="s">
        <v>32</v>
      </c>
      <c r="R1369" s="2">
        <v>40.0</v>
      </c>
      <c r="T1369" s="8">
        <v>46024.0</v>
      </c>
      <c r="U1369" s="2" t="b">
        <v>1</v>
      </c>
      <c r="V1369" s="5">
        <v>0.0071</v>
      </c>
      <c r="W1369" s="5">
        <v>0.027</v>
      </c>
      <c r="X1369" s="5">
        <v>1.91E-4</v>
      </c>
      <c r="Y1369" s="2">
        <v>48.28716216</v>
      </c>
      <c r="AA1369" s="2" t="s">
        <v>33</v>
      </c>
    </row>
    <row r="1370">
      <c r="A1370" s="2">
        <v>3088.0</v>
      </c>
      <c r="B1370" s="2" t="s">
        <v>4038</v>
      </c>
      <c r="C1370" s="2" t="s">
        <v>7</v>
      </c>
      <c r="D1370" s="2" t="s">
        <v>4039</v>
      </c>
      <c r="E1370" s="2" t="s">
        <v>4040</v>
      </c>
      <c r="F1370" s="6">
        <v>45894.708333333336</v>
      </c>
      <c r="G1370" s="2">
        <v>64066.0</v>
      </c>
      <c r="H1370" s="2">
        <v>64066.0</v>
      </c>
      <c r="I1370" s="2">
        <v>56788.0</v>
      </c>
      <c r="J1370" s="2">
        <v>500.0</v>
      </c>
      <c r="K1370" s="2">
        <v>397.0</v>
      </c>
      <c r="L1370" s="2">
        <v>6.0</v>
      </c>
      <c r="M1370" s="4">
        <v>11690.0</v>
      </c>
      <c r="N1370" s="2" t="s">
        <v>30</v>
      </c>
      <c r="O1370" s="2">
        <v>70.0</v>
      </c>
      <c r="P1370" s="2" t="s">
        <v>31</v>
      </c>
      <c r="Q1370" s="2" t="s">
        <v>32</v>
      </c>
      <c r="R1370" s="2">
        <v>40.0</v>
      </c>
      <c r="T1370" s="2" t="s">
        <v>405</v>
      </c>
      <c r="U1370" s="2" t="b">
        <v>0</v>
      </c>
      <c r="V1370" s="5">
        <v>0.007</v>
      </c>
      <c r="W1370" s="5">
        <v>0.0151</v>
      </c>
      <c r="X1370" s="5">
        <v>1.06E-4</v>
      </c>
      <c r="Y1370" s="2">
        <v>29.44584383</v>
      </c>
      <c r="Z1370" s="2">
        <v>4227.0</v>
      </c>
      <c r="AA1370" s="2" t="s">
        <v>33</v>
      </c>
    </row>
    <row r="1371">
      <c r="A1371" s="2">
        <v>3091.0</v>
      </c>
      <c r="B1371" s="2" t="s">
        <v>4041</v>
      </c>
      <c r="C1371" s="2" t="s">
        <v>7</v>
      </c>
      <c r="D1371" s="2" t="s">
        <v>4042</v>
      </c>
      <c r="E1371" s="2" t="s">
        <v>4043</v>
      </c>
      <c r="F1371" s="6">
        <v>45895.458333333336</v>
      </c>
      <c r="G1371" s="2">
        <v>48793.0</v>
      </c>
      <c r="H1371" s="2">
        <v>48793.0</v>
      </c>
      <c r="I1371" s="2">
        <v>41626.0</v>
      </c>
      <c r="J1371" s="2">
        <v>279.0</v>
      </c>
      <c r="K1371" s="2">
        <v>221.0</v>
      </c>
      <c r="L1371" s="2">
        <v>2.0</v>
      </c>
      <c r="M1371" s="4">
        <v>8674.0</v>
      </c>
      <c r="N1371" s="2" t="s">
        <v>36</v>
      </c>
      <c r="O1371" s="2">
        <v>71.0</v>
      </c>
      <c r="P1371" s="2" t="s">
        <v>189</v>
      </c>
      <c r="Q1371" s="2" t="s">
        <v>32</v>
      </c>
      <c r="R1371" s="2">
        <v>35.0</v>
      </c>
      <c r="T1371" s="2" t="s">
        <v>47</v>
      </c>
      <c r="U1371" s="2" t="b">
        <v>0</v>
      </c>
      <c r="V1371" s="5">
        <v>0.0053</v>
      </c>
      <c r="W1371" s="5">
        <v>0.009</v>
      </c>
      <c r="X1371" s="5">
        <v>4.8E-5</v>
      </c>
      <c r="Y1371" s="2">
        <v>39.24886878</v>
      </c>
      <c r="AA1371" s="2" t="s">
        <v>33</v>
      </c>
    </row>
    <row r="1372">
      <c r="A1372" s="2">
        <v>3090.0</v>
      </c>
      <c r="B1372" s="2" t="s">
        <v>4044</v>
      </c>
      <c r="C1372" s="2" t="s">
        <v>7</v>
      </c>
      <c r="D1372" s="2" t="s">
        <v>4045</v>
      </c>
      <c r="E1372" s="2" t="s">
        <v>4046</v>
      </c>
      <c r="F1372" s="6">
        <v>45895.458333333336</v>
      </c>
      <c r="G1372" s="2">
        <v>64155.0</v>
      </c>
      <c r="H1372" s="2">
        <v>64155.0</v>
      </c>
      <c r="I1372" s="2">
        <v>56591.0</v>
      </c>
      <c r="J1372" s="2">
        <v>381.0</v>
      </c>
      <c r="K1372" s="2">
        <v>301.0</v>
      </c>
      <c r="L1372" s="2">
        <v>4.0</v>
      </c>
      <c r="M1372" s="4">
        <v>8890.0</v>
      </c>
      <c r="N1372" s="2" t="s">
        <v>30</v>
      </c>
      <c r="O1372" s="2">
        <v>70.0</v>
      </c>
      <c r="P1372" s="2" t="s">
        <v>31</v>
      </c>
      <c r="Q1372" s="2" t="s">
        <v>32</v>
      </c>
      <c r="R1372" s="2">
        <v>50.0</v>
      </c>
      <c r="U1372" s="2" t="b">
        <v>0</v>
      </c>
      <c r="V1372" s="5">
        <v>0.0053</v>
      </c>
      <c r="W1372" s="5">
        <v>0.0133</v>
      </c>
      <c r="X1372" s="5">
        <v>7.1E-5</v>
      </c>
      <c r="Y1372" s="2">
        <v>29.53488372</v>
      </c>
      <c r="Z1372" s="2">
        <v>5428.0</v>
      </c>
      <c r="AA1372" s="2" t="s">
        <v>33</v>
      </c>
    </row>
    <row r="1373">
      <c r="A1373" s="2">
        <v>3108.0</v>
      </c>
      <c r="B1373" s="2" t="s">
        <v>4047</v>
      </c>
      <c r="C1373" s="2" t="s">
        <v>7</v>
      </c>
      <c r="D1373" s="2" t="s">
        <v>4048</v>
      </c>
      <c r="E1373" s="2" t="s">
        <v>4049</v>
      </c>
      <c r="F1373" s="6">
        <v>45895.53472222222</v>
      </c>
      <c r="G1373" s="2">
        <v>6313.0</v>
      </c>
      <c r="H1373" s="2">
        <v>6313.0</v>
      </c>
      <c r="I1373" s="2">
        <v>5207.0</v>
      </c>
      <c r="J1373" s="2">
        <v>56.0</v>
      </c>
      <c r="K1373" s="2">
        <v>49.0</v>
      </c>
      <c r="L1373" s="2">
        <v>0.0</v>
      </c>
      <c r="M1373" s="2">
        <v>0.0</v>
      </c>
      <c r="N1373" s="2" t="s">
        <v>423</v>
      </c>
      <c r="O1373" s="2">
        <v>119.0</v>
      </c>
      <c r="P1373" s="2" t="s">
        <v>189</v>
      </c>
      <c r="Q1373" s="2" t="s">
        <v>1367</v>
      </c>
      <c r="R1373" s="2">
        <v>30.0</v>
      </c>
      <c r="U1373" s="2" t="b">
        <v>0</v>
      </c>
      <c r="V1373" s="5">
        <v>0.0094</v>
      </c>
      <c r="W1373" s="5">
        <v>0.0</v>
      </c>
      <c r="X1373" s="5">
        <v>0.0</v>
      </c>
      <c r="Y1373" s="2">
        <v>0.0</v>
      </c>
      <c r="AA1373" s="2" t="s">
        <v>423</v>
      </c>
    </row>
    <row r="1374">
      <c r="A1374" s="2">
        <v>3093.0</v>
      </c>
      <c r="B1374" s="2" t="s">
        <v>4050</v>
      </c>
      <c r="C1374" s="2" t="s">
        <v>7</v>
      </c>
      <c r="D1374" s="2" t="s">
        <v>4051</v>
      </c>
      <c r="E1374" s="2" t="s">
        <v>4052</v>
      </c>
      <c r="F1374" s="6">
        <v>45895.625</v>
      </c>
      <c r="G1374" s="2">
        <v>48762.0</v>
      </c>
      <c r="H1374" s="2">
        <v>48762.0</v>
      </c>
      <c r="I1374" s="2">
        <v>42005.0</v>
      </c>
      <c r="J1374" s="2">
        <v>288.0</v>
      </c>
      <c r="K1374" s="2">
        <v>243.0</v>
      </c>
      <c r="L1374" s="2">
        <v>4.0</v>
      </c>
      <c r="M1374" s="4">
        <v>7370.0</v>
      </c>
      <c r="N1374" s="2" t="s">
        <v>36</v>
      </c>
      <c r="O1374" s="2">
        <v>71.0</v>
      </c>
      <c r="P1374" s="2" t="s">
        <v>189</v>
      </c>
      <c r="Q1374" s="2" t="s">
        <v>32</v>
      </c>
      <c r="R1374" s="2">
        <v>35.0</v>
      </c>
      <c r="U1374" s="2" t="b">
        <v>0</v>
      </c>
      <c r="V1374" s="5">
        <v>0.0058</v>
      </c>
      <c r="W1374" s="5">
        <v>0.0165</v>
      </c>
      <c r="X1374" s="5">
        <v>9.5E-5</v>
      </c>
      <c r="Y1374" s="2">
        <v>30.32921811</v>
      </c>
      <c r="AA1374" s="2" t="s">
        <v>33</v>
      </c>
    </row>
    <row r="1375">
      <c r="A1375" s="2">
        <v>3109.0</v>
      </c>
      <c r="B1375" s="2" t="s">
        <v>4053</v>
      </c>
      <c r="C1375" s="2" t="s">
        <v>7</v>
      </c>
      <c r="D1375" s="2" t="s">
        <v>4054</v>
      </c>
      <c r="E1375" s="2" t="s">
        <v>4055</v>
      </c>
      <c r="F1375" s="6">
        <v>45895.625</v>
      </c>
      <c r="G1375" s="2">
        <v>6299.0</v>
      </c>
      <c r="H1375" s="2">
        <v>6299.0</v>
      </c>
      <c r="I1375" s="2">
        <v>5226.0</v>
      </c>
      <c r="J1375" s="2">
        <v>61.0</v>
      </c>
      <c r="K1375" s="2">
        <v>52.0</v>
      </c>
      <c r="L1375" s="2">
        <v>1.0</v>
      </c>
      <c r="M1375" s="4">
        <v>6110.0</v>
      </c>
      <c r="N1375" s="2" t="s">
        <v>423</v>
      </c>
      <c r="O1375" s="2">
        <v>119.0</v>
      </c>
      <c r="P1375" s="2" t="s">
        <v>189</v>
      </c>
      <c r="Q1375" s="2" t="s">
        <v>1367</v>
      </c>
      <c r="R1375" s="2">
        <v>25.0</v>
      </c>
      <c r="T1375" s="2" t="s">
        <v>47</v>
      </c>
      <c r="U1375" s="2" t="b">
        <v>0</v>
      </c>
      <c r="V1375" s="5">
        <v>0.01</v>
      </c>
      <c r="W1375" s="5">
        <v>0.0192</v>
      </c>
      <c r="X1375" s="5">
        <v>1.91E-4</v>
      </c>
      <c r="Y1375" s="2">
        <v>117.5</v>
      </c>
      <c r="AA1375" s="2" t="s">
        <v>423</v>
      </c>
    </row>
    <row r="1376">
      <c r="A1376" s="2">
        <v>3092.0</v>
      </c>
      <c r="B1376" s="2" t="s">
        <v>4056</v>
      </c>
      <c r="C1376" s="2" t="s">
        <v>7</v>
      </c>
      <c r="D1376" s="2" t="s">
        <v>4057</v>
      </c>
      <c r="E1376" s="2" t="s">
        <v>4058</v>
      </c>
      <c r="F1376" s="6">
        <v>45895.625</v>
      </c>
      <c r="G1376" s="2">
        <v>64171.0</v>
      </c>
      <c r="H1376" s="2">
        <v>64171.0</v>
      </c>
      <c r="I1376" s="2">
        <v>56889.0</v>
      </c>
      <c r="J1376" s="2">
        <v>439.0</v>
      </c>
      <c r="K1376" s="2">
        <v>364.0</v>
      </c>
      <c r="L1376" s="2">
        <v>8.0</v>
      </c>
      <c r="M1376" s="4">
        <v>34089.0</v>
      </c>
      <c r="N1376" s="2" t="s">
        <v>30</v>
      </c>
      <c r="O1376" s="2">
        <v>70.0</v>
      </c>
      <c r="P1376" s="2" t="s">
        <v>189</v>
      </c>
      <c r="Q1376" s="2" t="s">
        <v>32</v>
      </c>
      <c r="R1376" s="2">
        <v>33.0</v>
      </c>
      <c r="T1376" s="2" t="s">
        <v>162</v>
      </c>
      <c r="U1376" s="2" t="b">
        <v>0</v>
      </c>
      <c r="V1376" s="5">
        <v>0.0064</v>
      </c>
      <c r="W1376" s="5">
        <v>0.022</v>
      </c>
      <c r="X1376" s="5">
        <v>1.41E-4</v>
      </c>
      <c r="Y1376" s="2">
        <v>93.6510989</v>
      </c>
      <c r="Z1376" s="2" t="s">
        <v>307</v>
      </c>
      <c r="AA1376" s="2" t="s">
        <v>33</v>
      </c>
    </row>
    <row r="1377">
      <c r="A1377" s="2">
        <v>3095.0</v>
      </c>
      <c r="B1377" s="2" t="s">
        <v>4059</v>
      </c>
      <c r="C1377" s="2" t="s">
        <v>7</v>
      </c>
      <c r="D1377" s="2" t="s">
        <v>4060</v>
      </c>
      <c r="E1377" s="2" t="s">
        <v>4061</v>
      </c>
      <c r="F1377" s="6">
        <v>45895.708333333336</v>
      </c>
      <c r="G1377" s="2">
        <v>48746.0</v>
      </c>
      <c r="H1377" s="2">
        <v>48746.0</v>
      </c>
      <c r="I1377" s="2">
        <v>42014.0</v>
      </c>
      <c r="J1377" s="2">
        <v>332.0</v>
      </c>
      <c r="K1377" s="2">
        <v>254.0</v>
      </c>
      <c r="L1377" s="2">
        <v>4.0</v>
      </c>
      <c r="M1377" s="4">
        <v>6626.0</v>
      </c>
      <c r="N1377" s="2" t="s">
        <v>36</v>
      </c>
      <c r="O1377" s="2">
        <v>71.0</v>
      </c>
      <c r="P1377" s="2" t="s">
        <v>189</v>
      </c>
      <c r="Q1377" s="2" t="s">
        <v>32</v>
      </c>
      <c r="R1377" s="2">
        <v>47.0</v>
      </c>
      <c r="T1377" s="2" t="s">
        <v>58</v>
      </c>
      <c r="U1377" s="2" t="b">
        <v>0</v>
      </c>
      <c r="V1377" s="5">
        <v>0.006</v>
      </c>
      <c r="W1377" s="5">
        <v>0.0157</v>
      </c>
      <c r="X1377" s="5">
        <v>9.5E-5</v>
      </c>
      <c r="Y1377" s="2">
        <v>26.08661417</v>
      </c>
      <c r="AA1377" s="2" t="s">
        <v>33</v>
      </c>
    </row>
    <row r="1378">
      <c r="A1378" s="2">
        <v>3094.0</v>
      </c>
      <c r="B1378" s="2" t="s">
        <v>4062</v>
      </c>
      <c r="C1378" s="2" t="s">
        <v>7</v>
      </c>
      <c r="D1378" s="2" t="s">
        <v>4063</v>
      </c>
      <c r="E1378" s="2" t="s">
        <v>4064</v>
      </c>
      <c r="F1378" s="6">
        <v>45895.708333333336</v>
      </c>
      <c r="G1378" s="2">
        <v>64177.0</v>
      </c>
      <c r="H1378" s="2">
        <v>64177.0</v>
      </c>
      <c r="I1378" s="2">
        <v>56905.0</v>
      </c>
      <c r="J1378" s="2">
        <v>383.0</v>
      </c>
      <c r="K1378" s="2">
        <v>298.0</v>
      </c>
      <c r="L1378" s="2">
        <v>5.0</v>
      </c>
      <c r="M1378" s="4">
        <v>12022.0</v>
      </c>
      <c r="N1378" s="2" t="s">
        <v>30</v>
      </c>
      <c r="O1378" s="2">
        <v>70.0</v>
      </c>
      <c r="P1378" s="2" t="s">
        <v>189</v>
      </c>
      <c r="Q1378" s="2" t="s">
        <v>32</v>
      </c>
      <c r="R1378" s="2">
        <v>42.0</v>
      </c>
      <c r="T1378" s="2" t="s">
        <v>143</v>
      </c>
      <c r="U1378" s="2" t="b">
        <v>0</v>
      </c>
      <c r="V1378" s="5">
        <v>0.0052</v>
      </c>
      <c r="W1378" s="5">
        <v>0.0168</v>
      </c>
      <c r="X1378" s="5">
        <v>8.8E-5</v>
      </c>
      <c r="Y1378" s="2">
        <v>40.34228188</v>
      </c>
      <c r="Z1378" s="2">
        <v>2536.0</v>
      </c>
      <c r="AA1378" s="2" t="s">
        <v>33</v>
      </c>
    </row>
    <row r="1379">
      <c r="A1379" s="2">
        <v>3111.0</v>
      </c>
      <c r="B1379" s="2" t="s">
        <v>4065</v>
      </c>
      <c r="C1379" s="2" t="s">
        <v>7</v>
      </c>
      <c r="D1379" s="2" t="s">
        <v>4066</v>
      </c>
      <c r="E1379" s="2" t="s">
        <v>4067</v>
      </c>
      <c r="F1379" s="6">
        <v>45895.708333333336</v>
      </c>
      <c r="G1379" s="2">
        <v>6306.0</v>
      </c>
      <c r="H1379" s="2">
        <v>6306.0</v>
      </c>
      <c r="I1379" s="2">
        <v>5259.0</v>
      </c>
      <c r="J1379" s="2">
        <v>62.0</v>
      </c>
      <c r="K1379" s="2">
        <v>46.0</v>
      </c>
      <c r="L1379" s="2">
        <v>1.0</v>
      </c>
      <c r="M1379" s="4">
        <v>1990.0</v>
      </c>
      <c r="N1379" s="2" t="s">
        <v>423</v>
      </c>
      <c r="O1379" s="2">
        <v>119.0</v>
      </c>
      <c r="P1379" s="2" t="s">
        <v>189</v>
      </c>
      <c r="Q1379" s="2" t="s">
        <v>1367</v>
      </c>
      <c r="R1379" s="2">
        <v>45.0</v>
      </c>
      <c r="U1379" s="2" t="b">
        <v>0</v>
      </c>
      <c r="V1379" s="5">
        <v>0.0087</v>
      </c>
      <c r="W1379" s="5">
        <v>0.0217</v>
      </c>
      <c r="X1379" s="5">
        <v>1.9E-4</v>
      </c>
      <c r="Y1379" s="2">
        <v>43.26086957</v>
      </c>
      <c r="AA1379" s="2" t="s">
        <v>423</v>
      </c>
    </row>
    <row r="1380">
      <c r="A1380" s="2">
        <v>3097.0</v>
      </c>
      <c r="B1380" s="2" t="s">
        <v>4068</v>
      </c>
      <c r="C1380" s="2" t="s">
        <v>7</v>
      </c>
      <c r="D1380" s="2" t="s">
        <v>4069</v>
      </c>
      <c r="E1380" s="2" t="s">
        <v>4070</v>
      </c>
      <c r="F1380" s="6">
        <v>45896.458333333336</v>
      </c>
      <c r="G1380" s="2">
        <v>48745.0</v>
      </c>
      <c r="H1380" s="2">
        <v>48745.0</v>
      </c>
      <c r="I1380" s="2">
        <v>41720.0</v>
      </c>
      <c r="J1380" s="2">
        <v>256.0</v>
      </c>
      <c r="K1380" s="2">
        <v>200.0</v>
      </c>
      <c r="L1380" s="2">
        <v>3.0</v>
      </c>
      <c r="M1380" s="4">
        <v>9557.0</v>
      </c>
      <c r="N1380" s="2" t="s">
        <v>36</v>
      </c>
      <c r="O1380" s="2">
        <v>71.0</v>
      </c>
      <c r="P1380" s="2" t="s">
        <v>189</v>
      </c>
      <c r="Q1380" s="2" t="s">
        <v>32</v>
      </c>
      <c r="R1380" s="2">
        <v>57.0</v>
      </c>
      <c r="T1380" s="2" t="s">
        <v>4071</v>
      </c>
      <c r="U1380" s="2" t="b">
        <v>0</v>
      </c>
      <c r="V1380" s="5">
        <v>0.0048</v>
      </c>
      <c r="W1380" s="5">
        <v>0.015</v>
      </c>
      <c r="X1380" s="5">
        <v>7.2E-5</v>
      </c>
      <c r="Y1380" s="2">
        <v>47.785</v>
      </c>
      <c r="AA1380" s="2" t="s">
        <v>33</v>
      </c>
    </row>
    <row r="1381">
      <c r="A1381" s="2">
        <v>3115.0</v>
      </c>
      <c r="B1381" s="2" t="s">
        <v>4072</v>
      </c>
      <c r="C1381" s="2" t="s">
        <v>7</v>
      </c>
      <c r="D1381" s="2" t="s">
        <v>4073</v>
      </c>
      <c r="E1381" s="2" t="s">
        <v>4074</v>
      </c>
      <c r="F1381" s="6">
        <v>45896.458333333336</v>
      </c>
      <c r="G1381" s="2">
        <v>6313.0</v>
      </c>
      <c r="H1381" s="2">
        <v>6313.0</v>
      </c>
      <c r="I1381" s="2">
        <v>5212.0</v>
      </c>
      <c r="J1381" s="2">
        <v>120.0</v>
      </c>
      <c r="K1381" s="2">
        <v>103.0</v>
      </c>
      <c r="L1381" s="2">
        <v>0.0</v>
      </c>
      <c r="M1381" s="2">
        <v>0.0</v>
      </c>
      <c r="N1381" s="2" t="s">
        <v>423</v>
      </c>
      <c r="O1381" s="2">
        <v>119.0</v>
      </c>
      <c r="P1381" s="2" t="s">
        <v>189</v>
      </c>
      <c r="Q1381" s="2" t="s">
        <v>1367</v>
      </c>
      <c r="R1381" s="2">
        <v>41.0</v>
      </c>
      <c r="T1381" s="2" t="s">
        <v>47</v>
      </c>
      <c r="U1381" s="2" t="b">
        <v>0</v>
      </c>
      <c r="V1381" s="5">
        <v>0.0198</v>
      </c>
      <c r="W1381" s="5">
        <v>0.0</v>
      </c>
      <c r="X1381" s="5">
        <v>0.0</v>
      </c>
      <c r="Y1381" s="2">
        <v>0.0</v>
      </c>
      <c r="AA1381" s="2" t="s">
        <v>423</v>
      </c>
    </row>
    <row r="1382">
      <c r="A1382" s="2">
        <v>3096.0</v>
      </c>
      <c r="B1382" s="2" t="s">
        <v>4075</v>
      </c>
      <c r="C1382" s="2" t="s">
        <v>7</v>
      </c>
      <c r="D1382" s="2" t="s">
        <v>4076</v>
      </c>
      <c r="E1382" s="2" t="s">
        <v>4077</v>
      </c>
      <c r="F1382" s="6">
        <v>45896.458333333336</v>
      </c>
      <c r="G1382" s="2">
        <v>64192.0</v>
      </c>
      <c r="H1382" s="2">
        <v>64192.0</v>
      </c>
      <c r="I1382" s="2">
        <v>56606.0</v>
      </c>
      <c r="J1382" s="2">
        <v>329.0</v>
      </c>
      <c r="K1382" s="2">
        <v>270.0</v>
      </c>
      <c r="L1382" s="2">
        <v>4.0</v>
      </c>
      <c r="M1382" s="4">
        <v>6002.0</v>
      </c>
      <c r="N1382" s="2" t="s">
        <v>30</v>
      </c>
      <c r="O1382" s="2">
        <v>70.0</v>
      </c>
      <c r="P1382" s="2" t="s">
        <v>189</v>
      </c>
      <c r="Q1382" s="2" t="s">
        <v>32</v>
      </c>
      <c r="R1382" s="2">
        <v>43.0</v>
      </c>
      <c r="T1382" s="2" t="s">
        <v>47</v>
      </c>
      <c r="U1382" s="2" t="b">
        <v>0</v>
      </c>
      <c r="V1382" s="5">
        <v>0.0048</v>
      </c>
      <c r="W1382" s="5">
        <v>0.0148</v>
      </c>
      <c r="X1382" s="5">
        <v>7.1E-5</v>
      </c>
      <c r="Y1382" s="2">
        <v>22.22962963</v>
      </c>
      <c r="AA1382" s="2" t="s">
        <v>33</v>
      </c>
    </row>
    <row r="1383">
      <c r="A1383" s="2">
        <v>3099.0</v>
      </c>
      <c r="B1383" s="2" t="s">
        <v>4078</v>
      </c>
      <c r="C1383" s="2" t="s">
        <v>7</v>
      </c>
      <c r="D1383" s="2" t="s">
        <v>4079</v>
      </c>
      <c r="E1383" s="2" t="s">
        <v>4080</v>
      </c>
      <c r="F1383" s="6">
        <v>45896.625</v>
      </c>
      <c r="G1383" s="2">
        <v>48779.0</v>
      </c>
      <c r="H1383" s="2">
        <v>48779.0</v>
      </c>
      <c r="I1383" s="2">
        <v>42075.0</v>
      </c>
      <c r="J1383" s="2">
        <v>285.0</v>
      </c>
      <c r="K1383" s="2">
        <v>225.0</v>
      </c>
      <c r="L1383" s="2">
        <v>5.0</v>
      </c>
      <c r="M1383" s="4">
        <v>17205.0</v>
      </c>
      <c r="N1383" s="2" t="s">
        <v>36</v>
      </c>
      <c r="O1383" s="2">
        <v>71.0</v>
      </c>
      <c r="P1383" s="2" t="s">
        <v>31</v>
      </c>
      <c r="Q1383" s="2" t="s">
        <v>32</v>
      </c>
      <c r="R1383" s="2">
        <v>40.0</v>
      </c>
      <c r="T1383" s="2" t="s">
        <v>58</v>
      </c>
      <c r="U1383" s="2" t="b">
        <v>0</v>
      </c>
      <c r="V1383" s="5">
        <v>0.0053</v>
      </c>
      <c r="W1383" s="5">
        <v>0.0222</v>
      </c>
      <c r="X1383" s="5">
        <v>1.19E-4</v>
      </c>
      <c r="Y1383" s="2">
        <v>76.46666667</v>
      </c>
      <c r="AA1383" s="2" t="s">
        <v>33</v>
      </c>
    </row>
    <row r="1384">
      <c r="A1384" s="2">
        <v>3098.0</v>
      </c>
      <c r="B1384" s="2" t="s">
        <v>4081</v>
      </c>
      <c r="C1384" s="2" t="s">
        <v>7</v>
      </c>
      <c r="D1384" s="2" t="s">
        <v>4082</v>
      </c>
      <c r="E1384" s="2" t="s">
        <v>4083</v>
      </c>
      <c r="F1384" s="6">
        <v>45896.625</v>
      </c>
      <c r="G1384" s="2">
        <v>64223.0</v>
      </c>
      <c r="H1384" s="2">
        <v>64223.0</v>
      </c>
      <c r="I1384" s="2">
        <v>56878.0</v>
      </c>
      <c r="J1384" s="2">
        <v>348.0</v>
      </c>
      <c r="K1384" s="2">
        <v>285.0</v>
      </c>
      <c r="L1384" s="2">
        <v>9.0</v>
      </c>
      <c r="M1384" s="4">
        <v>29987.0</v>
      </c>
      <c r="N1384" s="2" t="s">
        <v>30</v>
      </c>
      <c r="O1384" s="2">
        <v>70.0</v>
      </c>
      <c r="P1384" s="2" t="s">
        <v>189</v>
      </c>
      <c r="Q1384" s="2" t="s">
        <v>32</v>
      </c>
      <c r="R1384" s="2">
        <v>35.0</v>
      </c>
      <c r="T1384" s="2" t="s">
        <v>4084</v>
      </c>
      <c r="U1384" s="2" t="b">
        <v>0</v>
      </c>
      <c r="V1384" s="5">
        <v>0.005</v>
      </c>
      <c r="W1384" s="5">
        <v>0.0316</v>
      </c>
      <c r="X1384" s="5">
        <v>1.58E-4</v>
      </c>
      <c r="Y1384" s="2">
        <v>105.2175439</v>
      </c>
      <c r="Z1384" s="2">
        <v>3649.0</v>
      </c>
      <c r="AA1384" s="2" t="s">
        <v>33</v>
      </c>
    </row>
    <row r="1385">
      <c r="A1385" s="2">
        <v>3119.0</v>
      </c>
      <c r="B1385" s="2" t="s">
        <v>4085</v>
      </c>
      <c r="C1385" s="2" t="s">
        <v>7</v>
      </c>
      <c r="D1385" s="2" t="s">
        <v>4086</v>
      </c>
      <c r="E1385" s="2" t="s">
        <v>4087</v>
      </c>
      <c r="F1385" s="6">
        <v>45896.625</v>
      </c>
      <c r="G1385" s="2">
        <v>6321.0</v>
      </c>
      <c r="H1385" s="2">
        <v>6321.0</v>
      </c>
      <c r="I1385" s="2">
        <v>5217.0</v>
      </c>
      <c r="J1385" s="2">
        <v>66.0</v>
      </c>
      <c r="K1385" s="2">
        <v>58.0</v>
      </c>
      <c r="L1385" s="2">
        <v>0.0</v>
      </c>
      <c r="M1385" s="2">
        <v>0.0</v>
      </c>
      <c r="N1385" s="2" t="s">
        <v>423</v>
      </c>
      <c r="O1385" s="2">
        <v>119.0</v>
      </c>
      <c r="P1385" s="2" t="s">
        <v>31</v>
      </c>
      <c r="Q1385" s="2" t="s">
        <v>1367</v>
      </c>
      <c r="R1385" s="2">
        <v>41.0</v>
      </c>
      <c r="U1385" s="2" t="b">
        <v>0</v>
      </c>
      <c r="V1385" s="5">
        <v>0.0111</v>
      </c>
      <c r="W1385" s="5">
        <v>0.0</v>
      </c>
      <c r="X1385" s="5">
        <v>0.0</v>
      </c>
      <c r="Y1385" s="2">
        <v>0.0</v>
      </c>
      <c r="AA1385" s="2" t="s">
        <v>423</v>
      </c>
    </row>
    <row r="1386">
      <c r="A1386" s="2">
        <v>3101.0</v>
      </c>
      <c r="B1386" s="2" t="s">
        <v>4088</v>
      </c>
      <c r="C1386" s="2" t="s">
        <v>7</v>
      </c>
      <c r="D1386" s="2" t="s">
        <v>4089</v>
      </c>
      <c r="E1386" s="2" t="s">
        <v>4090</v>
      </c>
      <c r="F1386" s="6">
        <v>45896.708333333336</v>
      </c>
      <c r="G1386" s="2">
        <v>48765.0</v>
      </c>
      <c r="H1386" s="2">
        <v>48765.0</v>
      </c>
      <c r="I1386" s="2">
        <v>42053.0</v>
      </c>
      <c r="J1386" s="2">
        <v>280.0</v>
      </c>
      <c r="K1386" s="2">
        <v>217.0</v>
      </c>
      <c r="L1386" s="2">
        <v>6.0</v>
      </c>
      <c r="M1386" s="4">
        <v>17971.0</v>
      </c>
      <c r="N1386" s="2" t="s">
        <v>36</v>
      </c>
      <c r="O1386" s="2">
        <v>71.0</v>
      </c>
      <c r="P1386" s="2" t="s">
        <v>31</v>
      </c>
      <c r="Q1386" s="2" t="s">
        <v>32</v>
      </c>
      <c r="R1386" s="2">
        <v>44.0</v>
      </c>
      <c r="U1386" s="2" t="b">
        <v>0</v>
      </c>
      <c r="V1386" s="5">
        <v>0.0052</v>
      </c>
      <c r="W1386" s="5">
        <v>0.0276</v>
      </c>
      <c r="X1386" s="5">
        <v>1.43E-4</v>
      </c>
      <c r="Y1386" s="2">
        <v>82.8156682</v>
      </c>
      <c r="AA1386" s="2" t="s">
        <v>33</v>
      </c>
    </row>
    <row r="1387">
      <c r="A1387" s="2">
        <v>3120.0</v>
      </c>
      <c r="B1387" s="2" t="s">
        <v>4091</v>
      </c>
      <c r="C1387" s="2" t="s">
        <v>7</v>
      </c>
      <c r="D1387" s="2" t="s">
        <v>4092</v>
      </c>
      <c r="E1387" s="2" t="s">
        <v>4093</v>
      </c>
      <c r="F1387" s="6">
        <v>45896.708333333336</v>
      </c>
      <c r="G1387" s="2">
        <v>6308.0</v>
      </c>
      <c r="H1387" s="2">
        <v>6308.0</v>
      </c>
      <c r="I1387" s="2">
        <v>5232.0</v>
      </c>
      <c r="J1387" s="2">
        <v>84.0</v>
      </c>
      <c r="K1387" s="2">
        <v>76.0</v>
      </c>
      <c r="L1387" s="2">
        <v>1.0</v>
      </c>
      <c r="M1387" s="2">
        <v>60.0</v>
      </c>
      <c r="N1387" s="2" t="s">
        <v>423</v>
      </c>
      <c r="O1387" s="2">
        <v>119.0</v>
      </c>
      <c r="P1387" s="2" t="s">
        <v>189</v>
      </c>
      <c r="Q1387" s="2" t="s">
        <v>1367</v>
      </c>
      <c r="R1387" s="2">
        <v>46.0</v>
      </c>
      <c r="T1387" s="2" t="s">
        <v>47</v>
      </c>
      <c r="U1387" s="2" t="b">
        <v>0</v>
      </c>
      <c r="V1387" s="5">
        <v>0.0145</v>
      </c>
      <c r="W1387" s="5">
        <v>0.0132</v>
      </c>
      <c r="X1387" s="5">
        <v>1.91E-4</v>
      </c>
      <c r="Y1387" s="2">
        <v>0.7894736842</v>
      </c>
      <c r="AA1387" s="2" t="s">
        <v>423</v>
      </c>
    </row>
    <row r="1388">
      <c r="A1388" s="2">
        <v>3100.0</v>
      </c>
      <c r="B1388" s="2" t="s">
        <v>4094</v>
      </c>
      <c r="C1388" s="2" t="s">
        <v>7</v>
      </c>
      <c r="D1388" s="2" t="s">
        <v>4095</v>
      </c>
      <c r="E1388" s="2" t="s">
        <v>4096</v>
      </c>
      <c r="F1388" s="6">
        <v>45896.708333333336</v>
      </c>
      <c r="G1388" s="2">
        <v>64196.0</v>
      </c>
      <c r="H1388" s="2">
        <v>64196.0</v>
      </c>
      <c r="I1388" s="2">
        <v>56896.0</v>
      </c>
      <c r="J1388" s="2">
        <v>316.0</v>
      </c>
      <c r="K1388" s="2">
        <v>251.0</v>
      </c>
      <c r="L1388" s="2">
        <v>4.0</v>
      </c>
      <c r="M1388" s="4">
        <v>10275.0</v>
      </c>
      <c r="N1388" s="2" t="s">
        <v>30</v>
      </c>
      <c r="O1388" s="2">
        <v>70.0</v>
      </c>
      <c r="P1388" s="2" t="s">
        <v>31</v>
      </c>
      <c r="Q1388" s="2" t="s">
        <v>32</v>
      </c>
      <c r="R1388" s="2">
        <v>38.0</v>
      </c>
      <c r="T1388" s="2" t="s">
        <v>47</v>
      </c>
      <c r="U1388" s="2" t="b">
        <v>0</v>
      </c>
      <c r="V1388" s="5">
        <v>0.0044</v>
      </c>
      <c r="W1388" s="5">
        <v>0.0159</v>
      </c>
      <c r="X1388" s="5">
        <v>7.0E-5</v>
      </c>
      <c r="Y1388" s="2">
        <v>40.93625498</v>
      </c>
      <c r="AA1388" s="2" t="s">
        <v>33</v>
      </c>
    </row>
    <row r="1389">
      <c r="A1389" s="2">
        <v>3103.0</v>
      </c>
      <c r="B1389" s="2" t="s">
        <v>4097</v>
      </c>
      <c r="C1389" s="2" t="s">
        <v>7</v>
      </c>
      <c r="D1389" s="2" t="s">
        <v>4098</v>
      </c>
      <c r="E1389" s="2" t="s">
        <v>4099</v>
      </c>
      <c r="F1389" s="6">
        <v>45897.458333333336</v>
      </c>
      <c r="G1389" s="2">
        <v>48762.0</v>
      </c>
      <c r="H1389" s="2">
        <v>48762.0</v>
      </c>
      <c r="I1389" s="2">
        <v>41790.0</v>
      </c>
      <c r="J1389" s="2">
        <v>296.0</v>
      </c>
      <c r="K1389" s="2">
        <v>227.0</v>
      </c>
      <c r="L1389" s="2">
        <v>1.0</v>
      </c>
      <c r="M1389" s="2">
        <v>699.0</v>
      </c>
      <c r="N1389" s="2" t="s">
        <v>36</v>
      </c>
      <c r="O1389" s="2">
        <v>71.0</v>
      </c>
      <c r="P1389" s="2" t="s">
        <v>189</v>
      </c>
      <c r="Q1389" s="2" t="s">
        <v>32</v>
      </c>
      <c r="R1389" s="2">
        <v>52.0</v>
      </c>
      <c r="T1389" s="2" t="s">
        <v>162</v>
      </c>
      <c r="U1389" s="2" t="b">
        <v>0</v>
      </c>
      <c r="V1389" s="5">
        <v>0.0054</v>
      </c>
      <c r="W1389" s="5">
        <v>0.0044</v>
      </c>
      <c r="X1389" s="5">
        <v>2.4E-5</v>
      </c>
      <c r="Y1389" s="2">
        <v>3.079295154</v>
      </c>
      <c r="AA1389" s="2" t="s">
        <v>33</v>
      </c>
    </row>
    <row r="1390">
      <c r="A1390" s="2">
        <v>3102.0</v>
      </c>
      <c r="B1390" s="2" t="s">
        <v>4100</v>
      </c>
      <c r="C1390" s="2" t="s">
        <v>7</v>
      </c>
      <c r="D1390" s="2" t="s">
        <v>4101</v>
      </c>
      <c r="E1390" s="2" t="s">
        <v>4102</v>
      </c>
      <c r="F1390" s="6">
        <v>45897.458333333336</v>
      </c>
      <c r="G1390" s="2">
        <v>64148.0</v>
      </c>
      <c r="H1390" s="2">
        <v>64148.0</v>
      </c>
      <c r="I1390" s="2">
        <v>56699.0</v>
      </c>
      <c r="J1390" s="2">
        <v>350.0</v>
      </c>
      <c r="K1390" s="2">
        <v>281.0</v>
      </c>
      <c r="L1390" s="2">
        <v>6.0</v>
      </c>
      <c r="M1390" s="4">
        <v>26244.0</v>
      </c>
      <c r="N1390" s="2" t="s">
        <v>30</v>
      </c>
      <c r="O1390" s="2">
        <v>70.0</v>
      </c>
      <c r="P1390" s="2" t="s">
        <v>31</v>
      </c>
      <c r="Q1390" s="2" t="s">
        <v>32</v>
      </c>
      <c r="R1390" s="2">
        <v>45.0</v>
      </c>
      <c r="T1390" s="7" t="str">
        <f>IFERROR(__xludf.DUMMYFUNCTION("AI(""has offer Come X Pay X"",D1390)"),"Yes, 2 Courses £35 or 3 Courses £40")</f>
        <v>Yes, 2 Courses £35 or 3 Courses £40</v>
      </c>
      <c r="U1390" s="2" t="b">
        <v>0</v>
      </c>
      <c r="V1390" s="5">
        <v>0.005</v>
      </c>
      <c r="W1390" s="5">
        <v>0.0214</v>
      </c>
      <c r="X1390" s="5">
        <v>1.06E-4</v>
      </c>
      <c r="Y1390" s="2">
        <v>93.39501779</v>
      </c>
      <c r="Z1390" s="2">
        <v>2749.0</v>
      </c>
      <c r="AA1390" s="2" t="s">
        <v>33</v>
      </c>
    </row>
    <row r="1391">
      <c r="A1391" s="2">
        <v>3133.0</v>
      </c>
      <c r="B1391" s="2" t="s">
        <v>4103</v>
      </c>
      <c r="C1391" s="2" t="s">
        <v>7</v>
      </c>
      <c r="D1391" s="2" t="s">
        <v>4104</v>
      </c>
      <c r="E1391" s="2" t="s">
        <v>4105</v>
      </c>
      <c r="F1391" s="6">
        <v>45897.510416666664</v>
      </c>
      <c r="G1391" s="2">
        <v>6314.0</v>
      </c>
      <c r="H1391" s="2">
        <v>6314.0</v>
      </c>
      <c r="I1391" s="2">
        <v>5205.0</v>
      </c>
      <c r="J1391" s="2">
        <v>75.0</v>
      </c>
      <c r="K1391" s="2">
        <v>63.0</v>
      </c>
      <c r="L1391" s="2">
        <v>1.0</v>
      </c>
      <c r="M1391" s="4">
        <v>7230.0</v>
      </c>
      <c r="N1391" s="2" t="s">
        <v>423</v>
      </c>
      <c r="O1391" s="2">
        <v>119.0</v>
      </c>
      <c r="P1391" s="2" t="s">
        <v>31</v>
      </c>
      <c r="Q1391" s="2" t="s">
        <v>1367</v>
      </c>
      <c r="R1391" s="2">
        <v>42.0</v>
      </c>
      <c r="U1391" s="2" t="b">
        <v>0</v>
      </c>
      <c r="V1391" s="5">
        <v>0.0121</v>
      </c>
      <c r="W1391" s="5">
        <v>0.0159</v>
      </c>
      <c r="X1391" s="5">
        <v>1.92E-4</v>
      </c>
      <c r="Y1391" s="2">
        <v>114.7619048</v>
      </c>
      <c r="AA1391" s="2" t="s">
        <v>423</v>
      </c>
    </row>
    <row r="1392">
      <c r="A1392" s="2">
        <v>3135.0</v>
      </c>
      <c r="B1392" s="2" t="s">
        <v>4106</v>
      </c>
      <c r="C1392" s="2" t="s">
        <v>7</v>
      </c>
      <c r="D1392" s="2" t="s">
        <v>4107</v>
      </c>
      <c r="F1392" s="6">
        <v>45897.541666666664</v>
      </c>
      <c r="G1392" s="2">
        <v>59577.0</v>
      </c>
      <c r="H1392" s="2">
        <v>59577.0</v>
      </c>
      <c r="I1392" s="2">
        <v>53433.0</v>
      </c>
      <c r="J1392" s="2">
        <v>354.0</v>
      </c>
      <c r="K1392" s="2">
        <v>293.0</v>
      </c>
      <c r="L1392" s="2">
        <v>7.0</v>
      </c>
      <c r="M1392" s="4">
        <v>1301.0</v>
      </c>
      <c r="N1392" s="2" t="s">
        <v>3803</v>
      </c>
      <c r="O1392" s="2">
        <v>258.0</v>
      </c>
      <c r="P1392" s="2" t="s">
        <v>31</v>
      </c>
      <c r="Q1392" s="2" t="s">
        <v>32</v>
      </c>
      <c r="R1392" s="2">
        <v>54.0</v>
      </c>
      <c r="T1392" s="2" t="s">
        <v>47</v>
      </c>
      <c r="U1392" s="2" t="b">
        <v>0</v>
      </c>
      <c r="V1392" s="5">
        <v>0.0055</v>
      </c>
      <c r="W1392" s="5">
        <v>0.0239</v>
      </c>
      <c r="X1392" s="5">
        <v>1.31E-4</v>
      </c>
      <c r="Y1392" s="2">
        <v>4.440273044</v>
      </c>
    </row>
    <row r="1393">
      <c r="A1393" s="2">
        <v>3134.0</v>
      </c>
      <c r="B1393" s="2" t="s">
        <v>4108</v>
      </c>
      <c r="C1393" s="2" t="s">
        <v>7</v>
      </c>
      <c r="D1393" s="2" t="s">
        <v>4109</v>
      </c>
      <c r="F1393" s="6">
        <v>45897.541666666664</v>
      </c>
      <c r="G1393" s="2">
        <v>48400.0</v>
      </c>
      <c r="H1393" s="2">
        <v>48400.0</v>
      </c>
      <c r="I1393" s="2">
        <v>42067.0</v>
      </c>
      <c r="J1393" s="2">
        <v>558.0</v>
      </c>
      <c r="K1393" s="2">
        <v>505.0</v>
      </c>
      <c r="L1393" s="2">
        <v>8.0</v>
      </c>
      <c r="M1393" s="4">
        <v>2903.0</v>
      </c>
      <c r="N1393" s="2" t="s">
        <v>3800</v>
      </c>
      <c r="O1393" s="2">
        <v>257.0</v>
      </c>
      <c r="P1393" s="2" t="s">
        <v>31</v>
      </c>
      <c r="Q1393" s="2" t="s">
        <v>32</v>
      </c>
      <c r="R1393" s="2">
        <v>36.0</v>
      </c>
      <c r="T1393" s="2" t="s">
        <v>4110</v>
      </c>
      <c r="U1393" s="2" t="b">
        <v>0</v>
      </c>
      <c r="V1393" s="5">
        <v>0.012</v>
      </c>
      <c r="W1393" s="5">
        <v>0.0158</v>
      </c>
      <c r="X1393" s="5">
        <v>1.9E-4</v>
      </c>
      <c r="Y1393" s="2">
        <v>5.749287071</v>
      </c>
    </row>
    <row r="1394">
      <c r="A1394" s="2">
        <v>3105.0</v>
      </c>
      <c r="B1394" s="2" t="s">
        <v>4111</v>
      </c>
      <c r="C1394" s="2" t="s">
        <v>7</v>
      </c>
      <c r="D1394" s="2" t="s">
        <v>4112</v>
      </c>
      <c r="E1394" s="2" t="s">
        <v>4113</v>
      </c>
      <c r="F1394" s="6">
        <v>45897.625</v>
      </c>
      <c r="G1394" s="2">
        <v>48723.0</v>
      </c>
      <c r="H1394" s="2">
        <v>48723.0</v>
      </c>
      <c r="I1394" s="2">
        <v>42017.0</v>
      </c>
      <c r="J1394" s="2">
        <v>260.0</v>
      </c>
      <c r="K1394" s="2">
        <v>206.0</v>
      </c>
      <c r="L1394" s="2">
        <v>0.0</v>
      </c>
      <c r="M1394" s="2">
        <v>0.0</v>
      </c>
      <c r="N1394" s="2" t="s">
        <v>36</v>
      </c>
      <c r="O1394" s="2">
        <v>71.0</v>
      </c>
      <c r="P1394" s="2" t="s">
        <v>189</v>
      </c>
      <c r="Q1394" s="2" t="s">
        <v>32</v>
      </c>
      <c r="R1394" s="2">
        <v>31.0</v>
      </c>
      <c r="T1394" s="2" t="s">
        <v>143</v>
      </c>
      <c r="U1394" s="2" t="b">
        <v>1</v>
      </c>
      <c r="V1394" s="5">
        <v>0.0049</v>
      </c>
      <c r="W1394" s="5">
        <v>0.0</v>
      </c>
      <c r="X1394" s="5">
        <v>0.0</v>
      </c>
      <c r="Y1394" s="2">
        <v>0.0</v>
      </c>
      <c r="AA1394" s="2" t="s">
        <v>33</v>
      </c>
    </row>
    <row r="1395">
      <c r="A1395" s="2">
        <v>3136.0</v>
      </c>
      <c r="B1395" s="2" t="s">
        <v>4114</v>
      </c>
      <c r="C1395" s="2" t="s">
        <v>7</v>
      </c>
      <c r="D1395" s="2" t="s">
        <v>4115</v>
      </c>
      <c r="E1395" s="2" t="s">
        <v>4116</v>
      </c>
      <c r="F1395" s="6">
        <v>45897.625</v>
      </c>
      <c r="G1395" s="2">
        <v>6304.0</v>
      </c>
      <c r="H1395" s="2">
        <v>6304.0</v>
      </c>
      <c r="I1395" s="2">
        <v>5213.0</v>
      </c>
      <c r="J1395" s="2">
        <v>78.0</v>
      </c>
      <c r="K1395" s="2">
        <v>67.0</v>
      </c>
      <c r="L1395" s="2">
        <v>1.0</v>
      </c>
      <c r="M1395" s="4">
        <v>11440.0</v>
      </c>
      <c r="N1395" s="2" t="s">
        <v>423</v>
      </c>
      <c r="O1395" s="2">
        <v>119.0</v>
      </c>
      <c r="P1395" s="2" t="s">
        <v>31</v>
      </c>
      <c r="Q1395" s="2" t="s">
        <v>1367</v>
      </c>
      <c r="R1395" s="2">
        <v>42.0</v>
      </c>
      <c r="T1395" s="2" t="s">
        <v>4117</v>
      </c>
      <c r="U1395" s="2" t="b">
        <v>0</v>
      </c>
      <c r="V1395" s="5">
        <v>0.0129</v>
      </c>
      <c r="W1395" s="5">
        <v>0.0149</v>
      </c>
      <c r="X1395" s="5">
        <v>1.92E-4</v>
      </c>
      <c r="Y1395" s="2">
        <v>170.7462687</v>
      </c>
      <c r="AA1395" s="2" t="s">
        <v>423</v>
      </c>
    </row>
    <row r="1396">
      <c r="A1396" s="2">
        <v>3104.0</v>
      </c>
      <c r="B1396" s="2" t="s">
        <v>4118</v>
      </c>
      <c r="C1396" s="2" t="s">
        <v>7</v>
      </c>
      <c r="D1396" s="2" t="s">
        <v>4119</v>
      </c>
      <c r="E1396" s="2" t="s">
        <v>4120</v>
      </c>
      <c r="F1396" s="6">
        <v>45897.625</v>
      </c>
      <c r="G1396" s="2">
        <v>64115.0</v>
      </c>
      <c r="H1396" s="2">
        <v>64115.0</v>
      </c>
      <c r="I1396" s="2">
        <v>56852.0</v>
      </c>
      <c r="J1396" s="2">
        <v>314.0</v>
      </c>
      <c r="K1396" s="2">
        <v>262.0</v>
      </c>
      <c r="L1396" s="2">
        <v>1.0</v>
      </c>
      <c r="M1396" s="4">
        <v>1953.0</v>
      </c>
      <c r="N1396" s="2" t="s">
        <v>30</v>
      </c>
      <c r="O1396" s="2">
        <v>70.0</v>
      </c>
      <c r="P1396" s="2" t="s">
        <v>189</v>
      </c>
      <c r="Q1396" s="2" t="s">
        <v>32</v>
      </c>
      <c r="R1396" s="2">
        <v>30.0</v>
      </c>
      <c r="U1396" s="2" t="b">
        <v>0</v>
      </c>
      <c r="V1396" s="5">
        <v>0.0046</v>
      </c>
      <c r="W1396" s="5">
        <v>0.0038</v>
      </c>
      <c r="X1396" s="5">
        <v>1.8E-5</v>
      </c>
      <c r="Y1396" s="2">
        <v>7.454198473</v>
      </c>
      <c r="Z1396" s="2">
        <v>425.0</v>
      </c>
      <c r="AA1396" s="2" t="s">
        <v>33</v>
      </c>
    </row>
    <row r="1397">
      <c r="A1397" s="2">
        <v>3137.0</v>
      </c>
      <c r="B1397" s="2" t="s">
        <v>4121</v>
      </c>
      <c r="C1397" s="2" t="s">
        <v>7</v>
      </c>
      <c r="D1397" s="2" t="s">
        <v>4122</v>
      </c>
      <c r="E1397" s="2" t="s">
        <v>4123</v>
      </c>
      <c r="F1397" s="6">
        <v>45897.708333333336</v>
      </c>
      <c r="G1397" s="2">
        <v>6296.0</v>
      </c>
      <c r="H1397" s="2">
        <v>6296.0</v>
      </c>
      <c r="I1397" s="2">
        <v>5230.0</v>
      </c>
      <c r="J1397" s="2">
        <v>89.0</v>
      </c>
      <c r="K1397" s="2">
        <v>78.0</v>
      </c>
      <c r="L1397" s="2">
        <v>0.0</v>
      </c>
      <c r="M1397" s="2">
        <v>0.0</v>
      </c>
      <c r="N1397" s="2" t="s">
        <v>423</v>
      </c>
      <c r="O1397" s="2">
        <v>119.0</v>
      </c>
      <c r="P1397" s="2" t="s">
        <v>31</v>
      </c>
      <c r="Q1397" s="2" t="s">
        <v>1367</v>
      </c>
      <c r="R1397" s="2">
        <v>35.0</v>
      </c>
      <c r="T1397" s="2" t="s">
        <v>47</v>
      </c>
      <c r="U1397" s="2" t="b">
        <v>0</v>
      </c>
      <c r="V1397" s="5">
        <v>0.0149</v>
      </c>
      <c r="W1397" s="5">
        <v>0.0</v>
      </c>
      <c r="X1397" s="5">
        <v>0.0</v>
      </c>
      <c r="Y1397" s="2">
        <v>0.0</v>
      </c>
      <c r="AA1397" s="2" t="s">
        <v>423</v>
      </c>
    </row>
    <row r="1398">
      <c r="A1398" s="2">
        <v>3107.0</v>
      </c>
      <c r="B1398" s="2" t="s">
        <v>4124</v>
      </c>
      <c r="C1398" s="2" t="s">
        <v>7</v>
      </c>
      <c r="D1398" s="2" t="s">
        <v>4125</v>
      </c>
      <c r="E1398" s="2" t="s">
        <v>4126</v>
      </c>
      <c r="F1398" s="6">
        <v>45897.708333333336</v>
      </c>
      <c r="G1398" s="2">
        <v>48693.0</v>
      </c>
      <c r="H1398" s="2">
        <v>48693.0</v>
      </c>
      <c r="I1398" s="2">
        <v>42000.0</v>
      </c>
      <c r="J1398" s="2">
        <v>273.0</v>
      </c>
      <c r="K1398" s="2">
        <v>212.0</v>
      </c>
      <c r="L1398" s="2">
        <v>4.0</v>
      </c>
      <c r="M1398" s="4">
        <v>7923.0</v>
      </c>
      <c r="N1398" s="2" t="s">
        <v>36</v>
      </c>
      <c r="O1398" s="2">
        <v>71.0</v>
      </c>
      <c r="P1398" s="2" t="s">
        <v>189</v>
      </c>
      <c r="Q1398" s="2" t="s">
        <v>32</v>
      </c>
      <c r="R1398" s="2">
        <v>41.0</v>
      </c>
      <c r="U1398" s="2" t="b">
        <v>0</v>
      </c>
      <c r="V1398" s="5">
        <v>0.005</v>
      </c>
      <c r="W1398" s="5">
        <v>0.0189</v>
      </c>
      <c r="X1398" s="5">
        <v>9.5E-5</v>
      </c>
      <c r="Y1398" s="2">
        <v>37.37264151</v>
      </c>
      <c r="AA1398" s="2" t="s">
        <v>33</v>
      </c>
    </row>
    <row r="1399">
      <c r="A1399" s="2">
        <v>3106.0</v>
      </c>
      <c r="B1399" s="2" t="s">
        <v>4127</v>
      </c>
      <c r="C1399" s="2" t="s">
        <v>7</v>
      </c>
      <c r="D1399" s="2" t="s">
        <v>4128</v>
      </c>
      <c r="E1399" s="2" t="s">
        <v>4129</v>
      </c>
      <c r="F1399" s="6">
        <v>45897.708333333336</v>
      </c>
      <c r="G1399" s="2">
        <v>64131.0</v>
      </c>
      <c r="H1399" s="2">
        <v>64131.0</v>
      </c>
      <c r="I1399" s="2">
        <v>56884.0</v>
      </c>
      <c r="J1399" s="2">
        <v>311.0</v>
      </c>
      <c r="K1399" s="2">
        <v>245.0</v>
      </c>
      <c r="L1399" s="2">
        <v>3.0</v>
      </c>
      <c r="M1399" s="4">
        <v>5716.0</v>
      </c>
      <c r="N1399" s="2" t="s">
        <v>30</v>
      </c>
      <c r="O1399" s="2">
        <v>70.0</v>
      </c>
      <c r="P1399" s="2" t="s">
        <v>189</v>
      </c>
      <c r="Q1399" s="2" t="s">
        <v>32</v>
      </c>
      <c r="R1399" s="2">
        <v>42.0</v>
      </c>
      <c r="T1399" s="7" t="str">
        <f>IFERROR(__xludf.DUMMYFUNCTION("AI(""has offer Come X Pay X"",D1399)"),"No, the highlighted text is a 20% discount offer.")</f>
        <v>No, the highlighted text is a 20% discount offer.</v>
      </c>
      <c r="U1399" s="2" t="b">
        <v>0</v>
      </c>
      <c r="V1399" s="5">
        <v>0.0043</v>
      </c>
      <c r="W1399" s="5">
        <v>0.0122</v>
      </c>
      <c r="X1399" s="5">
        <v>5.3E-5</v>
      </c>
      <c r="Y1399" s="2">
        <v>23.33061224</v>
      </c>
      <c r="AA1399" s="2" t="s">
        <v>33</v>
      </c>
    </row>
    <row r="1400">
      <c r="A1400" s="2">
        <v>3113.0</v>
      </c>
      <c r="B1400" s="2" t="s">
        <v>4130</v>
      </c>
      <c r="C1400" s="2" t="s">
        <v>7</v>
      </c>
      <c r="D1400" s="2" t="s">
        <v>4131</v>
      </c>
      <c r="E1400" s="2" t="s">
        <v>4132</v>
      </c>
      <c r="F1400" s="6">
        <v>45898.458333333336</v>
      </c>
      <c r="G1400" s="2">
        <v>48706.0</v>
      </c>
      <c r="H1400" s="2">
        <v>48706.0</v>
      </c>
      <c r="I1400" s="2">
        <v>41732.0</v>
      </c>
      <c r="J1400" s="2">
        <v>297.0</v>
      </c>
      <c r="K1400" s="2">
        <v>230.0</v>
      </c>
      <c r="L1400" s="2">
        <v>4.0</v>
      </c>
      <c r="M1400" s="4">
        <v>8786.0</v>
      </c>
      <c r="N1400" s="2" t="s">
        <v>36</v>
      </c>
      <c r="O1400" s="2">
        <v>71.0</v>
      </c>
      <c r="P1400" s="2" t="s">
        <v>31</v>
      </c>
      <c r="Q1400" s="2" t="s">
        <v>32</v>
      </c>
      <c r="R1400" s="2">
        <v>33.0</v>
      </c>
      <c r="T1400" s="2" t="s">
        <v>162</v>
      </c>
      <c r="U1400" s="2" t="b">
        <v>0</v>
      </c>
      <c r="V1400" s="5">
        <v>0.0055</v>
      </c>
      <c r="W1400" s="5">
        <v>0.0174</v>
      </c>
      <c r="X1400" s="5">
        <v>9.6E-5</v>
      </c>
      <c r="Y1400" s="2">
        <v>38.2</v>
      </c>
      <c r="AA1400" s="2" t="s">
        <v>33</v>
      </c>
    </row>
    <row r="1401">
      <c r="A1401" s="2">
        <v>3112.0</v>
      </c>
      <c r="B1401" s="2" t="s">
        <v>4133</v>
      </c>
      <c r="C1401" s="2" t="s">
        <v>7</v>
      </c>
      <c r="D1401" s="2" t="s">
        <v>4134</v>
      </c>
      <c r="E1401" s="2" t="s">
        <v>4135</v>
      </c>
      <c r="F1401" s="6">
        <v>45898.458333333336</v>
      </c>
      <c r="G1401" s="2">
        <v>64187.0</v>
      </c>
      <c r="H1401" s="2">
        <v>64187.0</v>
      </c>
      <c r="I1401" s="2">
        <v>56661.0</v>
      </c>
      <c r="J1401" s="2">
        <v>347.0</v>
      </c>
      <c r="K1401" s="2">
        <v>283.0</v>
      </c>
      <c r="L1401" s="2">
        <v>5.0</v>
      </c>
      <c r="M1401" s="4">
        <v>9410.0</v>
      </c>
      <c r="N1401" s="2" t="s">
        <v>30</v>
      </c>
      <c r="O1401" s="2">
        <v>70.0</v>
      </c>
      <c r="P1401" s="2" t="s">
        <v>31</v>
      </c>
      <c r="Q1401" s="2" t="s">
        <v>32</v>
      </c>
      <c r="R1401" s="2">
        <v>33.0</v>
      </c>
      <c r="U1401" s="2" t="b">
        <v>0</v>
      </c>
      <c r="V1401" s="5">
        <v>0.005</v>
      </c>
      <c r="W1401" s="5">
        <v>0.0177</v>
      </c>
      <c r="X1401" s="5">
        <v>8.8E-5</v>
      </c>
      <c r="Y1401" s="2">
        <v>33.25088339</v>
      </c>
      <c r="Z1401" s="2">
        <v>1582.0</v>
      </c>
      <c r="AA1401" s="2" t="s">
        <v>33</v>
      </c>
    </row>
    <row r="1402">
      <c r="A1402" s="2">
        <v>3116.0</v>
      </c>
      <c r="B1402" s="2" t="s">
        <v>4136</v>
      </c>
      <c r="C1402" s="2" t="s">
        <v>7</v>
      </c>
      <c r="D1402" s="2" t="s">
        <v>4137</v>
      </c>
      <c r="E1402" s="2" t="s">
        <v>4138</v>
      </c>
      <c r="F1402" s="6">
        <v>45898.625</v>
      </c>
      <c r="G1402" s="2">
        <v>48749.0</v>
      </c>
      <c r="H1402" s="2">
        <v>48749.0</v>
      </c>
      <c r="I1402" s="2">
        <v>42063.0</v>
      </c>
      <c r="J1402" s="2">
        <v>312.0</v>
      </c>
      <c r="K1402" s="2">
        <v>245.0</v>
      </c>
      <c r="L1402" s="2">
        <v>3.0</v>
      </c>
      <c r="M1402" s="4">
        <v>10848.0</v>
      </c>
      <c r="N1402" s="2" t="s">
        <v>36</v>
      </c>
      <c r="O1402" s="2">
        <v>71.0</v>
      </c>
      <c r="P1402" s="2" t="s">
        <v>189</v>
      </c>
      <c r="Q1402" s="2" t="s">
        <v>32</v>
      </c>
      <c r="R1402" s="2">
        <v>42.0</v>
      </c>
      <c r="T1402" s="2" t="s">
        <v>47</v>
      </c>
      <c r="U1402" s="2" t="b">
        <v>0</v>
      </c>
      <c r="V1402" s="5">
        <v>0.0058</v>
      </c>
      <c r="W1402" s="5">
        <v>0.0122</v>
      </c>
      <c r="X1402" s="5">
        <v>7.1E-5</v>
      </c>
      <c r="Y1402" s="2">
        <v>44.27755102</v>
      </c>
      <c r="AA1402" s="2" t="s">
        <v>33</v>
      </c>
    </row>
    <row r="1403">
      <c r="A1403" s="2">
        <v>3114.0</v>
      </c>
      <c r="B1403" s="2" t="s">
        <v>4139</v>
      </c>
      <c r="C1403" s="2" t="s">
        <v>7</v>
      </c>
      <c r="D1403" s="2" t="s">
        <v>4140</v>
      </c>
      <c r="E1403" s="2" t="s">
        <v>4141</v>
      </c>
      <c r="F1403" s="6">
        <v>45898.625</v>
      </c>
      <c r="G1403" s="2">
        <v>64232.0</v>
      </c>
      <c r="H1403" s="2">
        <v>64232.0</v>
      </c>
      <c r="I1403" s="2">
        <v>56985.0</v>
      </c>
      <c r="J1403" s="2">
        <v>344.0</v>
      </c>
      <c r="K1403" s="2">
        <v>276.0</v>
      </c>
      <c r="L1403" s="2">
        <v>3.0</v>
      </c>
      <c r="M1403" s="4">
        <v>8558.0</v>
      </c>
      <c r="N1403" s="2" t="s">
        <v>30</v>
      </c>
      <c r="O1403" s="2">
        <v>70.0</v>
      </c>
      <c r="P1403" s="2" t="s">
        <v>31</v>
      </c>
      <c r="Q1403" s="2" t="s">
        <v>32</v>
      </c>
      <c r="R1403" s="2">
        <v>38.0</v>
      </c>
      <c r="T1403" s="7" t="str">
        <f>IFERROR(__xludf.DUMMYFUNCTION("AI(""has offer Come X Pay X"",D1403)"),"I do not have enough information to confirm an offer matching that exact description.")</f>
        <v>I do not have enough information to confirm an offer matching that exact description.</v>
      </c>
      <c r="U1403" s="2" t="b">
        <v>0</v>
      </c>
      <c r="V1403" s="5">
        <v>0.0048</v>
      </c>
      <c r="W1403" s="5">
        <v>0.0109</v>
      </c>
      <c r="X1403" s="5">
        <v>5.3E-5</v>
      </c>
      <c r="Y1403" s="2">
        <v>31.00724638</v>
      </c>
      <c r="AA1403" s="2" t="s">
        <v>33</v>
      </c>
    </row>
    <row r="1404">
      <c r="A1404" s="2">
        <v>3138.0</v>
      </c>
      <c r="B1404" s="2" t="s">
        <v>4142</v>
      </c>
      <c r="C1404" s="2" t="s">
        <v>7</v>
      </c>
      <c r="D1404" s="2" t="s">
        <v>4143</v>
      </c>
      <c r="E1404" s="2" t="e">
        <v>#N/A</v>
      </c>
      <c r="F1404" s="6">
        <v>45898.631944444445</v>
      </c>
      <c r="G1404" s="2">
        <v>6454.0</v>
      </c>
      <c r="H1404" s="2">
        <v>6454.0</v>
      </c>
      <c r="I1404" s="2">
        <v>5358.0</v>
      </c>
      <c r="J1404" s="2">
        <v>83.0</v>
      </c>
      <c r="K1404" s="2">
        <v>68.0</v>
      </c>
      <c r="L1404" s="2">
        <v>0.0</v>
      </c>
      <c r="M1404" s="2">
        <v>0.0</v>
      </c>
      <c r="N1404" s="2" t="s">
        <v>423</v>
      </c>
      <c r="O1404" s="2">
        <v>119.0</v>
      </c>
      <c r="P1404" s="2" t="s">
        <v>31</v>
      </c>
      <c r="Q1404" s="2" t="s">
        <v>1367</v>
      </c>
      <c r="R1404" s="2">
        <v>39.0</v>
      </c>
      <c r="U1404" s="2" t="b">
        <v>0</v>
      </c>
      <c r="V1404" s="5">
        <v>0.0127</v>
      </c>
      <c r="W1404" s="5">
        <v>0.0</v>
      </c>
      <c r="X1404" s="5">
        <v>0.0</v>
      </c>
      <c r="Y1404" s="2">
        <v>0.0</v>
      </c>
      <c r="AA1404" s="2" t="s">
        <v>423</v>
      </c>
    </row>
    <row r="1405">
      <c r="A1405" s="2">
        <v>3118.0</v>
      </c>
      <c r="B1405" s="2" t="s">
        <v>4144</v>
      </c>
      <c r="C1405" s="2" t="s">
        <v>7</v>
      </c>
      <c r="D1405" s="2" t="s">
        <v>4145</v>
      </c>
      <c r="E1405" s="2" t="s">
        <v>4146</v>
      </c>
      <c r="F1405" s="6">
        <v>45898.708333333336</v>
      </c>
      <c r="G1405" s="2">
        <v>48736.0</v>
      </c>
      <c r="H1405" s="2">
        <v>48736.0</v>
      </c>
      <c r="I1405" s="2">
        <v>42050.0</v>
      </c>
      <c r="J1405" s="2">
        <v>339.0</v>
      </c>
      <c r="K1405" s="2">
        <v>275.0</v>
      </c>
      <c r="L1405" s="2">
        <v>3.0</v>
      </c>
      <c r="M1405" s="4">
        <v>9622.0</v>
      </c>
      <c r="N1405" s="2" t="s">
        <v>36</v>
      </c>
      <c r="O1405" s="2">
        <v>71.0</v>
      </c>
      <c r="P1405" s="2" t="s">
        <v>189</v>
      </c>
      <c r="Q1405" s="2" t="s">
        <v>32</v>
      </c>
      <c r="R1405" s="2">
        <v>54.0</v>
      </c>
      <c r="T1405" s="2" t="s">
        <v>4147</v>
      </c>
      <c r="U1405" s="2" t="b">
        <v>0</v>
      </c>
      <c r="V1405" s="5">
        <v>0.0065</v>
      </c>
      <c r="W1405" s="5">
        <v>0.0109</v>
      </c>
      <c r="X1405" s="5">
        <v>7.1E-5</v>
      </c>
      <c r="Y1405" s="2">
        <v>34.98909091</v>
      </c>
      <c r="AA1405" s="2" t="s">
        <v>33</v>
      </c>
    </row>
    <row r="1406">
      <c r="A1406" s="2">
        <v>3139.0</v>
      </c>
      <c r="B1406" s="2" t="s">
        <v>4148</v>
      </c>
      <c r="C1406" s="2" t="s">
        <v>7</v>
      </c>
      <c r="D1406" s="2" t="s">
        <v>4149</v>
      </c>
      <c r="E1406" s="2" t="s">
        <v>4150</v>
      </c>
      <c r="F1406" s="6">
        <v>45898.708333333336</v>
      </c>
      <c r="G1406" s="2">
        <v>6439.0</v>
      </c>
      <c r="H1406" s="2">
        <v>6439.0</v>
      </c>
      <c r="I1406" s="2">
        <v>5387.0</v>
      </c>
      <c r="J1406" s="2">
        <v>99.0</v>
      </c>
      <c r="K1406" s="2">
        <v>85.0</v>
      </c>
      <c r="L1406" s="2">
        <v>0.0</v>
      </c>
      <c r="M1406" s="2">
        <v>0.0</v>
      </c>
      <c r="N1406" s="2" t="s">
        <v>423</v>
      </c>
      <c r="O1406" s="2">
        <v>119.0</v>
      </c>
      <c r="P1406" s="2" t="s">
        <v>31</v>
      </c>
      <c r="Q1406" s="2" t="s">
        <v>1367</v>
      </c>
      <c r="R1406" s="2">
        <v>45.0</v>
      </c>
      <c r="T1406" s="2" t="s">
        <v>47</v>
      </c>
      <c r="U1406" s="2" t="b">
        <v>0</v>
      </c>
      <c r="V1406" s="5">
        <v>0.0158</v>
      </c>
      <c r="W1406" s="5">
        <v>0.0</v>
      </c>
      <c r="X1406" s="5">
        <v>0.0</v>
      </c>
      <c r="Y1406" s="2">
        <v>0.0</v>
      </c>
      <c r="AA1406" s="2" t="s">
        <v>423</v>
      </c>
    </row>
    <row r="1407">
      <c r="A1407" s="2">
        <v>3117.0</v>
      </c>
      <c r="B1407" s="2" t="s">
        <v>4151</v>
      </c>
      <c r="C1407" s="2" t="s">
        <v>7</v>
      </c>
      <c r="D1407" s="2" t="s">
        <v>4152</v>
      </c>
      <c r="E1407" s="2" t="s">
        <v>4153</v>
      </c>
      <c r="F1407" s="6">
        <v>45898.708333333336</v>
      </c>
      <c r="G1407" s="2">
        <v>64228.0</v>
      </c>
      <c r="H1407" s="2">
        <v>64228.0</v>
      </c>
      <c r="I1407" s="2">
        <v>56968.0</v>
      </c>
      <c r="J1407" s="2">
        <v>369.0</v>
      </c>
      <c r="K1407" s="2">
        <v>306.0</v>
      </c>
      <c r="L1407" s="2">
        <v>5.0</v>
      </c>
      <c r="M1407" s="4">
        <v>8167.0</v>
      </c>
      <c r="N1407" s="2" t="s">
        <v>30</v>
      </c>
      <c r="O1407" s="2">
        <v>70.0</v>
      </c>
      <c r="P1407" s="2" t="s">
        <v>189</v>
      </c>
      <c r="Q1407" s="2" t="s">
        <v>32</v>
      </c>
      <c r="R1407" s="2">
        <v>46.0</v>
      </c>
      <c r="U1407" s="2" t="b">
        <v>0</v>
      </c>
      <c r="V1407" s="5">
        <v>0.0054</v>
      </c>
      <c r="W1407" s="5">
        <v>0.0163</v>
      </c>
      <c r="X1407" s="5">
        <v>8.8E-5</v>
      </c>
      <c r="Y1407" s="2">
        <v>26.68954248</v>
      </c>
      <c r="Z1407" s="2">
        <v>4619.0</v>
      </c>
      <c r="AA1407" s="2" t="s">
        <v>33</v>
      </c>
    </row>
    <row r="1408">
      <c r="A1408" s="2">
        <v>3122.0</v>
      </c>
      <c r="B1408" s="2" t="s">
        <v>4154</v>
      </c>
      <c r="C1408" s="2" t="s">
        <v>7</v>
      </c>
      <c r="D1408" s="2" t="s">
        <v>4155</v>
      </c>
      <c r="E1408" s="2" t="s">
        <v>4156</v>
      </c>
      <c r="F1408" s="6">
        <v>45899.458333333336</v>
      </c>
      <c r="G1408" s="2">
        <v>48755.0</v>
      </c>
      <c r="H1408" s="2">
        <v>48755.0</v>
      </c>
      <c r="I1408" s="2">
        <v>41656.0</v>
      </c>
      <c r="J1408" s="2">
        <v>287.0</v>
      </c>
      <c r="K1408" s="2">
        <v>232.0</v>
      </c>
      <c r="L1408" s="2">
        <v>4.0</v>
      </c>
      <c r="M1408" s="4">
        <v>11406.0</v>
      </c>
      <c r="N1408" s="2" t="s">
        <v>36</v>
      </c>
      <c r="O1408" s="2">
        <v>71.0</v>
      </c>
      <c r="P1408" s="2" t="s">
        <v>189</v>
      </c>
      <c r="Q1408" s="2" t="s">
        <v>32</v>
      </c>
      <c r="R1408" s="2">
        <v>33.0</v>
      </c>
      <c r="T1408" s="2" t="s">
        <v>47</v>
      </c>
      <c r="U1408" s="2" t="b">
        <v>0</v>
      </c>
      <c r="V1408" s="5">
        <v>0.0056</v>
      </c>
      <c r="W1408" s="5">
        <v>0.0172</v>
      </c>
      <c r="X1408" s="5">
        <v>9.6E-5</v>
      </c>
      <c r="Y1408" s="2">
        <v>49.1637931</v>
      </c>
      <c r="AA1408" s="2" t="s">
        <v>33</v>
      </c>
    </row>
    <row r="1409">
      <c r="A1409" s="2">
        <v>3121.0</v>
      </c>
      <c r="B1409" s="2" t="s">
        <v>4157</v>
      </c>
      <c r="C1409" s="2" t="s">
        <v>7</v>
      </c>
      <c r="D1409" s="2" t="s">
        <v>4158</v>
      </c>
      <c r="E1409" s="2" t="s">
        <v>4159</v>
      </c>
      <c r="F1409" s="6">
        <v>45899.458333333336</v>
      </c>
      <c r="G1409" s="2">
        <v>64247.0</v>
      </c>
      <c r="H1409" s="2">
        <v>64247.0</v>
      </c>
      <c r="I1409" s="2">
        <v>56474.0</v>
      </c>
      <c r="J1409" s="2">
        <v>344.0</v>
      </c>
      <c r="K1409" s="2">
        <v>295.0</v>
      </c>
      <c r="L1409" s="2">
        <v>5.0</v>
      </c>
      <c r="M1409" s="4">
        <v>16133.0</v>
      </c>
      <c r="N1409" s="2" t="s">
        <v>30</v>
      </c>
      <c r="O1409" s="2">
        <v>70.0</v>
      </c>
      <c r="P1409" s="2" t="s">
        <v>189</v>
      </c>
      <c r="Q1409" s="2" t="s">
        <v>32</v>
      </c>
      <c r="R1409" s="2">
        <v>39.0</v>
      </c>
      <c r="U1409" s="2" t="b">
        <v>0</v>
      </c>
      <c r="V1409" s="5">
        <v>0.0052</v>
      </c>
      <c r="W1409" s="5">
        <v>0.0169</v>
      </c>
      <c r="X1409" s="5">
        <v>8.9E-5</v>
      </c>
      <c r="Y1409" s="2">
        <v>54.68813559</v>
      </c>
      <c r="AA1409" s="2" t="s">
        <v>33</v>
      </c>
    </row>
    <row r="1410">
      <c r="A1410" s="2">
        <v>3124.0</v>
      </c>
      <c r="B1410" s="2" t="s">
        <v>4160</v>
      </c>
      <c r="C1410" s="2" t="s">
        <v>7</v>
      </c>
      <c r="D1410" s="2" t="s">
        <v>4161</v>
      </c>
      <c r="E1410" s="2" t="s">
        <v>4162</v>
      </c>
      <c r="F1410" s="6">
        <v>45899.625</v>
      </c>
      <c r="G1410" s="2">
        <v>48795.0</v>
      </c>
      <c r="H1410" s="2">
        <v>48795.0</v>
      </c>
      <c r="I1410" s="2">
        <v>42029.0</v>
      </c>
      <c r="J1410" s="2">
        <v>362.0</v>
      </c>
      <c r="K1410" s="2">
        <v>276.0</v>
      </c>
      <c r="L1410" s="2">
        <v>1.0</v>
      </c>
      <c r="M1410" s="2">
        <v>530.0</v>
      </c>
      <c r="N1410" s="2" t="s">
        <v>36</v>
      </c>
      <c r="O1410" s="2">
        <v>71.0</v>
      </c>
      <c r="P1410" s="2" t="s">
        <v>189</v>
      </c>
      <c r="Q1410" s="2" t="s">
        <v>32</v>
      </c>
      <c r="R1410" s="2">
        <v>44.0</v>
      </c>
      <c r="T1410" s="2" t="s">
        <v>47</v>
      </c>
      <c r="U1410" s="2" t="b">
        <v>0</v>
      </c>
      <c r="V1410" s="5">
        <v>0.0066</v>
      </c>
      <c r="W1410" s="5">
        <v>0.0036</v>
      </c>
      <c r="X1410" s="5">
        <v>2.4E-5</v>
      </c>
      <c r="Y1410" s="2">
        <v>1.920289855</v>
      </c>
      <c r="AA1410" s="2" t="s">
        <v>33</v>
      </c>
    </row>
    <row r="1411">
      <c r="A1411" s="2">
        <v>3123.0</v>
      </c>
      <c r="B1411" s="2" t="s">
        <v>4163</v>
      </c>
      <c r="C1411" s="2" t="s">
        <v>7</v>
      </c>
      <c r="D1411" s="2" t="s">
        <v>4164</v>
      </c>
      <c r="E1411" s="2" t="s">
        <v>4165</v>
      </c>
      <c r="F1411" s="6">
        <v>45899.625</v>
      </c>
      <c r="G1411" s="2">
        <v>64271.0</v>
      </c>
      <c r="H1411" s="2">
        <v>64271.0</v>
      </c>
      <c r="I1411" s="2">
        <v>56938.0</v>
      </c>
      <c r="J1411" s="2">
        <v>406.0</v>
      </c>
      <c r="K1411" s="2">
        <v>330.0</v>
      </c>
      <c r="L1411" s="2">
        <v>5.0</v>
      </c>
      <c r="M1411" s="4">
        <v>17456.0</v>
      </c>
      <c r="N1411" s="2" t="s">
        <v>30</v>
      </c>
      <c r="O1411" s="2">
        <v>70.0</v>
      </c>
      <c r="P1411" s="2" t="s">
        <v>31</v>
      </c>
      <c r="Q1411" s="2" t="s">
        <v>32</v>
      </c>
      <c r="R1411" s="2">
        <v>48.0</v>
      </c>
      <c r="T1411" s="7" t="str">
        <f>IFERROR(__xludf.DUMMYFUNCTION("AI(""has offer Come X Pay X"",D1411)"),"Has Offer")</f>
        <v>Has Offer</v>
      </c>
      <c r="U1411" s="2" t="b">
        <v>0</v>
      </c>
      <c r="V1411" s="5">
        <v>0.0058</v>
      </c>
      <c r="W1411" s="5">
        <v>0.0152</v>
      </c>
      <c r="X1411" s="5">
        <v>8.8E-5</v>
      </c>
      <c r="Y1411" s="2">
        <v>52.8969697</v>
      </c>
      <c r="AA1411" s="2" t="s">
        <v>33</v>
      </c>
    </row>
    <row r="1412">
      <c r="A1412" s="2">
        <v>3126.0</v>
      </c>
      <c r="B1412" s="2" t="s">
        <v>4166</v>
      </c>
      <c r="C1412" s="2" t="s">
        <v>7</v>
      </c>
      <c r="D1412" s="2" t="s">
        <v>4167</v>
      </c>
      <c r="E1412" s="2" t="s">
        <v>4168</v>
      </c>
      <c r="F1412" s="6">
        <v>45899.708333333336</v>
      </c>
      <c r="G1412" s="2">
        <v>48787.0</v>
      </c>
      <c r="H1412" s="2">
        <v>48787.0</v>
      </c>
      <c r="I1412" s="2">
        <v>41959.0</v>
      </c>
      <c r="J1412" s="2">
        <v>372.0</v>
      </c>
      <c r="K1412" s="2">
        <v>289.0</v>
      </c>
      <c r="L1412" s="2">
        <v>2.0</v>
      </c>
      <c r="M1412" s="4">
        <v>9487.0</v>
      </c>
      <c r="N1412" s="2" t="s">
        <v>36</v>
      </c>
      <c r="O1412" s="2">
        <v>71.0</v>
      </c>
      <c r="P1412" s="2" t="s">
        <v>189</v>
      </c>
      <c r="Q1412" s="2" t="s">
        <v>32</v>
      </c>
      <c r="R1412" s="2">
        <v>39.0</v>
      </c>
      <c r="T1412" s="2" t="s">
        <v>58</v>
      </c>
      <c r="U1412" s="2" t="b">
        <v>1</v>
      </c>
      <c r="V1412" s="5">
        <v>0.0069</v>
      </c>
      <c r="W1412" s="5">
        <v>0.0069</v>
      </c>
      <c r="X1412" s="5">
        <v>4.8E-5</v>
      </c>
      <c r="Y1412" s="2">
        <v>32.82698962</v>
      </c>
      <c r="AA1412" s="2" t="s">
        <v>33</v>
      </c>
    </row>
    <row r="1413">
      <c r="A1413" s="2">
        <v>3125.0</v>
      </c>
      <c r="B1413" s="2" t="s">
        <v>4169</v>
      </c>
      <c r="C1413" s="2" t="s">
        <v>7</v>
      </c>
      <c r="D1413" s="2" t="s">
        <v>4170</v>
      </c>
      <c r="E1413" s="2" t="s">
        <v>4171</v>
      </c>
      <c r="F1413" s="6">
        <v>45899.708333333336</v>
      </c>
      <c r="G1413" s="2">
        <v>64278.0</v>
      </c>
      <c r="H1413" s="2">
        <v>64278.0</v>
      </c>
      <c r="I1413" s="2">
        <v>56971.0</v>
      </c>
      <c r="J1413" s="2">
        <v>504.0</v>
      </c>
      <c r="K1413" s="2">
        <v>406.0</v>
      </c>
      <c r="L1413" s="2">
        <v>6.0</v>
      </c>
      <c r="M1413" s="4">
        <v>10586.0</v>
      </c>
      <c r="N1413" s="2" t="s">
        <v>30</v>
      </c>
      <c r="O1413" s="2">
        <v>70.0</v>
      </c>
      <c r="P1413" s="2" t="s">
        <v>189</v>
      </c>
      <c r="Q1413" s="2" t="s">
        <v>32</v>
      </c>
      <c r="R1413" s="2">
        <v>37.0</v>
      </c>
      <c r="T1413" s="2" t="s">
        <v>405</v>
      </c>
      <c r="U1413" s="2" t="b">
        <v>0</v>
      </c>
      <c r="V1413" s="5">
        <v>0.0071</v>
      </c>
      <c r="W1413" s="5">
        <v>0.0148</v>
      </c>
      <c r="X1413" s="5">
        <v>1.05E-4</v>
      </c>
      <c r="Y1413" s="2">
        <v>26.07389163</v>
      </c>
      <c r="AA1413" s="2" t="s">
        <v>33</v>
      </c>
    </row>
    <row r="1414">
      <c r="A1414" s="2">
        <v>3128.0</v>
      </c>
      <c r="B1414" s="2" t="s">
        <v>4172</v>
      </c>
      <c r="C1414" s="2" t="s">
        <v>7</v>
      </c>
      <c r="D1414" s="2" t="s">
        <v>4173</v>
      </c>
      <c r="E1414" s="2" t="s">
        <v>4174</v>
      </c>
      <c r="F1414" s="6">
        <v>45900.458333333336</v>
      </c>
      <c r="G1414" s="2">
        <v>48826.0</v>
      </c>
      <c r="H1414" s="2">
        <v>48826.0</v>
      </c>
      <c r="I1414" s="2">
        <v>41596.0</v>
      </c>
      <c r="J1414" s="2">
        <v>338.0</v>
      </c>
      <c r="K1414" s="2">
        <v>260.0</v>
      </c>
      <c r="L1414" s="2">
        <v>6.0</v>
      </c>
      <c r="M1414" s="4">
        <v>11022.0</v>
      </c>
      <c r="N1414" s="2" t="s">
        <v>36</v>
      </c>
      <c r="O1414" s="2">
        <v>71.0</v>
      </c>
      <c r="P1414" s="2" t="s">
        <v>31</v>
      </c>
      <c r="Q1414" s="2" t="s">
        <v>32</v>
      </c>
      <c r="R1414" s="2">
        <v>43.0</v>
      </c>
      <c r="U1414" s="2" t="b">
        <v>0</v>
      </c>
      <c r="V1414" s="5">
        <v>0.0063</v>
      </c>
      <c r="W1414" s="5">
        <v>0.0231</v>
      </c>
      <c r="X1414" s="5">
        <v>1.44E-4</v>
      </c>
      <c r="Y1414" s="2">
        <v>42.39230769</v>
      </c>
      <c r="AA1414" s="2" t="s">
        <v>33</v>
      </c>
    </row>
    <row r="1415">
      <c r="A1415" s="2">
        <v>3127.0</v>
      </c>
      <c r="B1415" s="2" t="s">
        <v>4175</v>
      </c>
      <c r="C1415" s="2" t="s">
        <v>7</v>
      </c>
      <c r="D1415" s="2" t="s">
        <v>4176</v>
      </c>
      <c r="E1415" s="2" t="s">
        <v>4177</v>
      </c>
      <c r="F1415" s="6">
        <v>45900.458333333336</v>
      </c>
      <c r="G1415" s="2">
        <v>64269.0</v>
      </c>
      <c r="H1415" s="2">
        <v>64269.0</v>
      </c>
      <c r="I1415" s="2">
        <v>56531.0</v>
      </c>
      <c r="J1415" s="2">
        <v>304.0</v>
      </c>
      <c r="K1415" s="2">
        <v>242.0</v>
      </c>
      <c r="L1415" s="2">
        <v>3.0</v>
      </c>
      <c r="M1415" s="4">
        <v>7056.0</v>
      </c>
      <c r="N1415" s="2" t="s">
        <v>30</v>
      </c>
      <c r="O1415" s="2">
        <v>70.0</v>
      </c>
      <c r="P1415" s="2" t="s">
        <v>31</v>
      </c>
      <c r="Q1415" s="2" t="s">
        <v>32</v>
      </c>
      <c r="R1415" s="2">
        <v>43.0</v>
      </c>
      <c r="T1415" s="7" t="str">
        <f>IFERROR(__xludf.DUMMYFUNCTION("AI(""has offer Come X Pay X"",D672)"),"Based on the provided information, there is no mention of a ""Come X Pay X"" or ""Buy X Get X Free"" offer specifically for Copper Beyond Buffet. The current promotions are primarily package-based upgrades like ""Unlimited Foie Gras"" or specialty dish se"&amp;"ts.")</f>
        <v>Based on the provided information, there is no mention of a "Come X Pay X" or "Buy X Get X Free" offer specifically for Copper Beyond Buffet. The current promotions are primarily package-based upgrades like "Unlimited Foie Gras" or specialty dish sets.</v>
      </c>
      <c r="U1415" s="2" t="b">
        <v>0</v>
      </c>
      <c r="V1415" s="5">
        <v>0.0043</v>
      </c>
      <c r="W1415" s="5">
        <v>0.0124</v>
      </c>
      <c r="X1415" s="5">
        <v>5.3E-5</v>
      </c>
      <c r="Y1415" s="2">
        <v>29.15702479</v>
      </c>
      <c r="Z1415" s="2">
        <v>1483.0</v>
      </c>
      <c r="AA1415" s="2" t="s">
        <v>33</v>
      </c>
    </row>
    <row r="1416">
      <c r="A1416" s="2">
        <v>3130.0</v>
      </c>
      <c r="B1416" s="2" t="s">
        <v>4178</v>
      </c>
      <c r="C1416" s="2" t="s">
        <v>7</v>
      </c>
      <c r="D1416" s="2" t="s">
        <v>4179</v>
      </c>
      <c r="E1416" s="2" t="s">
        <v>4180</v>
      </c>
      <c r="F1416" s="6">
        <v>45900.625</v>
      </c>
      <c r="G1416" s="2">
        <v>48792.0</v>
      </c>
      <c r="H1416" s="2">
        <v>48792.0</v>
      </c>
      <c r="I1416" s="2">
        <v>42106.0</v>
      </c>
      <c r="J1416" s="2">
        <v>318.0</v>
      </c>
      <c r="K1416" s="2">
        <v>250.0</v>
      </c>
      <c r="L1416" s="2">
        <v>2.0</v>
      </c>
      <c r="M1416" s="4">
        <v>6328.0</v>
      </c>
      <c r="N1416" s="2" t="s">
        <v>36</v>
      </c>
      <c r="O1416" s="2">
        <v>71.0</v>
      </c>
      <c r="P1416" s="2" t="s">
        <v>189</v>
      </c>
      <c r="Q1416" s="2" t="s">
        <v>32</v>
      </c>
      <c r="R1416" s="2">
        <v>32.0</v>
      </c>
      <c r="T1416" s="2" t="s">
        <v>58</v>
      </c>
      <c r="U1416" s="2" t="b">
        <v>1</v>
      </c>
      <c r="V1416" s="5">
        <v>0.0059</v>
      </c>
      <c r="W1416" s="5">
        <v>0.008</v>
      </c>
      <c r="X1416" s="5">
        <v>4.7E-5</v>
      </c>
      <c r="Y1416" s="2">
        <v>25.312</v>
      </c>
      <c r="AA1416" s="2" t="s">
        <v>33</v>
      </c>
    </row>
    <row r="1417">
      <c r="A1417" s="2">
        <v>3129.0</v>
      </c>
      <c r="B1417" s="2" t="s">
        <v>4181</v>
      </c>
      <c r="C1417" s="2" t="s">
        <v>7</v>
      </c>
      <c r="D1417" s="2" t="s">
        <v>4182</v>
      </c>
      <c r="E1417" s="2" t="s">
        <v>4183</v>
      </c>
      <c r="F1417" s="6">
        <v>45900.625</v>
      </c>
      <c r="G1417" s="2">
        <v>64278.0</v>
      </c>
      <c r="H1417" s="2">
        <v>64278.0</v>
      </c>
      <c r="I1417" s="2">
        <v>57021.0</v>
      </c>
      <c r="J1417" s="2">
        <v>389.0</v>
      </c>
      <c r="K1417" s="2">
        <v>319.0</v>
      </c>
      <c r="L1417" s="2">
        <v>4.0</v>
      </c>
      <c r="M1417" s="4">
        <v>10073.0</v>
      </c>
      <c r="N1417" s="2" t="s">
        <v>30</v>
      </c>
      <c r="O1417" s="2">
        <v>70.0</v>
      </c>
      <c r="P1417" s="2" t="s">
        <v>189</v>
      </c>
      <c r="Q1417" s="2" t="s">
        <v>32</v>
      </c>
      <c r="R1417" s="2">
        <v>31.0</v>
      </c>
      <c r="U1417" s="2" t="b">
        <v>0</v>
      </c>
      <c r="V1417" s="5">
        <v>0.0056</v>
      </c>
      <c r="W1417" s="5">
        <v>0.0125</v>
      </c>
      <c r="X1417" s="5">
        <v>7.0E-5</v>
      </c>
      <c r="Y1417" s="2">
        <v>31.57680251</v>
      </c>
      <c r="Z1417" s="2">
        <v>4669.0</v>
      </c>
      <c r="AA1417" s="2" t="s">
        <v>33</v>
      </c>
    </row>
    <row r="1418">
      <c r="A1418" s="2">
        <v>3132.0</v>
      </c>
      <c r="B1418" s="2" t="s">
        <v>4184</v>
      </c>
      <c r="C1418" s="2" t="s">
        <v>7</v>
      </c>
      <c r="D1418" s="2" t="s">
        <v>4185</v>
      </c>
      <c r="E1418" s="2" t="s">
        <v>4186</v>
      </c>
      <c r="F1418" s="6">
        <v>45900.708333333336</v>
      </c>
      <c r="G1418" s="2">
        <v>48743.0</v>
      </c>
      <c r="H1418" s="2">
        <v>48743.0</v>
      </c>
      <c r="I1418" s="2">
        <v>42108.0</v>
      </c>
      <c r="J1418" s="2">
        <v>357.0</v>
      </c>
      <c r="K1418" s="2">
        <v>303.0</v>
      </c>
      <c r="L1418" s="2">
        <v>8.0</v>
      </c>
      <c r="M1418" s="4">
        <v>43513.0</v>
      </c>
      <c r="N1418" s="2" t="s">
        <v>36</v>
      </c>
      <c r="O1418" s="2">
        <v>71.0</v>
      </c>
      <c r="P1418" s="2" t="s">
        <v>31</v>
      </c>
      <c r="Q1418" s="2" t="s">
        <v>32</v>
      </c>
      <c r="R1418" s="2">
        <v>41.0</v>
      </c>
      <c r="T1418" s="2" t="s">
        <v>58</v>
      </c>
      <c r="U1418" s="2" t="b">
        <v>1</v>
      </c>
      <c r="V1418" s="5">
        <v>0.0072</v>
      </c>
      <c r="W1418" s="5">
        <v>0.0264</v>
      </c>
      <c r="X1418" s="5">
        <v>1.9E-4</v>
      </c>
      <c r="Y1418" s="2">
        <v>143.6072607</v>
      </c>
      <c r="AA1418" s="2" t="s">
        <v>33</v>
      </c>
    </row>
    <row r="1419">
      <c r="A1419" s="2">
        <v>3131.0</v>
      </c>
      <c r="B1419" s="2" t="s">
        <v>4187</v>
      </c>
      <c r="C1419" s="2" t="s">
        <v>7</v>
      </c>
      <c r="D1419" s="2" t="s">
        <v>4188</v>
      </c>
      <c r="E1419" s="2" t="s">
        <v>4189</v>
      </c>
      <c r="F1419" s="6">
        <v>45900.708333333336</v>
      </c>
      <c r="G1419" s="2">
        <v>64282.0</v>
      </c>
      <c r="H1419" s="2">
        <v>64282.0</v>
      </c>
      <c r="I1419" s="2">
        <v>57009.0</v>
      </c>
      <c r="J1419" s="2">
        <v>501.0</v>
      </c>
      <c r="K1419" s="2">
        <v>411.0</v>
      </c>
      <c r="L1419" s="2">
        <v>10.0</v>
      </c>
      <c r="M1419" s="4">
        <v>31575.0</v>
      </c>
      <c r="N1419" s="2" t="s">
        <v>30</v>
      </c>
      <c r="O1419" s="2">
        <v>70.0</v>
      </c>
      <c r="P1419" s="2" t="s">
        <v>31</v>
      </c>
      <c r="Q1419" s="2" t="s">
        <v>32</v>
      </c>
      <c r="R1419" s="2">
        <v>40.0</v>
      </c>
      <c r="T1419" s="2" t="s">
        <v>405</v>
      </c>
      <c r="U1419" s="2" t="b">
        <v>0</v>
      </c>
      <c r="V1419" s="5">
        <v>0.0072</v>
      </c>
      <c r="W1419" s="5">
        <v>0.0243</v>
      </c>
      <c r="X1419" s="5">
        <v>1.75E-4</v>
      </c>
      <c r="Y1419" s="2">
        <v>76.82481752</v>
      </c>
      <c r="Z1419" s="2">
        <v>4263.0</v>
      </c>
      <c r="AA1419" s="2" t="s">
        <v>33</v>
      </c>
    </row>
    <row r="1420">
      <c r="A1420" s="2">
        <v>3140.0</v>
      </c>
      <c r="B1420" s="2" t="s">
        <v>4190</v>
      </c>
      <c r="C1420" s="2" t="s">
        <v>7</v>
      </c>
      <c r="D1420" s="2" t="s">
        <v>4191</v>
      </c>
      <c r="E1420" s="2" t="s">
        <v>4192</v>
      </c>
      <c r="F1420" s="6">
        <v>45901.48541666667</v>
      </c>
      <c r="G1420" s="2">
        <v>64340.0</v>
      </c>
      <c r="H1420" s="2">
        <v>64340.0</v>
      </c>
      <c r="I1420" s="2">
        <v>57035.0</v>
      </c>
      <c r="J1420" s="2">
        <v>305.0</v>
      </c>
      <c r="K1420" s="2">
        <v>264.0</v>
      </c>
      <c r="L1420" s="2">
        <v>4.0</v>
      </c>
      <c r="M1420" s="4">
        <v>9375.0</v>
      </c>
      <c r="N1420" s="2" t="s">
        <v>30</v>
      </c>
      <c r="O1420" s="2">
        <v>70.0</v>
      </c>
      <c r="P1420" s="2" t="s">
        <v>189</v>
      </c>
      <c r="Q1420" s="2" t="s">
        <v>32</v>
      </c>
      <c r="R1420" s="2">
        <v>36.0</v>
      </c>
      <c r="T1420" s="2" t="s">
        <v>47</v>
      </c>
      <c r="U1420" s="2" t="b">
        <v>0</v>
      </c>
      <c r="V1420" s="5">
        <v>0.0046</v>
      </c>
      <c r="W1420" s="5">
        <v>0.0152</v>
      </c>
      <c r="X1420" s="5">
        <v>7.0E-5</v>
      </c>
      <c r="Y1420" s="2">
        <v>35.51136364</v>
      </c>
      <c r="Z1420" s="2" t="s">
        <v>307</v>
      </c>
      <c r="AA1420" s="2" t="s">
        <v>33</v>
      </c>
    </row>
    <row r="1421">
      <c r="A1421" s="2">
        <v>3141.0</v>
      </c>
      <c r="B1421" s="2" t="s">
        <v>4193</v>
      </c>
      <c r="C1421" s="2" t="s">
        <v>7</v>
      </c>
      <c r="D1421" s="2" t="s">
        <v>4194</v>
      </c>
      <c r="E1421" s="2" t="s">
        <v>4195</v>
      </c>
      <c r="F1421" s="6">
        <v>45901.4875</v>
      </c>
      <c r="G1421" s="2">
        <v>48834.0</v>
      </c>
      <c r="H1421" s="2">
        <v>48834.0</v>
      </c>
      <c r="I1421" s="2">
        <v>42000.0</v>
      </c>
      <c r="J1421" s="2">
        <v>256.0</v>
      </c>
      <c r="K1421" s="2">
        <v>208.0</v>
      </c>
      <c r="L1421" s="2">
        <v>7.0</v>
      </c>
      <c r="M1421" s="4">
        <v>12446.0</v>
      </c>
      <c r="N1421" s="2" t="s">
        <v>36</v>
      </c>
      <c r="O1421" s="2">
        <v>71.0</v>
      </c>
      <c r="P1421" s="2" t="s">
        <v>189</v>
      </c>
      <c r="Q1421" s="2" t="s">
        <v>32</v>
      </c>
      <c r="R1421" s="2">
        <v>33.0</v>
      </c>
      <c r="T1421" s="2" t="s">
        <v>47</v>
      </c>
      <c r="U1421" s="2" t="b">
        <v>0</v>
      </c>
      <c r="V1421" s="5">
        <v>0.005</v>
      </c>
      <c r="W1421" s="5">
        <v>0.0337</v>
      </c>
      <c r="X1421" s="5">
        <v>1.67E-4</v>
      </c>
      <c r="Y1421" s="2">
        <v>59.83653846</v>
      </c>
      <c r="AA1421" s="2" t="s">
        <v>33</v>
      </c>
    </row>
    <row r="1422">
      <c r="A1422" s="2">
        <v>3149.0</v>
      </c>
      <c r="B1422" s="2" t="s">
        <v>4196</v>
      </c>
      <c r="C1422" s="2" t="s">
        <v>7</v>
      </c>
      <c r="D1422" s="2" t="s">
        <v>4197</v>
      </c>
      <c r="E1422" s="2" t="s">
        <v>4198</v>
      </c>
      <c r="F1422" s="6">
        <v>45901.646527777775</v>
      </c>
      <c r="G1422" s="2">
        <v>64378.0</v>
      </c>
      <c r="H1422" s="2">
        <v>64378.0</v>
      </c>
      <c r="I1422" s="2">
        <v>57124.0</v>
      </c>
      <c r="J1422" s="2">
        <v>310.0</v>
      </c>
      <c r="K1422" s="2">
        <v>239.0</v>
      </c>
      <c r="L1422" s="2">
        <v>4.0</v>
      </c>
      <c r="M1422" s="4">
        <v>11477.0</v>
      </c>
      <c r="N1422" s="2" t="s">
        <v>30</v>
      </c>
      <c r="O1422" s="2">
        <v>70.0</v>
      </c>
      <c r="P1422" s="2" t="s">
        <v>189</v>
      </c>
      <c r="Q1422" s="2" t="s">
        <v>32</v>
      </c>
      <c r="R1422" s="2">
        <v>30.0</v>
      </c>
      <c r="U1422" s="2" t="b">
        <v>0</v>
      </c>
      <c r="V1422" s="5">
        <v>0.0042</v>
      </c>
      <c r="W1422" s="5">
        <v>0.0167</v>
      </c>
      <c r="X1422" s="5">
        <v>7.0E-5</v>
      </c>
      <c r="Y1422" s="2">
        <v>48.0209205</v>
      </c>
      <c r="Z1422" s="2">
        <v>4655.0</v>
      </c>
      <c r="AA1422" s="2" t="s">
        <v>33</v>
      </c>
    </row>
    <row r="1423">
      <c r="A1423" s="2">
        <v>3150.0</v>
      </c>
      <c r="B1423" s="2" t="s">
        <v>4199</v>
      </c>
      <c r="C1423" s="2" t="s">
        <v>7</v>
      </c>
      <c r="D1423" s="2" t="s">
        <v>4200</v>
      </c>
      <c r="E1423" s="2" t="s">
        <v>4201</v>
      </c>
      <c r="F1423" s="6">
        <v>45901.65555555555</v>
      </c>
      <c r="G1423" s="2">
        <v>48849.0</v>
      </c>
      <c r="H1423" s="2">
        <v>48849.0</v>
      </c>
      <c r="I1423" s="2">
        <v>42086.0</v>
      </c>
      <c r="J1423" s="2">
        <v>258.0</v>
      </c>
      <c r="K1423" s="2">
        <v>197.0</v>
      </c>
      <c r="L1423" s="2">
        <v>6.0</v>
      </c>
      <c r="M1423" s="4">
        <v>22007.0</v>
      </c>
      <c r="N1423" s="2" t="s">
        <v>36</v>
      </c>
      <c r="O1423" s="2">
        <v>71.0</v>
      </c>
      <c r="P1423" s="2" t="s">
        <v>189</v>
      </c>
      <c r="Q1423" s="2" t="s">
        <v>32</v>
      </c>
      <c r="R1423" s="2">
        <v>31.0</v>
      </c>
      <c r="T1423" s="2" t="s">
        <v>47</v>
      </c>
      <c r="U1423" s="2" t="b">
        <v>0</v>
      </c>
      <c r="V1423" s="5">
        <v>0.0047</v>
      </c>
      <c r="W1423" s="5">
        <v>0.0305</v>
      </c>
      <c r="X1423" s="5">
        <v>1.43E-4</v>
      </c>
      <c r="Y1423" s="2">
        <v>111.7106599</v>
      </c>
      <c r="AA1423" s="2" t="s">
        <v>33</v>
      </c>
    </row>
    <row r="1424">
      <c r="A1424" s="2">
        <v>3152.0</v>
      </c>
      <c r="B1424" s="2" t="s">
        <v>4202</v>
      </c>
      <c r="C1424" s="2" t="s">
        <v>7</v>
      </c>
      <c r="D1424" s="2" t="s">
        <v>4203</v>
      </c>
      <c r="E1424" s="2" t="s">
        <v>4204</v>
      </c>
      <c r="F1424" s="6">
        <v>45901.708333333336</v>
      </c>
      <c r="G1424" s="2">
        <v>48812.0</v>
      </c>
      <c r="H1424" s="2">
        <v>48812.0</v>
      </c>
      <c r="I1424" s="2">
        <v>42167.0</v>
      </c>
      <c r="J1424" s="2">
        <v>252.0</v>
      </c>
      <c r="K1424" s="2">
        <v>209.0</v>
      </c>
      <c r="L1424" s="2">
        <v>4.0</v>
      </c>
      <c r="M1424" s="4">
        <v>9082.0</v>
      </c>
      <c r="N1424" s="2" t="s">
        <v>36</v>
      </c>
      <c r="O1424" s="2">
        <v>71.0</v>
      </c>
      <c r="P1424" s="2" t="s">
        <v>189</v>
      </c>
      <c r="Q1424" s="2" t="s">
        <v>32</v>
      </c>
      <c r="R1424" s="2">
        <v>38.0</v>
      </c>
      <c r="T1424" s="2" t="s">
        <v>47</v>
      </c>
      <c r="U1424" s="2" t="b">
        <v>0</v>
      </c>
      <c r="V1424" s="5">
        <v>0.005</v>
      </c>
      <c r="W1424" s="5">
        <v>0.0191</v>
      </c>
      <c r="X1424" s="5">
        <v>9.5E-5</v>
      </c>
      <c r="Y1424" s="2">
        <v>43.45454545</v>
      </c>
      <c r="AA1424" s="2" t="s">
        <v>33</v>
      </c>
    </row>
    <row r="1425">
      <c r="A1425" s="2">
        <v>3151.0</v>
      </c>
      <c r="B1425" s="2" t="s">
        <v>4205</v>
      </c>
      <c r="C1425" s="2" t="s">
        <v>7</v>
      </c>
      <c r="D1425" s="2" t="s">
        <v>4206</v>
      </c>
      <c r="E1425" s="2" t="s">
        <v>4207</v>
      </c>
      <c r="F1425" s="6">
        <v>45901.708333333336</v>
      </c>
      <c r="G1425" s="2">
        <v>64341.0</v>
      </c>
      <c r="H1425" s="2">
        <v>64341.0</v>
      </c>
      <c r="I1425" s="2">
        <v>57155.0</v>
      </c>
      <c r="J1425" s="2">
        <v>312.0</v>
      </c>
      <c r="K1425" s="2">
        <v>263.0</v>
      </c>
      <c r="L1425" s="2">
        <v>1.0</v>
      </c>
      <c r="M1425" s="4">
        <v>1276.0</v>
      </c>
      <c r="N1425" s="2" t="s">
        <v>30</v>
      </c>
      <c r="O1425" s="2">
        <v>70.0</v>
      </c>
      <c r="P1425" s="2" t="s">
        <v>189</v>
      </c>
      <c r="Q1425" s="2" t="s">
        <v>32</v>
      </c>
      <c r="R1425" s="2">
        <v>37.0</v>
      </c>
      <c r="T1425" s="2" t="s">
        <v>58</v>
      </c>
      <c r="U1425" s="2" t="b">
        <v>0</v>
      </c>
      <c r="V1425" s="5">
        <v>0.0046</v>
      </c>
      <c r="W1425" s="5">
        <v>0.0038</v>
      </c>
      <c r="X1425" s="5">
        <v>1.7E-5</v>
      </c>
      <c r="Y1425" s="2">
        <v>4.851711027</v>
      </c>
      <c r="Z1425" s="2">
        <v>5427.0</v>
      </c>
      <c r="AA1425" s="2" t="s">
        <v>33</v>
      </c>
    </row>
    <row r="1426">
      <c r="A1426" s="2">
        <v>3154.0</v>
      </c>
      <c r="B1426" s="2" t="s">
        <v>4208</v>
      </c>
      <c r="C1426" s="2" t="s">
        <v>7</v>
      </c>
      <c r="D1426" s="2" t="s">
        <v>4209</v>
      </c>
      <c r="E1426" s="2" t="s">
        <v>4210</v>
      </c>
      <c r="F1426" s="6">
        <v>45902.458333333336</v>
      </c>
      <c r="G1426" s="2">
        <v>48893.0</v>
      </c>
      <c r="H1426" s="2">
        <v>48893.0</v>
      </c>
      <c r="I1426" s="2">
        <v>41903.0</v>
      </c>
      <c r="J1426" s="2">
        <v>316.0</v>
      </c>
      <c r="K1426" s="2">
        <v>247.0</v>
      </c>
      <c r="L1426" s="2">
        <v>3.0</v>
      </c>
      <c r="M1426" s="4">
        <v>12043.0</v>
      </c>
      <c r="N1426" s="2" t="s">
        <v>36</v>
      </c>
      <c r="O1426" s="2">
        <v>71.0</v>
      </c>
      <c r="P1426" s="2" t="s">
        <v>189</v>
      </c>
      <c r="Q1426" s="2" t="s">
        <v>32</v>
      </c>
      <c r="R1426" s="2">
        <v>37.0</v>
      </c>
      <c r="U1426" s="2" t="b">
        <v>0</v>
      </c>
      <c r="V1426" s="5">
        <v>0.0059</v>
      </c>
      <c r="W1426" s="5">
        <v>0.0121</v>
      </c>
      <c r="X1426" s="5">
        <v>7.2E-5</v>
      </c>
      <c r="Y1426" s="2">
        <v>48.75708502</v>
      </c>
      <c r="AA1426" s="2" t="s">
        <v>33</v>
      </c>
    </row>
    <row r="1427">
      <c r="A1427" s="2">
        <v>3153.0</v>
      </c>
      <c r="B1427" s="2" t="s">
        <v>4211</v>
      </c>
      <c r="C1427" s="2" t="s">
        <v>7</v>
      </c>
      <c r="D1427" s="2" t="s">
        <v>4212</v>
      </c>
      <c r="E1427" s="2" t="s">
        <v>4213</v>
      </c>
      <c r="F1427" s="6">
        <v>45902.458333333336</v>
      </c>
      <c r="G1427" s="2">
        <v>64395.0</v>
      </c>
      <c r="H1427" s="2">
        <v>64395.0</v>
      </c>
      <c r="I1427" s="2">
        <v>56961.0</v>
      </c>
      <c r="J1427" s="2">
        <v>394.0</v>
      </c>
      <c r="K1427" s="2">
        <v>314.0</v>
      </c>
      <c r="L1427" s="2">
        <v>3.0</v>
      </c>
      <c r="M1427" s="4">
        <v>6226.0</v>
      </c>
      <c r="N1427" s="2" t="s">
        <v>30</v>
      </c>
      <c r="O1427" s="2">
        <v>70.0</v>
      </c>
      <c r="P1427" s="2" t="s">
        <v>189</v>
      </c>
      <c r="Q1427" s="2" t="s">
        <v>32</v>
      </c>
      <c r="R1427" s="2">
        <v>32.0</v>
      </c>
      <c r="T1427" s="2" t="s">
        <v>47</v>
      </c>
      <c r="U1427" s="2" t="b">
        <v>0</v>
      </c>
      <c r="V1427" s="5">
        <v>0.0055</v>
      </c>
      <c r="W1427" s="5">
        <v>0.0096</v>
      </c>
      <c r="X1427" s="5">
        <v>5.3E-5</v>
      </c>
      <c r="Y1427" s="2">
        <v>19.82802548</v>
      </c>
      <c r="Z1427" s="2">
        <v>1728.0</v>
      </c>
      <c r="AA1427" s="2" t="s">
        <v>33</v>
      </c>
    </row>
    <row r="1428">
      <c r="A1428" s="2">
        <v>3165.0</v>
      </c>
      <c r="B1428" s="2" t="s">
        <v>4214</v>
      </c>
      <c r="C1428" s="2" t="s">
        <v>7</v>
      </c>
      <c r="D1428" s="2" t="s">
        <v>4215</v>
      </c>
      <c r="E1428" s="2" t="e">
        <v>#N/A</v>
      </c>
      <c r="F1428" s="6">
        <v>45902.510416666664</v>
      </c>
      <c r="G1428" s="2">
        <v>6716.0</v>
      </c>
      <c r="H1428" s="2">
        <v>6716.0</v>
      </c>
      <c r="I1428" s="2">
        <v>5634.0</v>
      </c>
      <c r="J1428" s="2">
        <v>100.0</v>
      </c>
      <c r="K1428" s="2">
        <v>82.0</v>
      </c>
      <c r="L1428" s="2">
        <v>0.0</v>
      </c>
      <c r="M1428" s="2">
        <v>0.0</v>
      </c>
      <c r="N1428" s="2" t="s">
        <v>423</v>
      </c>
      <c r="O1428" s="2">
        <v>119.0</v>
      </c>
      <c r="P1428" s="2" t="s">
        <v>189</v>
      </c>
      <c r="Q1428" s="2" t="s">
        <v>1367</v>
      </c>
      <c r="R1428" s="2">
        <v>42.0</v>
      </c>
      <c r="T1428" s="2" t="s">
        <v>4216</v>
      </c>
      <c r="U1428" s="2" t="b">
        <v>0</v>
      </c>
      <c r="V1428" s="5">
        <v>0.0146</v>
      </c>
      <c r="W1428" s="5">
        <v>0.0</v>
      </c>
      <c r="X1428" s="5">
        <v>0.0</v>
      </c>
      <c r="Y1428" s="2">
        <v>0.0</v>
      </c>
      <c r="AA1428" s="2" t="s">
        <v>423</v>
      </c>
    </row>
    <row r="1429">
      <c r="A1429" s="2">
        <v>3156.0</v>
      </c>
      <c r="B1429" s="2" t="s">
        <v>4217</v>
      </c>
      <c r="C1429" s="2" t="s">
        <v>7</v>
      </c>
      <c r="D1429" s="2" t="s">
        <v>4218</v>
      </c>
      <c r="E1429" s="2" t="s">
        <v>4219</v>
      </c>
      <c r="F1429" s="6">
        <v>45902.625</v>
      </c>
      <c r="G1429" s="2">
        <v>49570.0</v>
      </c>
      <c r="H1429" s="2">
        <v>49570.0</v>
      </c>
      <c r="I1429" s="2">
        <v>42781.0</v>
      </c>
      <c r="J1429" s="2">
        <v>232.0</v>
      </c>
      <c r="K1429" s="2">
        <v>188.0</v>
      </c>
      <c r="L1429" s="2">
        <v>0.0</v>
      </c>
      <c r="M1429" s="2">
        <v>0.0</v>
      </c>
      <c r="N1429" s="2" t="s">
        <v>36</v>
      </c>
      <c r="O1429" s="2">
        <v>71.0</v>
      </c>
      <c r="P1429" s="2" t="s">
        <v>189</v>
      </c>
      <c r="Q1429" s="2" t="s">
        <v>32</v>
      </c>
      <c r="R1429" s="2">
        <v>42.0</v>
      </c>
      <c r="T1429" s="2" t="s">
        <v>4220</v>
      </c>
      <c r="U1429" s="2" t="b">
        <v>0</v>
      </c>
      <c r="V1429" s="5">
        <v>0.0044</v>
      </c>
      <c r="W1429" s="5">
        <v>0.0</v>
      </c>
      <c r="X1429" s="5">
        <v>0.0</v>
      </c>
      <c r="Y1429" s="2">
        <v>0.0</v>
      </c>
      <c r="AA1429" s="2" t="s">
        <v>33</v>
      </c>
    </row>
    <row r="1430">
      <c r="A1430" s="2">
        <v>3155.0</v>
      </c>
      <c r="B1430" s="2" t="s">
        <v>4221</v>
      </c>
      <c r="C1430" s="2" t="s">
        <v>7</v>
      </c>
      <c r="D1430" s="2" t="s">
        <v>4222</v>
      </c>
      <c r="E1430" s="2" t="s">
        <v>4223</v>
      </c>
      <c r="F1430" s="6">
        <v>45902.625</v>
      </c>
      <c r="G1430" s="2">
        <v>65024.0</v>
      </c>
      <c r="H1430" s="2">
        <v>65024.0</v>
      </c>
      <c r="I1430" s="2">
        <v>57727.0</v>
      </c>
      <c r="J1430" s="2">
        <v>269.0</v>
      </c>
      <c r="K1430" s="2">
        <v>217.0</v>
      </c>
      <c r="L1430" s="2">
        <v>1.0</v>
      </c>
      <c r="M1430" s="4">
        <v>3285.0</v>
      </c>
      <c r="N1430" s="2" t="s">
        <v>30</v>
      </c>
      <c r="O1430" s="2">
        <v>70.0</v>
      </c>
      <c r="P1430" s="2" t="s">
        <v>189</v>
      </c>
      <c r="Q1430" s="2" t="s">
        <v>32</v>
      </c>
      <c r="R1430" s="2">
        <v>30.0</v>
      </c>
      <c r="T1430" s="2" t="s">
        <v>47</v>
      </c>
      <c r="U1430" s="2" t="b">
        <v>0</v>
      </c>
      <c r="V1430" s="5">
        <v>0.0038</v>
      </c>
      <c r="W1430" s="5">
        <v>0.0046</v>
      </c>
      <c r="X1430" s="5">
        <v>1.7E-5</v>
      </c>
      <c r="Y1430" s="2">
        <v>15.13824885</v>
      </c>
      <c r="AA1430" s="2" t="s">
        <v>33</v>
      </c>
    </row>
    <row r="1431">
      <c r="A1431" s="2">
        <v>3166.0</v>
      </c>
      <c r="B1431" s="2" t="s">
        <v>4224</v>
      </c>
      <c r="C1431" s="2" t="s">
        <v>7</v>
      </c>
      <c r="D1431" s="2" t="s">
        <v>4225</v>
      </c>
      <c r="E1431" s="2" t="e">
        <v>#N/A</v>
      </c>
      <c r="F1431" s="6">
        <v>45902.625</v>
      </c>
      <c r="G1431" s="2">
        <v>5253.0</v>
      </c>
      <c r="H1431" s="2">
        <v>5253.0</v>
      </c>
      <c r="I1431" s="2">
        <v>4408.0</v>
      </c>
      <c r="J1431" s="2">
        <v>83.0</v>
      </c>
      <c r="K1431" s="2">
        <v>77.0</v>
      </c>
      <c r="L1431" s="2">
        <v>0.0</v>
      </c>
      <c r="M1431" s="2">
        <v>0.0</v>
      </c>
      <c r="N1431" s="2" t="s">
        <v>423</v>
      </c>
      <c r="O1431" s="2">
        <v>119.0</v>
      </c>
      <c r="P1431" s="2" t="s">
        <v>31</v>
      </c>
      <c r="Q1431" s="2" t="s">
        <v>1367</v>
      </c>
      <c r="R1431" s="2">
        <v>53.0</v>
      </c>
      <c r="U1431" s="2" t="b">
        <v>0</v>
      </c>
      <c r="V1431" s="5">
        <v>0.0175</v>
      </c>
      <c r="W1431" s="5">
        <v>0.0</v>
      </c>
      <c r="X1431" s="5">
        <v>0.0</v>
      </c>
      <c r="Y1431" s="2">
        <v>0.0</v>
      </c>
      <c r="AA1431" s="2" t="s">
        <v>423</v>
      </c>
    </row>
    <row r="1432">
      <c r="A1432" s="2">
        <v>3158.0</v>
      </c>
      <c r="B1432" s="2" t="s">
        <v>4226</v>
      </c>
      <c r="C1432" s="2" t="s">
        <v>7</v>
      </c>
      <c r="D1432" s="2" t="s">
        <v>4227</v>
      </c>
      <c r="E1432" s="2" t="s">
        <v>4228</v>
      </c>
      <c r="F1432" s="6">
        <v>45902.708333333336</v>
      </c>
      <c r="G1432" s="2">
        <v>49558.0</v>
      </c>
      <c r="H1432" s="2">
        <v>49558.0</v>
      </c>
      <c r="I1432" s="2">
        <v>42778.0</v>
      </c>
      <c r="J1432" s="2">
        <v>280.0</v>
      </c>
      <c r="K1432" s="2">
        <v>221.0</v>
      </c>
      <c r="L1432" s="2">
        <v>8.0</v>
      </c>
      <c r="M1432" s="4">
        <v>23205.0</v>
      </c>
      <c r="N1432" s="2" t="s">
        <v>36</v>
      </c>
      <c r="O1432" s="2">
        <v>71.0</v>
      </c>
      <c r="P1432" s="2" t="s">
        <v>31</v>
      </c>
      <c r="Q1432" s="2" t="s">
        <v>32</v>
      </c>
      <c r="R1432" s="2">
        <v>39.0</v>
      </c>
      <c r="U1432" s="2" t="b">
        <v>0</v>
      </c>
      <c r="V1432" s="5">
        <v>0.0052</v>
      </c>
      <c r="W1432" s="5">
        <v>0.0362</v>
      </c>
      <c r="X1432" s="5">
        <v>1.87E-4</v>
      </c>
      <c r="Y1432" s="2">
        <v>105.0</v>
      </c>
      <c r="AA1432" s="2" t="s">
        <v>33</v>
      </c>
    </row>
    <row r="1433">
      <c r="A1433" s="2">
        <v>3157.0</v>
      </c>
      <c r="B1433" s="2" t="s">
        <v>4229</v>
      </c>
      <c r="C1433" s="2" t="s">
        <v>7</v>
      </c>
      <c r="D1433" s="2" t="s">
        <v>4230</v>
      </c>
      <c r="E1433" s="2" t="s">
        <v>4231</v>
      </c>
      <c r="F1433" s="6">
        <v>45902.708333333336</v>
      </c>
      <c r="G1433" s="2">
        <v>65024.0</v>
      </c>
      <c r="H1433" s="2">
        <v>65024.0</v>
      </c>
      <c r="I1433" s="2">
        <v>57628.0</v>
      </c>
      <c r="J1433" s="2">
        <v>321.0</v>
      </c>
      <c r="K1433" s="2">
        <v>260.0</v>
      </c>
      <c r="L1433" s="2">
        <v>3.0</v>
      </c>
      <c r="M1433" s="4">
        <v>6378.0</v>
      </c>
      <c r="N1433" s="2" t="s">
        <v>30</v>
      </c>
      <c r="O1433" s="2">
        <v>70.0</v>
      </c>
      <c r="P1433" s="2" t="s">
        <v>189</v>
      </c>
      <c r="Q1433" s="2" t="s">
        <v>32</v>
      </c>
      <c r="R1433" s="2">
        <v>36.0</v>
      </c>
      <c r="T1433" s="7" t="str">
        <f>IFERROR(__xludf.DUMMYFUNCTION("AI(""has offer Come X Pay X"",D1433)"),"Zeta Café Holiday Inn Bangkok Sukhumvit 22 has a Come 4 Pay 3 offer.")</f>
        <v>Zeta Café Holiday Inn Bangkok Sukhumvit 22 has a Come 4 Pay 3 offer.</v>
      </c>
      <c r="U1433" s="2" t="b">
        <v>0</v>
      </c>
      <c r="V1433" s="5">
        <v>0.0045</v>
      </c>
      <c r="W1433" s="5">
        <v>0.0115</v>
      </c>
      <c r="X1433" s="5">
        <v>5.2E-5</v>
      </c>
      <c r="Y1433" s="2">
        <v>24.53076923</v>
      </c>
      <c r="Z1433" s="2" t="s">
        <v>4232</v>
      </c>
      <c r="AA1433" s="2" t="s">
        <v>33</v>
      </c>
    </row>
    <row r="1434">
      <c r="A1434" s="2">
        <v>3160.0</v>
      </c>
      <c r="B1434" s="2" t="s">
        <v>4233</v>
      </c>
      <c r="C1434" s="2" t="s">
        <v>7</v>
      </c>
      <c r="D1434" s="2" t="s">
        <v>4234</v>
      </c>
      <c r="E1434" s="2" t="s">
        <v>4235</v>
      </c>
      <c r="F1434" s="6">
        <v>45903.458333333336</v>
      </c>
      <c r="G1434" s="2">
        <v>49002.0</v>
      </c>
      <c r="H1434" s="2">
        <v>49002.0</v>
      </c>
      <c r="I1434" s="2">
        <v>42005.0</v>
      </c>
      <c r="J1434" s="2">
        <v>238.0</v>
      </c>
      <c r="K1434" s="2">
        <v>194.0</v>
      </c>
      <c r="L1434" s="2">
        <v>5.0</v>
      </c>
      <c r="M1434" s="4">
        <v>11496.0</v>
      </c>
      <c r="N1434" s="2" t="s">
        <v>36</v>
      </c>
      <c r="O1434" s="2">
        <v>71.0</v>
      </c>
      <c r="P1434" s="2" t="s">
        <v>189</v>
      </c>
      <c r="Q1434" s="2" t="s">
        <v>32</v>
      </c>
      <c r="R1434" s="2">
        <v>50.0</v>
      </c>
      <c r="U1434" s="2" t="b">
        <v>0</v>
      </c>
      <c r="V1434" s="5">
        <v>0.0046</v>
      </c>
      <c r="W1434" s="5">
        <v>0.0258</v>
      </c>
      <c r="X1434" s="5">
        <v>1.19E-4</v>
      </c>
      <c r="Y1434" s="2">
        <v>59.25773196</v>
      </c>
      <c r="AA1434" s="2" t="s">
        <v>33</v>
      </c>
    </row>
    <row r="1435">
      <c r="A1435" s="2">
        <v>3159.0</v>
      </c>
      <c r="B1435" s="2" t="s">
        <v>4236</v>
      </c>
      <c r="C1435" s="2" t="s">
        <v>7</v>
      </c>
      <c r="D1435" s="2" t="s">
        <v>4237</v>
      </c>
      <c r="E1435" s="2" t="s">
        <v>4238</v>
      </c>
      <c r="F1435" s="6">
        <v>45903.458333333336</v>
      </c>
      <c r="G1435" s="2">
        <v>64475.0</v>
      </c>
      <c r="H1435" s="2">
        <v>64475.0</v>
      </c>
      <c r="I1435" s="2">
        <v>57016.0</v>
      </c>
      <c r="J1435" s="2">
        <v>297.0</v>
      </c>
      <c r="K1435" s="2">
        <v>257.0</v>
      </c>
      <c r="L1435" s="2">
        <v>4.0</v>
      </c>
      <c r="M1435" s="4">
        <v>9118.0</v>
      </c>
      <c r="N1435" s="2" t="s">
        <v>30</v>
      </c>
      <c r="O1435" s="2">
        <v>70.0</v>
      </c>
      <c r="P1435" s="2" t="s">
        <v>189</v>
      </c>
      <c r="Q1435" s="2" t="s">
        <v>32</v>
      </c>
      <c r="R1435" s="2">
        <v>32.0</v>
      </c>
      <c r="U1435" s="2" t="b">
        <v>0</v>
      </c>
      <c r="V1435" s="5">
        <v>0.0045</v>
      </c>
      <c r="W1435" s="5">
        <v>0.0156</v>
      </c>
      <c r="X1435" s="5">
        <v>7.0E-5</v>
      </c>
      <c r="Y1435" s="2">
        <v>35.47859922</v>
      </c>
      <c r="AA1435" s="2" t="s">
        <v>33</v>
      </c>
    </row>
    <row r="1436">
      <c r="A1436" s="2">
        <v>3179.0</v>
      </c>
      <c r="B1436" s="2" t="s">
        <v>4239</v>
      </c>
      <c r="C1436" s="2" t="s">
        <v>7</v>
      </c>
      <c r="D1436" s="2" t="s">
        <v>4240</v>
      </c>
      <c r="E1436" s="2" t="e">
        <v>#N/A</v>
      </c>
      <c r="F1436" s="6">
        <v>45903.54861111111</v>
      </c>
      <c r="G1436" s="2">
        <v>6693.0</v>
      </c>
      <c r="H1436" s="2">
        <v>6693.0</v>
      </c>
      <c r="I1436" s="2">
        <v>5643.0</v>
      </c>
      <c r="J1436" s="2">
        <v>128.0</v>
      </c>
      <c r="K1436" s="2">
        <v>110.0</v>
      </c>
      <c r="L1436" s="2">
        <v>1.0</v>
      </c>
      <c r="M1436" s="4">
        <v>3110.0</v>
      </c>
      <c r="N1436" s="2" t="s">
        <v>423</v>
      </c>
      <c r="O1436" s="2">
        <v>119.0</v>
      </c>
      <c r="P1436" s="2" t="s">
        <v>189</v>
      </c>
      <c r="Q1436" s="2" t="s">
        <v>1367</v>
      </c>
      <c r="R1436" s="2">
        <v>40.0</v>
      </c>
      <c r="T1436" s="2" t="s">
        <v>4241</v>
      </c>
      <c r="U1436" s="2" t="b">
        <v>0</v>
      </c>
      <c r="V1436" s="5">
        <v>0.0195</v>
      </c>
      <c r="W1436" s="5">
        <v>0.0091</v>
      </c>
      <c r="X1436" s="5">
        <v>1.77E-4</v>
      </c>
      <c r="Y1436" s="2">
        <v>28.27272727</v>
      </c>
      <c r="AA1436" s="2" t="s">
        <v>423</v>
      </c>
    </row>
    <row r="1437">
      <c r="A1437" s="2">
        <v>3162.0</v>
      </c>
      <c r="B1437" s="2" t="s">
        <v>4242</v>
      </c>
      <c r="C1437" s="2" t="s">
        <v>7</v>
      </c>
      <c r="D1437" s="2" t="s">
        <v>4243</v>
      </c>
      <c r="E1437" s="2" t="s">
        <v>4244</v>
      </c>
      <c r="F1437" s="6">
        <v>45903.625</v>
      </c>
      <c r="G1437" s="2">
        <v>49051.0</v>
      </c>
      <c r="H1437" s="2">
        <v>49051.0</v>
      </c>
      <c r="I1437" s="2">
        <v>42387.0</v>
      </c>
      <c r="J1437" s="2">
        <v>299.0</v>
      </c>
      <c r="K1437" s="2">
        <v>248.0</v>
      </c>
      <c r="L1437" s="2">
        <v>5.0</v>
      </c>
      <c r="M1437" s="4">
        <v>15060.0</v>
      </c>
      <c r="N1437" s="2" t="s">
        <v>36</v>
      </c>
      <c r="O1437" s="2">
        <v>71.0</v>
      </c>
      <c r="P1437" s="2" t="s">
        <v>189</v>
      </c>
      <c r="Q1437" s="2" t="s">
        <v>32</v>
      </c>
      <c r="R1437" s="2">
        <v>40.0</v>
      </c>
      <c r="T1437" s="2" t="s">
        <v>47</v>
      </c>
      <c r="U1437" s="2" t="b">
        <v>0</v>
      </c>
      <c r="V1437" s="5">
        <v>0.0059</v>
      </c>
      <c r="W1437" s="5">
        <v>0.0202</v>
      </c>
      <c r="X1437" s="5">
        <v>1.18E-4</v>
      </c>
      <c r="Y1437" s="2">
        <v>60.72580645</v>
      </c>
      <c r="AA1437" s="2" t="s">
        <v>33</v>
      </c>
    </row>
    <row r="1438">
      <c r="A1438" s="2">
        <v>3161.0</v>
      </c>
      <c r="B1438" s="2" t="s">
        <v>4245</v>
      </c>
      <c r="C1438" s="2" t="s">
        <v>7</v>
      </c>
      <c r="D1438" s="2" t="s">
        <v>4246</v>
      </c>
      <c r="E1438" s="2" t="s">
        <v>4247</v>
      </c>
      <c r="F1438" s="6">
        <v>45903.625</v>
      </c>
      <c r="G1438" s="2">
        <v>64536.0</v>
      </c>
      <c r="H1438" s="2">
        <v>64536.0</v>
      </c>
      <c r="I1438" s="2">
        <v>57420.0</v>
      </c>
      <c r="J1438" s="2">
        <v>300.0</v>
      </c>
      <c r="K1438" s="2">
        <v>262.0</v>
      </c>
      <c r="L1438" s="2">
        <v>6.0</v>
      </c>
      <c r="M1438" s="4">
        <v>14248.0</v>
      </c>
      <c r="N1438" s="2" t="s">
        <v>30</v>
      </c>
      <c r="O1438" s="2">
        <v>70.0</v>
      </c>
      <c r="P1438" s="2" t="s">
        <v>189</v>
      </c>
      <c r="Q1438" s="2" t="s">
        <v>32</v>
      </c>
      <c r="R1438" s="2">
        <v>31.0</v>
      </c>
      <c r="T1438" s="2" t="s">
        <v>2206</v>
      </c>
      <c r="U1438" s="2" t="b">
        <v>0</v>
      </c>
      <c r="V1438" s="5">
        <v>0.0046</v>
      </c>
      <c r="W1438" s="5">
        <v>0.0229</v>
      </c>
      <c r="X1438" s="5">
        <v>1.04E-4</v>
      </c>
      <c r="Y1438" s="2">
        <v>54.38167939</v>
      </c>
      <c r="Z1438" s="2" t="s">
        <v>307</v>
      </c>
      <c r="AA1438" s="2" t="s">
        <v>33</v>
      </c>
    </row>
    <row r="1439">
      <c r="A1439" s="2">
        <v>3164.0</v>
      </c>
      <c r="B1439" s="2" t="s">
        <v>4248</v>
      </c>
      <c r="C1439" s="2" t="s">
        <v>7</v>
      </c>
      <c r="D1439" s="2" t="s">
        <v>4249</v>
      </c>
      <c r="E1439" s="2" t="s">
        <v>4250</v>
      </c>
      <c r="F1439" s="6">
        <v>45903.708333333336</v>
      </c>
      <c r="G1439" s="2">
        <v>49026.0</v>
      </c>
      <c r="H1439" s="2">
        <v>49026.0</v>
      </c>
      <c r="I1439" s="2">
        <v>42384.0</v>
      </c>
      <c r="J1439" s="2">
        <v>232.0</v>
      </c>
      <c r="K1439" s="2">
        <v>185.0</v>
      </c>
      <c r="L1439" s="2">
        <v>1.0</v>
      </c>
      <c r="M1439" s="4">
        <v>3998.0</v>
      </c>
      <c r="N1439" s="2" t="s">
        <v>36</v>
      </c>
      <c r="O1439" s="2">
        <v>71.0</v>
      </c>
      <c r="P1439" s="2" t="s">
        <v>31</v>
      </c>
      <c r="Q1439" s="2" t="s">
        <v>32</v>
      </c>
      <c r="R1439" s="2">
        <v>34.0</v>
      </c>
      <c r="U1439" s="2" t="b">
        <v>0</v>
      </c>
      <c r="V1439" s="5">
        <v>0.0044</v>
      </c>
      <c r="W1439" s="5">
        <v>0.0054</v>
      </c>
      <c r="X1439" s="5">
        <v>2.4E-5</v>
      </c>
      <c r="Y1439" s="2">
        <v>21.61081081</v>
      </c>
      <c r="AA1439" s="2" t="s">
        <v>33</v>
      </c>
    </row>
    <row r="1440">
      <c r="A1440" s="2">
        <v>3163.0</v>
      </c>
      <c r="B1440" s="2" t="s">
        <v>4251</v>
      </c>
      <c r="C1440" s="2" t="s">
        <v>7</v>
      </c>
      <c r="D1440" s="2" t="s">
        <v>4252</v>
      </c>
      <c r="E1440" s="2" t="s">
        <v>4253</v>
      </c>
      <c r="F1440" s="6">
        <v>45903.708333333336</v>
      </c>
      <c r="G1440" s="2">
        <v>64537.0</v>
      </c>
      <c r="H1440" s="2">
        <v>64537.0</v>
      </c>
      <c r="I1440" s="2">
        <v>57430.0</v>
      </c>
      <c r="J1440" s="2">
        <v>285.0</v>
      </c>
      <c r="K1440" s="2">
        <v>229.0</v>
      </c>
      <c r="L1440" s="2">
        <v>1.0</v>
      </c>
      <c r="M1440" s="2">
        <v>559.0</v>
      </c>
      <c r="N1440" s="2" t="s">
        <v>30</v>
      </c>
      <c r="O1440" s="2">
        <v>70.0</v>
      </c>
      <c r="P1440" s="2" t="s">
        <v>31</v>
      </c>
      <c r="Q1440" s="2" t="s">
        <v>32</v>
      </c>
      <c r="R1440" s="2">
        <v>33.0</v>
      </c>
      <c r="T1440" s="2" t="s">
        <v>47</v>
      </c>
      <c r="U1440" s="2" t="b">
        <v>0</v>
      </c>
      <c r="V1440" s="5">
        <v>0.004</v>
      </c>
      <c r="W1440" s="5">
        <v>0.0044</v>
      </c>
      <c r="X1440" s="5">
        <v>1.7E-5</v>
      </c>
      <c r="Y1440" s="2">
        <v>2.441048035</v>
      </c>
      <c r="AA1440" s="2" t="s">
        <v>33</v>
      </c>
    </row>
    <row r="1441">
      <c r="A1441" s="2">
        <v>3168.0</v>
      </c>
      <c r="B1441" s="2" t="s">
        <v>4254</v>
      </c>
      <c r="C1441" s="2" t="s">
        <v>7</v>
      </c>
      <c r="D1441" s="2" t="s">
        <v>4255</v>
      </c>
      <c r="E1441" s="2" t="s">
        <v>4256</v>
      </c>
      <c r="F1441" s="6">
        <v>45904.458333333336</v>
      </c>
      <c r="G1441" s="2">
        <v>49177.0</v>
      </c>
      <c r="H1441" s="2">
        <v>49177.0</v>
      </c>
      <c r="I1441" s="2">
        <v>42163.0</v>
      </c>
      <c r="J1441" s="2">
        <v>284.0</v>
      </c>
      <c r="K1441" s="2">
        <v>221.0</v>
      </c>
      <c r="L1441" s="2">
        <v>4.0</v>
      </c>
      <c r="M1441" s="4">
        <v>39125.0</v>
      </c>
      <c r="N1441" s="2" t="s">
        <v>36</v>
      </c>
      <c r="O1441" s="2">
        <v>71.0</v>
      </c>
      <c r="P1441" s="2" t="s">
        <v>31</v>
      </c>
      <c r="Q1441" s="2" t="s">
        <v>32</v>
      </c>
      <c r="R1441" s="2">
        <v>34.0</v>
      </c>
      <c r="T1441" s="2" t="s">
        <v>58</v>
      </c>
      <c r="U1441" s="2" t="b">
        <v>1</v>
      </c>
      <c r="V1441" s="5">
        <v>0.0052</v>
      </c>
      <c r="W1441" s="5">
        <v>0.0181</v>
      </c>
      <c r="X1441" s="5">
        <v>9.5E-5</v>
      </c>
      <c r="Y1441" s="2">
        <v>177.0361991</v>
      </c>
      <c r="AA1441" s="2" t="s">
        <v>33</v>
      </c>
    </row>
    <row r="1442">
      <c r="A1442" s="2">
        <v>3167.0</v>
      </c>
      <c r="B1442" s="2" t="s">
        <v>4257</v>
      </c>
      <c r="C1442" s="2" t="s">
        <v>7</v>
      </c>
      <c r="D1442" s="2" t="s">
        <v>4258</v>
      </c>
      <c r="E1442" s="2" t="s">
        <v>4259</v>
      </c>
      <c r="F1442" s="6">
        <v>45904.458333333336</v>
      </c>
      <c r="G1442" s="2">
        <v>64619.0</v>
      </c>
      <c r="H1442" s="2">
        <v>64619.0</v>
      </c>
      <c r="I1442" s="2">
        <v>57209.0</v>
      </c>
      <c r="J1442" s="2">
        <v>379.0</v>
      </c>
      <c r="K1442" s="2">
        <v>301.0</v>
      </c>
      <c r="L1442" s="2">
        <v>3.0</v>
      </c>
      <c r="M1442" s="4">
        <v>7528.0</v>
      </c>
      <c r="N1442" s="2" t="s">
        <v>30</v>
      </c>
      <c r="O1442" s="2">
        <v>70.0</v>
      </c>
      <c r="P1442" s="2" t="s">
        <v>31</v>
      </c>
      <c r="Q1442" s="2" t="s">
        <v>32</v>
      </c>
      <c r="R1442" s="2">
        <v>33.0</v>
      </c>
      <c r="T1442" s="2" t="s">
        <v>143</v>
      </c>
      <c r="U1442" s="2" t="b">
        <v>0</v>
      </c>
      <c r="V1442" s="5">
        <v>0.0053</v>
      </c>
      <c r="W1442" s="5">
        <v>0.01</v>
      </c>
      <c r="X1442" s="5">
        <v>5.2E-5</v>
      </c>
      <c r="Y1442" s="2">
        <v>25.00996678</v>
      </c>
      <c r="AA1442" s="2" t="s">
        <v>33</v>
      </c>
    </row>
    <row r="1443">
      <c r="A1443" s="2">
        <v>3204.0</v>
      </c>
      <c r="B1443" s="2" t="s">
        <v>4260</v>
      </c>
      <c r="C1443" s="2" t="s">
        <v>7</v>
      </c>
      <c r="D1443" s="2" t="s">
        <v>4261</v>
      </c>
      <c r="E1443" s="2" t="s">
        <v>4262</v>
      </c>
      <c r="F1443" s="6">
        <v>45904.57638888889</v>
      </c>
      <c r="G1443" s="2">
        <v>6682.0</v>
      </c>
      <c r="H1443" s="2">
        <v>6682.0</v>
      </c>
      <c r="I1443" s="2">
        <v>5615.0</v>
      </c>
      <c r="J1443" s="2">
        <v>83.0</v>
      </c>
      <c r="K1443" s="2">
        <v>74.0</v>
      </c>
      <c r="L1443" s="2">
        <v>1.0</v>
      </c>
      <c r="M1443" s="2">
        <v>352.0</v>
      </c>
      <c r="N1443" s="2" t="s">
        <v>423</v>
      </c>
      <c r="O1443" s="2">
        <v>119.0</v>
      </c>
      <c r="P1443" s="2" t="s">
        <v>189</v>
      </c>
      <c r="Q1443" s="2" t="s">
        <v>1367</v>
      </c>
      <c r="R1443" s="2">
        <v>32.0</v>
      </c>
      <c r="T1443" s="2" t="s">
        <v>162</v>
      </c>
      <c r="U1443" s="2" t="b">
        <v>0</v>
      </c>
      <c r="V1443" s="5">
        <v>0.0132</v>
      </c>
      <c r="W1443" s="5">
        <v>0.0135</v>
      </c>
      <c r="X1443" s="5">
        <v>1.78E-4</v>
      </c>
      <c r="Y1443" s="2">
        <v>4.756756757</v>
      </c>
      <c r="AA1443" s="2" t="s">
        <v>423</v>
      </c>
    </row>
    <row r="1444">
      <c r="A1444" s="2">
        <v>3203.0</v>
      </c>
      <c r="B1444" s="2" t="s">
        <v>4263</v>
      </c>
      <c r="C1444" s="2" t="s">
        <v>7</v>
      </c>
      <c r="D1444" s="2" t="s">
        <v>4264</v>
      </c>
      <c r="E1444" s="2" t="s">
        <v>4265</v>
      </c>
      <c r="F1444" s="6">
        <v>45904.625</v>
      </c>
      <c r="G1444" s="2">
        <v>6644.0</v>
      </c>
      <c r="H1444" s="2">
        <v>6644.0</v>
      </c>
      <c r="I1444" s="2">
        <v>5615.0</v>
      </c>
      <c r="J1444" s="2">
        <v>88.0</v>
      </c>
      <c r="K1444" s="2">
        <v>72.0</v>
      </c>
      <c r="L1444" s="2">
        <v>0.0</v>
      </c>
      <c r="M1444" s="2">
        <v>0.0</v>
      </c>
      <c r="N1444" s="2" t="s">
        <v>423</v>
      </c>
      <c r="O1444" s="2">
        <v>119.0</v>
      </c>
      <c r="P1444" s="2" t="s">
        <v>189</v>
      </c>
      <c r="Q1444" s="2" t="s">
        <v>1367</v>
      </c>
      <c r="R1444" s="2">
        <v>30.0</v>
      </c>
      <c r="T1444" s="2" t="s">
        <v>47</v>
      </c>
      <c r="U1444" s="2" t="b">
        <v>0</v>
      </c>
      <c r="V1444" s="5">
        <v>0.0128</v>
      </c>
      <c r="W1444" s="5">
        <v>0.0</v>
      </c>
      <c r="X1444" s="5">
        <v>0.0</v>
      </c>
      <c r="Y1444" s="2">
        <v>0.0</v>
      </c>
      <c r="AA1444" s="2" t="s">
        <v>423</v>
      </c>
    </row>
    <row r="1445">
      <c r="A1445" s="2">
        <v>3170.0</v>
      </c>
      <c r="B1445" s="2" t="s">
        <v>4266</v>
      </c>
      <c r="C1445" s="2" t="s">
        <v>7</v>
      </c>
      <c r="D1445" s="2" t="s">
        <v>4267</v>
      </c>
      <c r="E1445" s="2" t="s">
        <v>4268</v>
      </c>
      <c r="F1445" s="6">
        <v>45904.625</v>
      </c>
      <c r="G1445" s="2">
        <v>49181.0</v>
      </c>
      <c r="H1445" s="2">
        <v>49181.0</v>
      </c>
      <c r="I1445" s="2">
        <v>42433.0</v>
      </c>
      <c r="J1445" s="2">
        <v>210.0</v>
      </c>
      <c r="K1445" s="2">
        <v>171.0</v>
      </c>
      <c r="L1445" s="2">
        <v>3.0</v>
      </c>
      <c r="M1445" s="4">
        <v>5112.0</v>
      </c>
      <c r="N1445" s="2" t="s">
        <v>36</v>
      </c>
      <c r="O1445" s="2">
        <v>71.0</v>
      </c>
      <c r="P1445" s="2" t="s">
        <v>189</v>
      </c>
      <c r="Q1445" s="2" t="s">
        <v>32</v>
      </c>
      <c r="R1445" s="2">
        <v>33.0</v>
      </c>
      <c r="T1445" s="2" t="s">
        <v>47</v>
      </c>
      <c r="U1445" s="2" t="b">
        <v>0</v>
      </c>
      <c r="V1445" s="5">
        <v>0.004</v>
      </c>
      <c r="W1445" s="5">
        <v>0.0175</v>
      </c>
      <c r="X1445" s="5">
        <v>7.1E-5</v>
      </c>
      <c r="Y1445" s="2">
        <v>29.89473684</v>
      </c>
      <c r="AA1445" s="2" t="s">
        <v>33</v>
      </c>
    </row>
    <row r="1446">
      <c r="A1446" s="2">
        <v>3169.0</v>
      </c>
      <c r="B1446" s="2" t="s">
        <v>4269</v>
      </c>
      <c r="C1446" s="2" t="s">
        <v>7</v>
      </c>
      <c r="D1446" s="2" t="s">
        <v>4270</v>
      </c>
      <c r="E1446" s="2" t="s">
        <v>4271</v>
      </c>
      <c r="F1446" s="6">
        <v>45904.625</v>
      </c>
      <c r="G1446" s="2">
        <v>64644.0</v>
      </c>
      <c r="H1446" s="2">
        <v>64644.0</v>
      </c>
      <c r="I1446" s="2">
        <v>57474.0</v>
      </c>
      <c r="J1446" s="2">
        <v>326.0</v>
      </c>
      <c r="K1446" s="2">
        <v>260.0</v>
      </c>
      <c r="L1446" s="2">
        <v>3.0</v>
      </c>
      <c r="M1446" s="4">
        <v>8301.0</v>
      </c>
      <c r="N1446" s="2" t="s">
        <v>30</v>
      </c>
      <c r="O1446" s="2">
        <v>70.0</v>
      </c>
      <c r="P1446" s="2" t="s">
        <v>189</v>
      </c>
      <c r="Q1446" s="2" t="s">
        <v>32</v>
      </c>
      <c r="R1446" s="2">
        <v>32.0</v>
      </c>
      <c r="U1446" s="2" t="b">
        <v>0</v>
      </c>
      <c r="V1446" s="5">
        <v>0.0045</v>
      </c>
      <c r="W1446" s="5">
        <v>0.0115</v>
      </c>
      <c r="X1446" s="5">
        <v>5.2E-5</v>
      </c>
      <c r="Y1446" s="2">
        <v>31.92692308</v>
      </c>
      <c r="Z1446" s="2">
        <v>4784.0</v>
      </c>
      <c r="AA1446" s="2" t="s">
        <v>33</v>
      </c>
    </row>
    <row r="1447">
      <c r="A1447" s="2">
        <v>3172.0</v>
      </c>
      <c r="B1447" s="2" t="s">
        <v>4272</v>
      </c>
      <c r="C1447" s="2" t="s">
        <v>7</v>
      </c>
      <c r="D1447" s="2" t="s">
        <v>4273</v>
      </c>
      <c r="E1447" s="2" t="s">
        <v>4274</v>
      </c>
      <c r="F1447" s="6">
        <v>45904.708333333336</v>
      </c>
      <c r="G1447" s="2">
        <v>49149.0</v>
      </c>
      <c r="H1447" s="2">
        <v>49149.0</v>
      </c>
      <c r="I1447" s="2">
        <v>42476.0</v>
      </c>
      <c r="J1447" s="2">
        <v>221.0</v>
      </c>
      <c r="K1447" s="2">
        <v>178.0</v>
      </c>
      <c r="L1447" s="2">
        <v>4.0</v>
      </c>
      <c r="M1447" s="4">
        <v>13261.0</v>
      </c>
      <c r="N1447" s="2" t="s">
        <v>36</v>
      </c>
      <c r="O1447" s="2">
        <v>71.0</v>
      </c>
      <c r="P1447" s="2" t="s">
        <v>189</v>
      </c>
      <c r="Q1447" s="2" t="s">
        <v>32</v>
      </c>
      <c r="R1447" s="2">
        <v>34.0</v>
      </c>
      <c r="U1447" s="2" t="b">
        <v>0</v>
      </c>
      <c r="V1447" s="5">
        <v>0.0042</v>
      </c>
      <c r="W1447" s="5">
        <v>0.0225</v>
      </c>
      <c r="X1447" s="5">
        <v>9.4E-5</v>
      </c>
      <c r="Y1447" s="2">
        <v>74.5</v>
      </c>
      <c r="AA1447" s="2" t="s">
        <v>33</v>
      </c>
    </row>
    <row r="1448">
      <c r="A1448" s="2">
        <v>3171.0</v>
      </c>
      <c r="B1448" s="2" t="s">
        <v>4275</v>
      </c>
      <c r="C1448" s="2" t="s">
        <v>7</v>
      </c>
      <c r="D1448" s="2" t="s">
        <v>4276</v>
      </c>
      <c r="E1448" s="2" t="s">
        <v>4277</v>
      </c>
      <c r="F1448" s="6">
        <v>45904.708333333336</v>
      </c>
      <c r="G1448" s="2">
        <v>64637.0</v>
      </c>
      <c r="H1448" s="2">
        <v>64637.0</v>
      </c>
      <c r="I1448" s="2">
        <v>57490.0</v>
      </c>
      <c r="J1448" s="2">
        <v>319.0</v>
      </c>
      <c r="K1448" s="2">
        <v>266.0</v>
      </c>
      <c r="L1448" s="2">
        <v>5.0</v>
      </c>
      <c r="M1448" s="4">
        <v>16797.0</v>
      </c>
      <c r="N1448" s="2" t="s">
        <v>30</v>
      </c>
      <c r="O1448" s="2">
        <v>70.0</v>
      </c>
      <c r="P1448" s="2" t="s">
        <v>31</v>
      </c>
      <c r="Q1448" s="2" t="s">
        <v>32</v>
      </c>
      <c r="R1448" s="2">
        <v>34.0</v>
      </c>
      <c r="T1448" s="2" t="s">
        <v>405</v>
      </c>
      <c r="U1448" s="2" t="b">
        <v>0</v>
      </c>
      <c r="V1448" s="5">
        <v>0.0046</v>
      </c>
      <c r="W1448" s="5">
        <v>0.0188</v>
      </c>
      <c r="X1448" s="5">
        <v>8.7E-5</v>
      </c>
      <c r="Y1448" s="2">
        <v>63.14661654</v>
      </c>
      <c r="AA1448" s="2" t="s">
        <v>33</v>
      </c>
    </row>
    <row r="1449">
      <c r="A1449" s="2">
        <v>3182.0</v>
      </c>
      <c r="B1449" s="2" t="s">
        <v>4278</v>
      </c>
      <c r="C1449" s="2" t="s">
        <v>7</v>
      </c>
      <c r="D1449" s="2" t="s">
        <v>4279</v>
      </c>
      <c r="E1449" s="2" t="s">
        <v>4280</v>
      </c>
      <c r="F1449" s="6">
        <v>45904.791666666664</v>
      </c>
      <c r="G1449" s="2">
        <v>4717.0</v>
      </c>
      <c r="H1449" s="2">
        <v>4717.0</v>
      </c>
      <c r="I1449" s="2">
        <v>4095.0</v>
      </c>
      <c r="J1449" s="2">
        <v>59.0</v>
      </c>
      <c r="K1449" s="2">
        <v>48.0</v>
      </c>
      <c r="L1449" s="2">
        <v>0.0</v>
      </c>
      <c r="M1449" s="2">
        <v>0.0</v>
      </c>
      <c r="N1449" s="2" t="s">
        <v>423</v>
      </c>
      <c r="O1449" s="2">
        <v>119.0</v>
      </c>
      <c r="P1449" s="2" t="s">
        <v>189</v>
      </c>
      <c r="Q1449" s="2" t="s">
        <v>1367</v>
      </c>
      <c r="R1449" s="2">
        <v>34.0</v>
      </c>
      <c r="U1449" s="2" t="b">
        <v>0</v>
      </c>
      <c r="V1449" s="5">
        <v>0.0117</v>
      </c>
      <c r="W1449" s="5">
        <v>0.0</v>
      </c>
      <c r="X1449" s="5">
        <v>0.0</v>
      </c>
      <c r="Y1449" s="2">
        <v>0.0</v>
      </c>
      <c r="AA1449" s="2" t="s">
        <v>423</v>
      </c>
    </row>
    <row r="1450">
      <c r="A1450" s="2">
        <v>3195.0</v>
      </c>
      <c r="B1450" s="2" t="s">
        <v>4281</v>
      </c>
      <c r="C1450" s="2" t="s">
        <v>7</v>
      </c>
      <c r="D1450" s="2" t="s">
        <v>4282</v>
      </c>
      <c r="E1450" s="2" t="s">
        <v>4283</v>
      </c>
      <c r="F1450" s="6">
        <v>45905.458333333336</v>
      </c>
      <c r="G1450" s="2">
        <v>6638.0</v>
      </c>
      <c r="H1450" s="2">
        <v>6638.0</v>
      </c>
      <c r="I1450" s="2">
        <v>5625.0</v>
      </c>
      <c r="J1450" s="2">
        <v>91.0</v>
      </c>
      <c r="K1450" s="2">
        <v>80.0</v>
      </c>
      <c r="L1450" s="2">
        <v>1.0</v>
      </c>
      <c r="M1450" s="4">
        <v>1166.0</v>
      </c>
      <c r="N1450" s="2" t="s">
        <v>423</v>
      </c>
      <c r="O1450" s="2">
        <v>119.0</v>
      </c>
      <c r="P1450" s="2" t="s">
        <v>189</v>
      </c>
      <c r="Q1450" s="2" t="s">
        <v>1367</v>
      </c>
      <c r="R1450" s="2">
        <v>31.0</v>
      </c>
      <c r="T1450" s="2" t="s">
        <v>47</v>
      </c>
      <c r="U1450" s="2" t="b">
        <v>0</v>
      </c>
      <c r="V1450" s="5">
        <v>0.0142</v>
      </c>
      <c r="W1450" s="5">
        <v>0.0125</v>
      </c>
      <c r="X1450" s="5">
        <v>1.78E-4</v>
      </c>
      <c r="Y1450" s="2">
        <v>14.575</v>
      </c>
      <c r="AA1450" s="2" t="s">
        <v>423</v>
      </c>
    </row>
    <row r="1451">
      <c r="A1451" s="2">
        <v>3174.0</v>
      </c>
      <c r="B1451" s="2" t="s">
        <v>4284</v>
      </c>
      <c r="C1451" s="2" t="s">
        <v>7</v>
      </c>
      <c r="D1451" s="2" t="s">
        <v>4285</v>
      </c>
      <c r="E1451" s="2" t="s">
        <v>4286</v>
      </c>
      <c r="F1451" s="6">
        <v>45905.458333333336</v>
      </c>
      <c r="G1451" s="2">
        <v>49274.0</v>
      </c>
      <c r="H1451" s="2">
        <v>49274.0</v>
      </c>
      <c r="I1451" s="2">
        <v>42251.0</v>
      </c>
      <c r="J1451" s="2">
        <v>275.0</v>
      </c>
      <c r="K1451" s="2">
        <v>225.0</v>
      </c>
      <c r="L1451" s="2">
        <v>8.0</v>
      </c>
      <c r="M1451" s="4">
        <v>25790.0</v>
      </c>
      <c r="N1451" s="2" t="s">
        <v>36</v>
      </c>
      <c r="O1451" s="2">
        <v>71.0</v>
      </c>
      <c r="P1451" s="2" t="s">
        <v>189</v>
      </c>
      <c r="Q1451" s="2" t="s">
        <v>32</v>
      </c>
      <c r="R1451" s="2">
        <v>42.0</v>
      </c>
      <c r="T1451" s="2" t="s">
        <v>4287</v>
      </c>
      <c r="U1451" s="2" t="b">
        <v>0</v>
      </c>
      <c r="V1451" s="5">
        <v>0.0053</v>
      </c>
      <c r="W1451" s="5">
        <v>0.0356</v>
      </c>
      <c r="X1451" s="5">
        <v>1.89E-4</v>
      </c>
      <c r="Y1451" s="2">
        <v>114.6222222</v>
      </c>
      <c r="AA1451" s="2" t="s">
        <v>33</v>
      </c>
    </row>
    <row r="1452">
      <c r="A1452" s="2">
        <v>3173.0</v>
      </c>
      <c r="B1452" s="2" t="s">
        <v>4288</v>
      </c>
      <c r="C1452" s="2" t="s">
        <v>7</v>
      </c>
      <c r="D1452" s="2" t="s">
        <v>4289</v>
      </c>
      <c r="E1452" s="2" t="s">
        <v>4290</v>
      </c>
      <c r="F1452" s="6">
        <v>45905.458333333336</v>
      </c>
      <c r="G1452" s="2">
        <v>64776.0</v>
      </c>
      <c r="H1452" s="2">
        <v>64776.0</v>
      </c>
      <c r="I1452" s="2">
        <v>57305.0</v>
      </c>
      <c r="J1452" s="2">
        <v>323.0</v>
      </c>
      <c r="K1452" s="2">
        <v>265.0</v>
      </c>
      <c r="L1452" s="2">
        <v>6.0</v>
      </c>
      <c r="M1452" s="4">
        <v>14013.0</v>
      </c>
      <c r="N1452" s="2" t="s">
        <v>30</v>
      </c>
      <c r="O1452" s="2">
        <v>70.0</v>
      </c>
      <c r="P1452" s="2" t="s">
        <v>189</v>
      </c>
      <c r="Q1452" s="2" t="s">
        <v>32</v>
      </c>
      <c r="R1452" s="2">
        <v>40.0</v>
      </c>
      <c r="T1452" s="7" t="str">
        <f>IFERROR(__xludf.DUMMYFUNCTION("AI(""has offer Come X Pay X"",D1452)"),"has offer")</f>
        <v>has offer</v>
      </c>
      <c r="U1452" s="2" t="b">
        <v>0</v>
      </c>
      <c r="V1452" s="5">
        <v>0.0046</v>
      </c>
      <c r="W1452" s="5">
        <v>0.0226</v>
      </c>
      <c r="X1452" s="5">
        <v>1.05E-4</v>
      </c>
      <c r="Y1452" s="2">
        <v>52.87924528</v>
      </c>
      <c r="AA1452" s="2" t="s">
        <v>33</v>
      </c>
    </row>
    <row r="1453">
      <c r="A1453" s="2">
        <v>3176.0</v>
      </c>
      <c r="B1453" s="2" t="s">
        <v>4291</v>
      </c>
      <c r="C1453" s="2" t="s">
        <v>7</v>
      </c>
      <c r="D1453" s="2" t="s">
        <v>4292</v>
      </c>
      <c r="E1453" s="2" t="s">
        <v>4293</v>
      </c>
      <c r="F1453" s="6">
        <v>45905.625</v>
      </c>
      <c r="G1453" s="2">
        <v>49259.0</v>
      </c>
      <c r="H1453" s="2">
        <v>49259.0</v>
      </c>
      <c r="I1453" s="2">
        <v>42598.0</v>
      </c>
      <c r="J1453" s="2">
        <v>277.0</v>
      </c>
      <c r="K1453" s="2">
        <v>229.0</v>
      </c>
      <c r="L1453" s="2">
        <v>5.0</v>
      </c>
      <c r="M1453" s="4">
        <v>15606.0</v>
      </c>
      <c r="N1453" s="2" t="s">
        <v>36</v>
      </c>
      <c r="O1453" s="2">
        <v>71.0</v>
      </c>
      <c r="P1453" s="2" t="s">
        <v>189</v>
      </c>
      <c r="Q1453" s="2" t="s">
        <v>32</v>
      </c>
      <c r="R1453" s="2">
        <v>32.0</v>
      </c>
      <c r="U1453" s="2" t="b">
        <v>1</v>
      </c>
      <c r="V1453" s="5">
        <v>0.0054</v>
      </c>
      <c r="W1453" s="5">
        <v>0.0218</v>
      </c>
      <c r="X1453" s="5">
        <v>1.17E-4</v>
      </c>
      <c r="Y1453" s="2">
        <v>68.14847162</v>
      </c>
      <c r="AA1453" s="2" t="s">
        <v>33</v>
      </c>
    </row>
    <row r="1454">
      <c r="A1454" s="2">
        <v>3175.0</v>
      </c>
      <c r="B1454" s="2" t="s">
        <v>4294</v>
      </c>
      <c r="C1454" s="2" t="s">
        <v>7</v>
      </c>
      <c r="D1454" s="2" t="s">
        <v>4295</v>
      </c>
      <c r="E1454" s="2" t="s">
        <v>4296</v>
      </c>
      <c r="F1454" s="6">
        <v>45905.625</v>
      </c>
      <c r="G1454" s="2">
        <v>64819.0</v>
      </c>
      <c r="H1454" s="2">
        <v>64819.0</v>
      </c>
      <c r="I1454" s="2">
        <v>57563.0</v>
      </c>
      <c r="J1454" s="2">
        <v>308.0</v>
      </c>
      <c r="K1454" s="2">
        <v>269.0</v>
      </c>
      <c r="L1454" s="2">
        <v>3.0</v>
      </c>
      <c r="M1454" s="4">
        <v>5994.0</v>
      </c>
      <c r="N1454" s="2" t="s">
        <v>30</v>
      </c>
      <c r="O1454" s="2">
        <v>70.0</v>
      </c>
      <c r="P1454" s="2" t="s">
        <v>189</v>
      </c>
      <c r="Q1454" s="2" t="s">
        <v>32</v>
      </c>
      <c r="R1454" s="2">
        <v>32.0</v>
      </c>
      <c r="T1454" s="2" t="s">
        <v>143</v>
      </c>
      <c r="U1454" s="2" t="b">
        <v>0</v>
      </c>
      <c r="V1454" s="5">
        <v>0.0047</v>
      </c>
      <c r="W1454" s="5">
        <v>0.0112</v>
      </c>
      <c r="X1454" s="5">
        <v>5.2E-5</v>
      </c>
      <c r="Y1454" s="2">
        <v>22.28252788</v>
      </c>
      <c r="Z1454" s="2" t="s">
        <v>2731</v>
      </c>
      <c r="AA1454" s="2" t="s">
        <v>33</v>
      </c>
    </row>
    <row r="1455">
      <c r="A1455" s="2">
        <v>3178.0</v>
      </c>
      <c r="B1455" s="2" t="s">
        <v>4297</v>
      </c>
      <c r="C1455" s="2" t="s">
        <v>7</v>
      </c>
      <c r="D1455" s="2" t="s">
        <v>4298</v>
      </c>
      <c r="E1455" s="2" t="s">
        <v>4299</v>
      </c>
      <c r="F1455" s="6">
        <v>45905.708333333336</v>
      </c>
      <c r="G1455" s="2">
        <v>49252.0</v>
      </c>
      <c r="H1455" s="2">
        <v>49252.0</v>
      </c>
      <c r="I1455" s="2">
        <v>42638.0</v>
      </c>
      <c r="J1455" s="2">
        <v>421.0</v>
      </c>
      <c r="K1455" s="2">
        <v>335.0</v>
      </c>
      <c r="L1455" s="2">
        <v>6.0</v>
      </c>
      <c r="M1455" s="4">
        <v>19246.0</v>
      </c>
      <c r="N1455" s="2" t="s">
        <v>36</v>
      </c>
      <c r="O1455" s="2">
        <v>71.0</v>
      </c>
      <c r="P1455" s="2" t="s">
        <v>189</v>
      </c>
      <c r="Q1455" s="2" t="s">
        <v>32</v>
      </c>
      <c r="R1455" s="2">
        <v>36.0</v>
      </c>
      <c r="U1455" s="2" t="b">
        <v>0</v>
      </c>
      <c r="V1455" s="5">
        <v>0.0079</v>
      </c>
      <c r="W1455" s="5">
        <v>0.0179</v>
      </c>
      <c r="X1455" s="5">
        <v>1.41E-4</v>
      </c>
      <c r="Y1455" s="2">
        <v>57.45074627</v>
      </c>
      <c r="AA1455" s="2" t="s">
        <v>33</v>
      </c>
    </row>
    <row r="1456">
      <c r="A1456" s="2">
        <v>3177.0</v>
      </c>
      <c r="B1456" s="2" t="s">
        <v>4300</v>
      </c>
      <c r="C1456" s="2" t="s">
        <v>7</v>
      </c>
      <c r="D1456" s="2" t="s">
        <v>4301</v>
      </c>
      <c r="E1456" s="2" t="s">
        <v>4302</v>
      </c>
      <c r="F1456" s="6">
        <v>45905.708333333336</v>
      </c>
      <c r="G1456" s="2">
        <v>64828.0</v>
      </c>
      <c r="H1456" s="2">
        <v>64828.0</v>
      </c>
      <c r="I1456" s="2">
        <v>57543.0</v>
      </c>
      <c r="J1456" s="2">
        <v>673.0</v>
      </c>
      <c r="K1456" s="2">
        <v>555.0</v>
      </c>
      <c r="L1456" s="2">
        <v>9.0</v>
      </c>
      <c r="M1456" s="4">
        <v>30657.0</v>
      </c>
      <c r="N1456" s="2" t="s">
        <v>30</v>
      </c>
      <c r="O1456" s="2">
        <v>70.0</v>
      </c>
      <c r="P1456" s="2" t="s">
        <v>189</v>
      </c>
      <c r="Q1456" s="2" t="s">
        <v>32</v>
      </c>
      <c r="R1456" s="2">
        <v>39.0</v>
      </c>
      <c r="U1456" s="2" t="b">
        <v>0</v>
      </c>
      <c r="V1456" s="5">
        <v>0.0096</v>
      </c>
      <c r="W1456" s="5">
        <v>0.0162</v>
      </c>
      <c r="X1456" s="5">
        <v>1.56E-4</v>
      </c>
      <c r="Y1456" s="2">
        <v>55.23783784</v>
      </c>
      <c r="Z1456" s="2">
        <v>6340.0</v>
      </c>
      <c r="AA1456" s="2" t="s">
        <v>33</v>
      </c>
    </row>
    <row r="1457">
      <c r="A1457" s="2">
        <v>3183.0</v>
      </c>
      <c r="B1457" s="2" t="s">
        <v>4303</v>
      </c>
      <c r="C1457" s="2" t="s">
        <v>7</v>
      </c>
      <c r="D1457" s="2" t="s">
        <v>4304</v>
      </c>
      <c r="E1457" s="2" t="e">
        <v>#N/A</v>
      </c>
      <c r="F1457" s="6">
        <v>45906.458333333336</v>
      </c>
      <c r="G1457" s="2">
        <v>49307.0</v>
      </c>
      <c r="H1457" s="2">
        <v>49307.0</v>
      </c>
      <c r="I1457" s="2">
        <v>42168.0</v>
      </c>
      <c r="J1457" s="2">
        <v>280.0</v>
      </c>
      <c r="K1457" s="2">
        <v>227.0</v>
      </c>
      <c r="L1457" s="2">
        <v>4.0</v>
      </c>
      <c r="M1457" s="4">
        <v>8105.0</v>
      </c>
      <c r="N1457" s="2" t="s">
        <v>36</v>
      </c>
      <c r="O1457" s="2">
        <v>71.0</v>
      </c>
      <c r="P1457" s="2" t="s">
        <v>189</v>
      </c>
      <c r="Q1457" s="2" t="s">
        <v>32</v>
      </c>
      <c r="R1457" s="2">
        <v>40.0</v>
      </c>
      <c r="T1457" s="2" t="s">
        <v>58</v>
      </c>
      <c r="U1457" s="2" t="b">
        <v>1</v>
      </c>
      <c r="V1457" s="5">
        <v>0.0054</v>
      </c>
      <c r="W1457" s="5">
        <v>0.0176</v>
      </c>
      <c r="X1457" s="5">
        <v>9.5E-5</v>
      </c>
      <c r="Y1457" s="2">
        <v>35.70484581</v>
      </c>
      <c r="AA1457" s="2" t="s">
        <v>33</v>
      </c>
    </row>
    <row r="1458">
      <c r="A1458" s="2">
        <v>3181.0</v>
      </c>
      <c r="B1458" s="2" t="s">
        <v>4305</v>
      </c>
      <c r="C1458" s="2" t="s">
        <v>7</v>
      </c>
      <c r="D1458" s="2" t="s">
        <v>4306</v>
      </c>
      <c r="E1458" s="2" t="e">
        <v>#N/A</v>
      </c>
      <c r="F1458" s="6">
        <v>45906.458333333336</v>
      </c>
      <c r="G1458" s="2">
        <v>64892.0</v>
      </c>
      <c r="H1458" s="2">
        <v>64892.0</v>
      </c>
      <c r="I1458" s="2">
        <v>57268.0</v>
      </c>
      <c r="J1458" s="2">
        <v>383.0</v>
      </c>
      <c r="K1458" s="2">
        <v>301.0</v>
      </c>
      <c r="L1458" s="2">
        <v>6.0</v>
      </c>
      <c r="M1458" s="4">
        <v>13097.0</v>
      </c>
      <c r="N1458" s="2" t="s">
        <v>30</v>
      </c>
      <c r="O1458" s="2">
        <v>70.0</v>
      </c>
      <c r="P1458" s="2" t="s">
        <v>189</v>
      </c>
      <c r="Q1458" s="2" t="s">
        <v>32</v>
      </c>
      <c r="R1458" s="2">
        <v>38.0</v>
      </c>
      <c r="T1458" s="2" t="s">
        <v>58</v>
      </c>
      <c r="U1458" s="2" t="b">
        <v>0</v>
      </c>
      <c r="V1458" s="5">
        <v>0.0053</v>
      </c>
      <c r="W1458" s="5">
        <v>0.0199</v>
      </c>
      <c r="X1458" s="5">
        <v>1.05E-4</v>
      </c>
      <c r="Y1458" s="2">
        <v>43.51162791</v>
      </c>
      <c r="AA1458" s="2" t="s">
        <v>33</v>
      </c>
    </row>
    <row r="1459">
      <c r="A1459" s="2">
        <v>3185.0</v>
      </c>
      <c r="B1459" s="2" t="s">
        <v>4307</v>
      </c>
      <c r="C1459" s="2" t="s">
        <v>7</v>
      </c>
      <c r="D1459" s="2" t="s">
        <v>4308</v>
      </c>
      <c r="E1459" s="2" t="s">
        <v>4309</v>
      </c>
      <c r="F1459" s="6">
        <v>45906.625</v>
      </c>
      <c r="G1459" s="2">
        <v>49350.0</v>
      </c>
      <c r="H1459" s="2">
        <v>49350.0</v>
      </c>
      <c r="I1459" s="2">
        <v>42615.0</v>
      </c>
      <c r="J1459" s="2">
        <v>311.0</v>
      </c>
      <c r="K1459" s="2">
        <v>243.0</v>
      </c>
      <c r="L1459" s="2">
        <v>1.0</v>
      </c>
      <c r="M1459" s="4">
        <v>3588.0</v>
      </c>
      <c r="N1459" s="2" t="s">
        <v>36</v>
      </c>
      <c r="O1459" s="2">
        <v>71.0</v>
      </c>
      <c r="P1459" s="2" t="s">
        <v>189</v>
      </c>
      <c r="Q1459" s="2" t="s">
        <v>32</v>
      </c>
      <c r="R1459" s="2">
        <v>36.0</v>
      </c>
      <c r="T1459" s="2" t="s">
        <v>1185</v>
      </c>
      <c r="U1459" s="2" t="b">
        <v>0</v>
      </c>
      <c r="V1459" s="5">
        <v>0.0057</v>
      </c>
      <c r="W1459" s="5">
        <v>0.0041</v>
      </c>
      <c r="X1459" s="5">
        <v>2.3E-5</v>
      </c>
      <c r="Y1459" s="2">
        <v>14.7654321</v>
      </c>
      <c r="AA1459" s="2" t="s">
        <v>33</v>
      </c>
    </row>
    <row r="1460">
      <c r="A1460" s="2">
        <v>3184.0</v>
      </c>
      <c r="B1460" s="2" t="s">
        <v>4310</v>
      </c>
      <c r="C1460" s="2" t="s">
        <v>7</v>
      </c>
      <c r="D1460" s="2" t="s">
        <v>4311</v>
      </c>
      <c r="E1460" s="2" t="s">
        <v>4312</v>
      </c>
      <c r="F1460" s="6">
        <v>45906.625</v>
      </c>
      <c r="G1460" s="2">
        <v>64914.0</v>
      </c>
      <c r="H1460" s="2">
        <v>64914.0</v>
      </c>
      <c r="I1460" s="2">
        <v>57518.0</v>
      </c>
      <c r="J1460" s="2">
        <v>414.0</v>
      </c>
      <c r="K1460" s="2">
        <v>330.0</v>
      </c>
      <c r="L1460" s="2">
        <v>5.0</v>
      </c>
      <c r="M1460" s="4">
        <v>12356.0</v>
      </c>
      <c r="N1460" s="2" t="s">
        <v>30</v>
      </c>
      <c r="O1460" s="2">
        <v>70.0</v>
      </c>
      <c r="P1460" s="2" t="s">
        <v>189</v>
      </c>
      <c r="Q1460" s="2" t="s">
        <v>32</v>
      </c>
      <c r="R1460" s="2">
        <v>35.0</v>
      </c>
      <c r="T1460" s="2" t="s">
        <v>47</v>
      </c>
      <c r="U1460" s="2" t="b">
        <v>0</v>
      </c>
      <c r="V1460" s="5">
        <v>0.0057</v>
      </c>
      <c r="W1460" s="5">
        <v>0.0152</v>
      </c>
      <c r="X1460" s="5">
        <v>8.7E-5</v>
      </c>
      <c r="Y1460" s="2">
        <v>37.44242424</v>
      </c>
      <c r="AA1460" s="2" t="s">
        <v>33</v>
      </c>
    </row>
    <row r="1461">
      <c r="A1461" s="2">
        <v>3187.0</v>
      </c>
      <c r="B1461" s="2" t="s">
        <v>4313</v>
      </c>
      <c r="C1461" s="2" t="s">
        <v>7</v>
      </c>
      <c r="D1461" s="2" t="s">
        <v>4314</v>
      </c>
      <c r="E1461" s="2" t="s">
        <v>4315</v>
      </c>
      <c r="F1461" s="6">
        <v>45906.708333333336</v>
      </c>
      <c r="G1461" s="2">
        <v>49294.0</v>
      </c>
      <c r="H1461" s="2">
        <v>49294.0</v>
      </c>
      <c r="I1461" s="2">
        <v>42694.0</v>
      </c>
      <c r="J1461" s="2">
        <v>299.0</v>
      </c>
      <c r="K1461" s="2">
        <v>243.0</v>
      </c>
      <c r="L1461" s="2">
        <v>2.0</v>
      </c>
      <c r="M1461" s="4">
        <v>5847.0</v>
      </c>
      <c r="N1461" s="2" t="s">
        <v>36</v>
      </c>
      <c r="O1461" s="2">
        <v>71.0</v>
      </c>
      <c r="P1461" s="2" t="s">
        <v>31</v>
      </c>
      <c r="Q1461" s="2" t="s">
        <v>32</v>
      </c>
      <c r="R1461" s="2">
        <v>40.0</v>
      </c>
      <c r="T1461" s="2" t="s">
        <v>47</v>
      </c>
      <c r="U1461" s="2" t="b">
        <v>0</v>
      </c>
      <c r="V1461" s="5">
        <v>0.0057</v>
      </c>
      <c r="W1461" s="5">
        <v>0.0082</v>
      </c>
      <c r="X1461" s="5">
        <v>4.7E-5</v>
      </c>
      <c r="Y1461" s="2">
        <v>24.0617284</v>
      </c>
      <c r="AA1461" s="2" t="s">
        <v>33</v>
      </c>
    </row>
    <row r="1462">
      <c r="A1462" s="2">
        <v>3186.0</v>
      </c>
      <c r="B1462" s="2" t="s">
        <v>4316</v>
      </c>
      <c r="C1462" s="2" t="s">
        <v>7</v>
      </c>
      <c r="D1462" s="2" t="s">
        <v>4317</v>
      </c>
      <c r="E1462" s="2" t="s">
        <v>4318</v>
      </c>
      <c r="F1462" s="6">
        <v>45906.708333333336</v>
      </c>
      <c r="G1462" s="2">
        <v>64942.0</v>
      </c>
      <c r="H1462" s="2">
        <v>64942.0</v>
      </c>
      <c r="I1462" s="2">
        <v>57617.0</v>
      </c>
      <c r="J1462" s="2">
        <v>351.0</v>
      </c>
      <c r="K1462" s="2">
        <v>278.0</v>
      </c>
      <c r="L1462" s="2">
        <v>11.0</v>
      </c>
      <c r="M1462" s="4">
        <v>24687.0</v>
      </c>
      <c r="N1462" s="2" t="s">
        <v>30</v>
      </c>
      <c r="O1462" s="2">
        <v>70.0</v>
      </c>
      <c r="P1462" s="2" t="s">
        <v>31</v>
      </c>
      <c r="Q1462" s="2" t="s">
        <v>32</v>
      </c>
      <c r="R1462" s="2">
        <v>33.0</v>
      </c>
      <c r="U1462" s="2" t="b">
        <v>0</v>
      </c>
      <c r="V1462" s="5">
        <v>0.0048</v>
      </c>
      <c r="W1462" s="5">
        <v>0.0396</v>
      </c>
      <c r="X1462" s="5">
        <v>1.91E-4</v>
      </c>
      <c r="Y1462" s="2">
        <v>88.80215827</v>
      </c>
      <c r="Z1462" s="2">
        <v>2190.0</v>
      </c>
      <c r="AA1462" s="2" t="s">
        <v>33</v>
      </c>
    </row>
    <row r="1463">
      <c r="A1463" s="2">
        <v>3189.0</v>
      </c>
      <c r="B1463" s="2" t="s">
        <v>4319</v>
      </c>
      <c r="C1463" s="2" t="s">
        <v>7</v>
      </c>
      <c r="D1463" s="2" t="s">
        <v>4320</v>
      </c>
      <c r="E1463" s="2" t="s">
        <v>4321</v>
      </c>
      <c r="F1463" s="6">
        <v>45907.458333333336</v>
      </c>
      <c r="G1463" s="2">
        <v>49370.0</v>
      </c>
      <c r="H1463" s="2">
        <v>49370.0</v>
      </c>
      <c r="I1463" s="2">
        <v>42283.0</v>
      </c>
      <c r="J1463" s="2">
        <v>286.0</v>
      </c>
      <c r="K1463" s="2">
        <v>240.0</v>
      </c>
      <c r="L1463" s="2">
        <v>4.0</v>
      </c>
      <c r="M1463" s="4">
        <v>11659.0</v>
      </c>
      <c r="N1463" s="2" t="s">
        <v>36</v>
      </c>
      <c r="O1463" s="2">
        <v>71.0</v>
      </c>
      <c r="P1463" s="2" t="s">
        <v>31</v>
      </c>
      <c r="Q1463" s="2" t="s">
        <v>32</v>
      </c>
      <c r="R1463" s="2">
        <v>31.0</v>
      </c>
      <c r="T1463" s="2" t="s">
        <v>58</v>
      </c>
      <c r="U1463" s="2" t="b">
        <v>1</v>
      </c>
      <c r="V1463" s="5">
        <v>0.0057</v>
      </c>
      <c r="W1463" s="5">
        <v>0.0167</v>
      </c>
      <c r="X1463" s="5">
        <v>9.5E-5</v>
      </c>
      <c r="Y1463" s="2">
        <v>48.57916667</v>
      </c>
      <c r="AA1463" s="2" t="s">
        <v>33</v>
      </c>
    </row>
    <row r="1464">
      <c r="A1464" s="2">
        <v>3188.0</v>
      </c>
      <c r="B1464" s="2" t="s">
        <v>4322</v>
      </c>
      <c r="C1464" s="2" t="s">
        <v>7</v>
      </c>
      <c r="D1464" s="2" t="s">
        <v>4323</v>
      </c>
      <c r="E1464" s="2" t="s">
        <v>4324</v>
      </c>
      <c r="F1464" s="6">
        <v>45907.458333333336</v>
      </c>
      <c r="G1464" s="2">
        <v>65001.0</v>
      </c>
      <c r="H1464" s="2">
        <v>65001.0</v>
      </c>
      <c r="I1464" s="2">
        <v>57323.0</v>
      </c>
      <c r="J1464" s="2">
        <v>341.0</v>
      </c>
      <c r="K1464" s="2">
        <v>280.0</v>
      </c>
      <c r="L1464" s="2">
        <v>0.0</v>
      </c>
      <c r="M1464" s="2">
        <v>0.0</v>
      </c>
      <c r="N1464" s="2" t="s">
        <v>30</v>
      </c>
      <c r="O1464" s="2">
        <v>70.0</v>
      </c>
      <c r="P1464" s="2" t="s">
        <v>31</v>
      </c>
      <c r="Q1464" s="2" t="s">
        <v>32</v>
      </c>
      <c r="R1464" s="2">
        <v>27.0</v>
      </c>
      <c r="U1464" s="2" t="b">
        <v>0</v>
      </c>
      <c r="V1464" s="5">
        <v>0.0049</v>
      </c>
      <c r="W1464" s="5">
        <v>0.0</v>
      </c>
      <c r="X1464" s="5">
        <v>0.0</v>
      </c>
      <c r="Y1464" s="2">
        <v>0.0</v>
      </c>
      <c r="Z1464" s="2">
        <v>4763.0</v>
      </c>
      <c r="AA1464" s="2" t="s">
        <v>33</v>
      </c>
    </row>
    <row r="1465">
      <c r="A1465" s="2">
        <v>3191.0</v>
      </c>
      <c r="B1465" s="2" t="s">
        <v>4325</v>
      </c>
      <c r="C1465" s="2" t="s">
        <v>7</v>
      </c>
      <c r="D1465" s="2" t="s">
        <v>4326</v>
      </c>
      <c r="E1465" s="2" t="s">
        <v>4327</v>
      </c>
      <c r="F1465" s="6">
        <v>45907.625</v>
      </c>
      <c r="G1465" s="2">
        <v>49426.0</v>
      </c>
      <c r="H1465" s="2">
        <v>49426.0</v>
      </c>
      <c r="I1465" s="2">
        <v>42661.0</v>
      </c>
      <c r="J1465" s="2">
        <v>272.0</v>
      </c>
      <c r="K1465" s="2">
        <v>220.0</v>
      </c>
      <c r="L1465" s="2">
        <v>3.0</v>
      </c>
      <c r="M1465" s="4">
        <v>6668.0</v>
      </c>
      <c r="N1465" s="2" t="s">
        <v>36</v>
      </c>
      <c r="O1465" s="2">
        <v>71.0</v>
      </c>
      <c r="P1465" s="2" t="s">
        <v>31</v>
      </c>
      <c r="Q1465" s="2" t="s">
        <v>32</v>
      </c>
      <c r="R1465" s="2">
        <v>29.0</v>
      </c>
      <c r="T1465" s="2" t="s">
        <v>2206</v>
      </c>
      <c r="U1465" s="2" t="b">
        <v>0</v>
      </c>
      <c r="V1465" s="5">
        <v>0.0052</v>
      </c>
      <c r="W1465" s="5">
        <v>0.0136</v>
      </c>
      <c r="X1465" s="5">
        <v>7.0E-5</v>
      </c>
      <c r="Y1465" s="2">
        <v>30.30909091</v>
      </c>
      <c r="AA1465" s="2" t="s">
        <v>33</v>
      </c>
    </row>
    <row r="1466">
      <c r="A1466" s="2">
        <v>3190.0</v>
      </c>
      <c r="B1466" s="2" t="s">
        <v>4328</v>
      </c>
      <c r="C1466" s="2" t="s">
        <v>7</v>
      </c>
      <c r="D1466" s="2" t="s">
        <v>4329</v>
      </c>
      <c r="E1466" s="2" t="s">
        <v>4330</v>
      </c>
      <c r="F1466" s="6">
        <v>45907.625</v>
      </c>
      <c r="G1466" s="2">
        <v>65079.0</v>
      </c>
      <c r="H1466" s="2">
        <v>65079.0</v>
      </c>
      <c r="I1466" s="2">
        <v>57728.0</v>
      </c>
      <c r="J1466" s="2">
        <v>353.0</v>
      </c>
      <c r="K1466" s="2">
        <v>281.0</v>
      </c>
      <c r="L1466" s="2">
        <v>1.0</v>
      </c>
      <c r="M1466" s="2">
        <v>720.0</v>
      </c>
      <c r="N1466" s="2" t="s">
        <v>30</v>
      </c>
      <c r="O1466" s="2">
        <v>70.0</v>
      </c>
      <c r="P1466" s="2" t="s">
        <v>31</v>
      </c>
      <c r="Q1466" s="2" t="s">
        <v>32</v>
      </c>
      <c r="R1466" s="2">
        <v>29.0</v>
      </c>
      <c r="T1466" s="2" t="s">
        <v>162</v>
      </c>
      <c r="U1466" s="2" t="b">
        <v>0</v>
      </c>
      <c r="V1466" s="5">
        <v>0.0049</v>
      </c>
      <c r="W1466" s="5">
        <v>0.0036</v>
      </c>
      <c r="X1466" s="5">
        <v>1.7E-5</v>
      </c>
      <c r="Y1466" s="2">
        <v>2.56227758</v>
      </c>
      <c r="Z1466" s="2">
        <v>4633.0</v>
      </c>
      <c r="AA1466" s="2" t="s">
        <v>33</v>
      </c>
    </row>
    <row r="1467">
      <c r="A1467" s="2">
        <v>3193.0</v>
      </c>
      <c r="B1467" s="2" t="s">
        <v>4331</v>
      </c>
      <c r="C1467" s="2" t="s">
        <v>7</v>
      </c>
      <c r="D1467" s="2" t="s">
        <v>4332</v>
      </c>
      <c r="E1467" s="2" t="s">
        <v>4333</v>
      </c>
      <c r="F1467" s="6">
        <v>45907.708333333336</v>
      </c>
      <c r="G1467" s="2">
        <v>49387.0</v>
      </c>
      <c r="H1467" s="2">
        <v>49387.0</v>
      </c>
      <c r="I1467" s="2">
        <v>42699.0</v>
      </c>
      <c r="J1467" s="2">
        <v>338.0</v>
      </c>
      <c r="K1467" s="2">
        <v>254.0</v>
      </c>
      <c r="L1467" s="2">
        <v>3.0</v>
      </c>
      <c r="M1467" s="4">
        <v>23520.0</v>
      </c>
      <c r="N1467" s="2" t="s">
        <v>36</v>
      </c>
      <c r="O1467" s="2">
        <v>71.0</v>
      </c>
      <c r="P1467" s="2" t="s">
        <v>31</v>
      </c>
      <c r="Q1467" s="2" t="s">
        <v>32</v>
      </c>
      <c r="R1467" s="2">
        <v>34.0</v>
      </c>
      <c r="T1467" s="2" t="s">
        <v>58</v>
      </c>
      <c r="U1467" s="2" t="b">
        <v>1</v>
      </c>
      <c r="V1467" s="5">
        <v>0.0059</v>
      </c>
      <c r="W1467" s="5">
        <v>0.0118</v>
      </c>
      <c r="X1467" s="5">
        <v>7.0E-5</v>
      </c>
      <c r="Y1467" s="2">
        <v>92.5984252</v>
      </c>
      <c r="AA1467" s="2" t="s">
        <v>33</v>
      </c>
    </row>
    <row r="1468">
      <c r="A1468" s="2">
        <v>3192.0</v>
      </c>
      <c r="B1468" s="2" t="s">
        <v>4334</v>
      </c>
      <c r="C1468" s="2" t="s">
        <v>7</v>
      </c>
      <c r="D1468" s="2" t="s">
        <v>4335</v>
      </c>
      <c r="E1468" s="2" t="s">
        <v>4336</v>
      </c>
      <c r="F1468" s="6">
        <v>45907.708333333336</v>
      </c>
      <c r="G1468" s="2">
        <v>65074.0</v>
      </c>
      <c r="H1468" s="2">
        <v>65074.0</v>
      </c>
      <c r="I1468" s="2">
        <v>57745.0</v>
      </c>
      <c r="J1468" s="2">
        <v>377.0</v>
      </c>
      <c r="K1468" s="2">
        <v>304.0</v>
      </c>
      <c r="L1468" s="2">
        <v>3.0</v>
      </c>
      <c r="M1468" s="4">
        <v>5989.0</v>
      </c>
      <c r="N1468" s="2" t="s">
        <v>30</v>
      </c>
      <c r="O1468" s="2">
        <v>70.0</v>
      </c>
      <c r="P1468" s="2" t="s">
        <v>31</v>
      </c>
      <c r="Q1468" s="2" t="s">
        <v>32</v>
      </c>
      <c r="R1468" s="2">
        <v>31.0</v>
      </c>
      <c r="T1468" s="2" t="s">
        <v>58</v>
      </c>
      <c r="U1468" s="2" t="b">
        <v>0</v>
      </c>
      <c r="V1468" s="5">
        <v>0.0053</v>
      </c>
      <c r="W1468" s="5">
        <v>0.0099</v>
      </c>
      <c r="X1468" s="5">
        <v>5.2E-5</v>
      </c>
      <c r="Y1468" s="2">
        <v>19.70065789</v>
      </c>
      <c r="Z1468" s="2">
        <v>4685.0</v>
      </c>
      <c r="AA1468" s="2" t="s">
        <v>33</v>
      </c>
    </row>
    <row r="1469">
      <c r="A1469" s="2">
        <v>3221.0</v>
      </c>
      <c r="B1469" s="2" t="s">
        <v>4337</v>
      </c>
      <c r="C1469" s="2" t="s">
        <v>7</v>
      </c>
      <c r="D1469" s="2" t="s">
        <v>4338</v>
      </c>
      <c r="E1469" s="2" t="s">
        <v>4339</v>
      </c>
      <c r="F1469" s="6">
        <v>45908.69375</v>
      </c>
      <c r="G1469" s="2">
        <v>65216.0</v>
      </c>
      <c r="H1469" s="2">
        <v>65216.0</v>
      </c>
      <c r="I1469" s="2">
        <v>57901.0</v>
      </c>
      <c r="J1469" s="2">
        <v>467.0</v>
      </c>
      <c r="K1469" s="2">
        <v>378.0</v>
      </c>
      <c r="L1469" s="2">
        <v>8.0</v>
      </c>
      <c r="M1469" s="4">
        <v>27032.0</v>
      </c>
      <c r="N1469" s="2" t="s">
        <v>30</v>
      </c>
      <c r="O1469" s="2">
        <v>70.0</v>
      </c>
      <c r="P1469" s="2" t="s">
        <v>189</v>
      </c>
      <c r="Q1469" s="2" t="s">
        <v>32</v>
      </c>
      <c r="R1469" s="2">
        <v>35.0</v>
      </c>
      <c r="U1469" s="2" t="b">
        <v>0</v>
      </c>
      <c r="V1469" s="5">
        <v>0.0065</v>
      </c>
      <c r="W1469" s="5">
        <v>0.0212</v>
      </c>
      <c r="X1469" s="5">
        <v>1.38E-4</v>
      </c>
      <c r="Y1469" s="2">
        <v>71.51322751</v>
      </c>
      <c r="AA1469" s="2" t="s">
        <v>33</v>
      </c>
    </row>
    <row r="1470">
      <c r="A1470" s="2">
        <v>3222.0</v>
      </c>
      <c r="B1470" s="2" t="s">
        <v>4340</v>
      </c>
      <c r="C1470" s="2" t="s">
        <v>7</v>
      </c>
      <c r="D1470" s="2" t="s">
        <v>4341</v>
      </c>
      <c r="E1470" s="2" t="s">
        <v>4342</v>
      </c>
      <c r="F1470" s="6">
        <v>45908.69513888889</v>
      </c>
      <c r="G1470" s="2">
        <v>49489.0</v>
      </c>
      <c r="H1470" s="2">
        <v>49489.0</v>
      </c>
      <c r="I1470" s="2">
        <v>42821.0</v>
      </c>
      <c r="J1470" s="2">
        <v>301.0</v>
      </c>
      <c r="K1470" s="2">
        <v>239.0</v>
      </c>
      <c r="L1470" s="2">
        <v>4.0</v>
      </c>
      <c r="M1470" s="4">
        <v>9692.0</v>
      </c>
      <c r="N1470" s="2" t="s">
        <v>36</v>
      </c>
      <c r="O1470" s="2">
        <v>71.0</v>
      </c>
      <c r="P1470" s="2" t="s">
        <v>189</v>
      </c>
      <c r="Q1470" s="2" t="s">
        <v>32</v>
      </c>
      <c r="R1470" s="2">
        <v>38.0</v>
      </c>
      <c r="T1470" s="2" t="s">
        <v>58</v>
      </c>
      <c r="U1470" s="2" t="b">
        <v>1</v>
      </c>
      <c r="V1470" s="5">
        <v>0.0056</v>
      </c>
      <c r="W1470" s="5">
        <v>0.0167</v>
      </c>
      <c r="X1470" s="5">
        <v>9.3E-5</v>
      </c>
      <c r="Y1470" s="2">
        <v>40.55230126</v>
      </c>
      <c r="AA1470" s="2" t="s">
        <v>33</v>
      </c>
    </row>
    <row r="1471">
      <c r="A1471" s="2">
        <v>3224.0</v>
      </c>
      <c r="B1471" s="2" t="s">
        <v>4343</v>
      </c>
      <c r="C1471" s="2" t="s">
        <v>7</v>
      </c>
      <c r="D1471" s="2" t="s">
        <v>4344</v>
      </c>
      <c r="E1471" s="2" t="s">
        <v>4345</v>
      </c>
      <c r="F1471" s="6">
        <v>45908.791666666664</v>
      </c>
      <c r="G1471" s="2">
        <v>49384.0</v>
      </c>
      <c r="H1471" s="2">
        <v>49384.0</v>
      </c>
      <c r="I1471" s="2">
        <v>42821.0</v>
      </c>
      <c r="J1471" s="2">
        <v>255.0</v>
      </c>
      <c r="K1471" s="2">
        <v>196.0</v>
      </c>
      <c r="L1471" s="2">
        <v>2.0</v>
      </c>
      <c r="M1471" s="4">
        <v>13100.0</v>
      </c>
      <c r="N1471" s="2" t="s">
        <v>36</v>
      </c>
      <c r="O1471" s="2">
        <v>71.0</v>
      </c>
      <c r="P1471" s="2" t="s">
        <v>31</v>
      </c>
      <c r="Q1471" s="2" t="s">
        <v>32</v>
      </c>
      <c r="R1471" s="2">
        <v>28.0</v>
      </c>
      <c r="U1471" s="2" t="b">
        <v>0</v>
      </c>
      <c r="V1471" s="5">
        <v>0.0046</v>
      </c>
      <c r="W1471" s="5">
        <v>0.0102</v>
      </c>
      <c r="X1471" s="5">
        <v>4.7E-5</v>
      </c>
      <c r="Y1471" s="2">
        <v>66.83673469</v>
      </c>
      <c r="AA1471" s="2" t="s">
        <v>33</v>
      </c>
    </row>
    <row r="1472">
      <c r="A1472" s="2">
        <v>3223.0</v>
      </c>
      <c r="B1472" s="2" t="s">
        <v>4346</v>
      </c>
      <c r="C1472" s="2" t="s">
        <v>7</v>
      </c>
      <c r="D1472" s="2" t="s">
        <v>4347</v>
      </c>
      <c r="E1472" s="2" t="s">
        <v>4348</v>
      </c>
      <c r="F1472" s="6">
        <v>45908.791666666664</v>
      </c>
      <c r="G1472" s="2">
        <v>65130.0</v>
      </c>
      <c r="H1472" s="2">
        <v>65130.0</v>
      </c>
      <c r="I1472" s="2">
        <v>57951.0</v>
      </c>
      <c r="J1472" s="2">
        <v>326.0</v>
      </c>
      <c r="K1472" s="2">
        <v>257.0</v>
      </c>
      <c r="L1472" s="2">
        <v>4.0</v>
      </c>
      <c r="M1472" s="4">
        <v>13344.0</v>
      </c>
      <c r="N1472" s="2" t="s">
        <v>30</v>
      </c>
      <c r="O1472" s="2">
        <v>70.0</v>
      </c>
      <c r="P1472" s="2" t="s">
        <v>189</v>
      </c>
      <c r="Q1472" s="2" t="s">
        <v>32</v>
      </c>
      <c r="R1472" s="2">
        <v>28.0</v>
      </c>
      <c r="U1472" s="2" t="b">
        <v>0</v>
      </c>
      <c r="V1472" s="5">
        <v>0.0044</v>
      </c>
      <c r="W1472" s="5">
        <v>0.0156</v>
      </c>
      <c r="X1472" s="5">
        <v>6.9E-5</v>
      </c>
      <c r="Y1472" s="2">
        <v>51.92217899</v>
      </c>
      <c r="Z1472" s="2">
        <v>6100.0</v>
      </c>
      <c r="AA1472" s="2" t="s">
        <v>33</v>
      </c>
    </row>
    <row r="1473">
      <c r="A1473" s="2">
        <v>3226.0</v>
      </c>
      <c r="B1473" s="2" t="s">
        <v>4349</v>
      </c>
      <c r="C1473" s="2" t="s">
        <v>7</v>
      </c>
      <c r="D1473" s="2" t="s">
        <v>4350</v>
      </c>
      <c r="E1473" s="2" t="s">
        <v>4351</v>
      </c>
      <c r="F1473" s="6">
        <v>45908.875</v>
      </c>
      <c r="G1473" s="2">
        <v>49392.0</v>
      </c>
      <c r="H1473" s="2">
        <v>49392.0</v>
      </c>
      <c r="I1473" s="2">
        <v>42749.0</v>
      </c>
      <c r="J1473" s="2">
        <v>344.0</v>
      </c>
      <c r="K1473" s="2">
        <v>271.0</v>
      </c>
      <c r="L1473" s="2">
        <v>5.0</v>
      </c>
      <c r="M1473" s="4">
        <v>6428.0</v>
      </c>
      <c r="N1473" s="2" t="s">
        <v>36</v>
      </c>
      <c r="O1473" s="2">
        <v>71.0</v>
      </c>
      <c r="P1473" s="2" t="s">
        <v>189</v>
      </c>
      <c r="Q1473" s="2" t="s">
        <v>32</v>
      </c>
      <c r="R1473" s="2">
        <v>30.0</v>
      </c>
      <c r="T1473" s="2" t="s">
        <v>405</v>
      </c>
      <c r="U1473" s="2" t="b">
        <v>1</v>
      </c>
      <c r="V1473" s="5">
        <v>0.0063</v>
      </c>
      <c r="W1473" s="5">
        <v>0.0185</v>
      </c>
      <c r="X1473" s="5">
        <v>1.17E-4</v>
      </c>
      <c r="Y1473" s="2">
        <v>23.7195572</v>
      </c>
      <c r="AA1473" s="2" t="s">
        <v>33</v>
      </c>
    </row>
    <row r="1474">
      <c r="A1474" s="2">
        <v>3225.0</v>
      </c>
      <c r="B1474" s="2" t="s">
        <v>4352</v>
      </c>
      <c r="C1474" s="2" t="s">
        <v>7</v>
      </c>
      <c r="D1474" s="2" t="s">
        <v>4353</v>
      </c>
      <c r="E1474" s="2" t="s">
        <v>4354</v>
      </c>
      <c r="F1474" s="6">
        <v>45908.875</v>
      </c>
      <c r="G1474" s="2">
        <v>65159.0</v>
      </c>
      <c r="H1474" s="2">
        <v>65159.0</v>
      </c>
      <c r="I1474" s="2">
        <v>57858.0</v>
      </c>
      <c r="J1474" s="2">
        <v>615.0</v>
      </c>
      <c r="K1474" s="2">
        <v>523.0</v>
      </c>
      <c r="L1474" s="2">
        <v>8.0</v>
      </c>
      <c r="M1474" s="4">
        <v>28240.0</v>
      </c>
      <c r="N1474" s="2" t="s">
        <v>30</v>
      </c>
      <c r="O1474" s="2">
        <v>70.0</v>
      </c>
      <c r="P1474" s="2" t="s">
        <v>189</v>
      </c>
      <c r="Q1474" s="2" t="s">
        <v>32</v>
      </c>
      <c r="R1474" s="2">
        <v>36.0</v>
      </c>
      <c r="T1474" s="7" t="str">
        <f>IFERROR(__xludf.DUMMYFUNCTION("AI(""has offer Come X Pay X"",D1474)"),"Come 2 Pay 1")</f>
        <v>Come 2 Pay 1</v>
      </c>
      <c r="U1474" s="2" t="b">
        <v>0</v>
      </c>
      <c r="V1474" s="5">
        <v>0.009</v>
      </c>
      <c r="W1474" s="5">
        <v>0.0153</v>
      </c>
      <c r="X1474" s="5">
        <v>1.38E-4</v>
      </c>
      <c r="Y1474" s="2">
        <v>53.99617591</v>
      </c>
      <c r="Z1474" s="2">
        <v>6340.0</v>
      </c>
      <c r="AA1474" s="2" t="s">
        <v>33</v>
      </c>
    </row>
    <row r="1475">
      <c r="A1475" s="2">
        <v>3228.0</v>
      </c>
      <c r="B1475" s="2" t="s">
        <v>4355</v>
      </c>
      <c r="C1475" s="2" t="s">
        <v>7</v>
      </c>
      <c r="D1475" s="2" t="s">
        <v>2221</v>
      </c>
      <c r="E1475" s="2" t="s">
        <v>2222</v>
      </c>
      <c r="F1475" s="6">
        <v>45909.458333333336</v>
      </c>
      <c r="G1475" s="2">
        <v>49431.0</v>
      </c>
      <c r="H1475" s="2">
        <v>49431.0</v>
      </c>
      <c r="I1475" s="2">
        <v>42390.0</v>
      </c>
      <c r="J1475" s="2">
        <v>243.0</v>
      </c>
      <c r="K1475" s="2">
        <v>194.0</v>
      </c>
      <c r="L1475" s="2">
        <v>1.0</v>
      </c>
      <c r="M1475" s="4">
        <v>5997.0</v>
      </c>
      <c r="N1475" s="2" t="s">
        <v>36</v>
      </c>
      <c r="O1475" s="2">
        <v>71.0</v>
      </c>
      <c r="P1475" s="2" t="s">
        <v>189</v>
      </c>
      <c r="Q1475" s="2" t="s">
        <v>32</v>
      </c>
      <c r="R1475" s="2">
        <v>32.0</v>
      </c>
      <c r="U1475" s="2" t="b">
        <v>0</v>
      </c>
      <c r="V1475" s="5">
        <v>0.0046</v>
      </c>
      <c r="W1475" s="5">
        <v>0.0052</v>
      </c>
      <c r="X1475" s="5">
        <v>2.4E-5</v>
      </c>
      <c r="Y1475" s="2">
        <v>30.91237113</v>
      </c>
      <c r="AA1475" s="2" t="s">
        <v>33</v>
      </c>
    </row>
    <row r="1476">
      <c r="A1476" s="2">
        <v>3227.0</v>
      </c>
      <c r="B1476" s="2" t="s">
        <v>4356</v>
      </c>
      <c r="C1476" s="2" t="s">
        <v>7</v>
      </c>
      <c r="D1476" s="2" t="s">
        <v>2667</v>
      </c>
      <c r="E1476" s="2" t="s">
        <v>2226</v>
      </c>
      <c r="F1476" s="6">
        <v>45909.458333333336</v>
      </c>
      <c r="G1476" s="2">
        <v>65183.0</v>
      </c>
      <c r="H1476" s="2">
        <v>65183.0</v>
      </c>
      <c r="I1476" s="2">
        <v>57500.0</v>
      </c>
      <c r="J1476" s="2">
        <v>235.0</v>
      </c>
      <c r="K1476" s="2">
        <v>205.0</v>
      </c>
      <c r="L1476" s="2">
        <v>1.0</v>
      </c>
      <c r="M1476" s="4">
        <v>1980.0</v>
      </c>
      <c r="N1476" s="2" t="s">
        <v>30</v>
      </c>
      <c r="O1476" s="2">
        <v>70.0</v>
      </c>
      <c r="P1476" s="2" t="s">
        <v>189</v>
      </c>
      <c r="Q1476" s="2" t="s">
        <v>32</v>
      </c>
      <c r="R1476" s="2">
        <v>28.0</v>
      </c>
      <c r="T1476" s="2" t="s">
        <v>47</v>
      </c>
      <c r="U1476" s="2" t="b">
        <v>0</v>
      </c>
      <c r="V1476" s="5">
        <v>0.0036</v>
      </c>
      <c r="W1476" s="5">
        <v>0.0049</v>
      </c>
      <c r="X1476" s="5">
        <v>1.7E-5</v>
      </c>
      <c r="Y1476" s="2">
        <v>9.658536585</v>
      </c>
      <c r="Z1476" s="2" t="s">
        <v>307</v>
      </c>
      <c r="AA1476" s="2" t="s">
        <v>33</v>
      </c>
    </row>
    <row r="1477">
      <c r="A1477" s="2">
        <v>3230.0</v>
      </c>
      <c r="B1477" s="2" t="s">
        <v>4357</v>
      </c>
      <c r="C1477" s="2" t="s">
        <v>7</v>
      </c>
      <c r="D1477" s="2" t="s">
        <v>4358</v>
      </c>
      <c r="E1477" s="2" t="s">
        <v>4359</v>
      </c>
      <c r="F1477" s="6">
        <v>45909.625</v>
      </c>
      <c r="G1477" s="2">
        <v>49484.0</v>
      </c>
      <c r="H1477" s="2">
        <v>49484.0</v>
      </c>
      <c r="I1477" s="2">
        <v>42696.0</v>
      </c>
      <c r="J1477" s="2">
        <v>384.0</v>
      </c>
      <c r="K1477" s="2">
        <v>311.0</v>
      </c>
      <c r="L1477" s="2">
        <v>5.0</v>
      </c>
      <c r="M1477" s="4">
        <v>24758.0</v>
      </c>
      <c r="N1477" s="2" t="s">
        <v>36</v>
      </c>
      <c r="O1477" s="2">
        <v>71.0</v>
      </c>
      <c r="P1477" s="2" t="s">
        <v>189</v>
      </c>
      <c r="Q1477" s="2" t="s">
        <v>32</v>
      </c>
      <c r="R1477" s="2">
        <v>28.0</v>
      </c>
      <c r="T1477" s="2" t="s">
        <v>1185</v>
      </c>
      <c r="U1477" s="2" t="b">
        <v>0</v>
      </c>
      <c r="V1477" s="5">
        <v>0.0073</v>
      </c>
      <c r="W1477" s="5">
        <v>0.0161</v>
      </c>
      <c r="X1477" s="5">
        <v>1.17E-4</v>
      </c>
      <c r="Y1477" s="2">
        <v>79.60771704</v>
      </c>
      <c r="AA1477" s="2" t="s">
        <v>33</v>
      </c>
    </row>
    <row r="1478">
      <c r="A1478" s="2">
        <v>3229.0</v>
      </c>
      <c r="B1478" s="2" t="s">
        <v>4360</v>
      </c>
      <c r="C1478" s="2" t="s">
        <v>7</v>
      </c>
      <c r="D1478" s="2" t="s">
        <v>4361</v>
      </c>
      <c r="E1478" s="2" t="s">
        <v>4362</v>
      </c>
      <c r="F1478" s="6">
        <v>45909.625</v>
      </c>
      <c r="G1478" s="2">
        <v>65227.0</v>
      </c>
      <c r="H1478" s="2">
        <v>65227.0</v>
      </c>
      <c r="I1478" s="2">
        <v>57810.0</v>
      </c>
      <c r="J1478" s="2">
        <v>391.0</v>
      </c>
      <c r="K1478" s="2">
        <v>314.0</v>
      </c>
      <c r="L1478" s="2">
        <v>9.0</v>
      </c>
      <c r="M1478" s="4">
        <v>41125.0</v>
      </c>
      <c r="N1478" s="2" t="s">
        <v>30</v>
      </c>
      <c r="O1478" s="2">
        <v>70.0</v>
      </c>
      <c r="P1478" s="2" t="s">
        <v>31</v>
      </c>
      <c r="Q1478" s="2" t="s">
        <v>32</v>
      </c>
      <c r="R1478" s="2">
        <v>33.0</v>
      </c>
      <c r="T1478" s="2" t="s">
        <v>405</v>
      </c>
      <c r="U1478" s="2" t="b">
        <v>0</v>
      </c>
      <c r="V1478" s="5">
        <v>0.0054</v>
      </c>
      <c r="W1478" s="5">
        <v>0.0287</v>
      </c>
      <c r="X1478" s="5">
        <v>1.56E-4</v>
      </c>
      <c r="Y1478" s="2">
        <v>130.9713376</v>
      </c>
      <c r="Z1478" s="2">
        <v>5623.0</v>
      </c>
      <c r="AA1478" s="2" t="s">
        <v>33</v>
      </c>
    </row>
    <row r="1479">
      <c r="A1479" s="2">
        <v>3232.0</v>
      </c>
      <c r="B1479" s="2" t="s">
        <v>4363</v>
      </c>
      <c r="C1479" s="2" t="s">
        <v>7</v>
      </c>
      <c r="D1479" s="2" t="s">
        <v>4364</v>
      </c>
      <c r="E1479" s="2" t="s">
        <v>4365</v>
      </c>
      <c r="F1479" s="6">
        <v>45909.708333333336</v>
      </c>
      <c r="G1479" s="2">
        <v>49435.0</v>
      </c>
      <c r="H1479" s="2">
        <v>49435.0</v>
      </c>
      <c r="I1479" s="2">
        <v>42789.0</v>
      </c>
      <c r="J1479" s="2">
        <v>290.0</v>
      </c>
      <c r="K1479" s="2">
        <v>236.0</v>
      </c>
      <c r="L1479" s="2">
        <v>4.0</v>
      </c>
      <c r="M1479" s="4">
        <v>9712.0</v>
      </c>
      <c r="N1479" s="2" t="s">
        <v>36</v>
      </c>
      <c r="O1479" s="2">
        <v>71.0</v>
      </c>
      <c r="P1479" s="2" t="s">
        <v>189</v>
      </c>
      <c r="Q1479" s="2" t="s">
        <v>32</v>
      </c>
      <c r="R1479" s="2">
        <v>26.0</v>
      </c>
      <c r="T1479" s="2" t="s">
        <v>47</v>
      </c>
      <c r="U1479" s="2" t="b">
        <v>0</v>
      </c>
      <c r="V1479" s="5">
        <v>0.0055</v>
      </c>
      <c r="W1479" s="5">
        <v>0.0169</v>
      </c>
      <c r="X1479" s="5">
        <v>9.3E-5</v>
      </c>
      <c r="Y1479" s="2">
        <v>41.15254237</v>
      </c>
      <c r="AA1479" s="2" t="s">
        <v>33</v>
      </c>
    </row>
    <row r="1480">
      <c r="A1480" s="2">
        <v>3231.0</v>
      </c>
      <c r="B1480" s="2" t="s">
        <v>4366</v>
      </c>
      <c r="C1480" s="2" t="s">
        <v>7</v>
      </c>
      <c r="D1480" s="2" t="s">
        <v>4367</v>
      </c>
      <c r="E1480" s="2" t="s">
        <v>4368</v>
      </c>
      <c r="F1480" s="6">
        <v>45909.708333333336</v>
      </c>
      <c r="G1480" s="2">
        <v>65202.0</v>
      </c>
      <c r="H1480" s="2">
        <v>65202.0</v>
      </c>
      <c r="I1480" s="2">
        <v>57805.0</v>
      </c>
      <c r="J1480" s="2">
        <v>439.0</v>
      </c>
      <c r="K1480" s="2">
        <v>345.0</v>
      </c>
      <c r="L1480" s="2">
        <v>8.0</v>
      </c>
      <c r="M1480" s="4">
        <v>15106.0</v>
      </c>
      <c r="N1480" s="2" t="s">
        <v>30</v>
      </c>
      <c r="O1480" s="2">
        <v>70.0</v>
      </c>
      <c r="P1480" s="2" t="s">
        <v>189</v>
      </c>
      <c r="Q1480" s="2" t="s">
        <v>32</v>
      </c>
      <c r="R1480" s="2">
        <v>24.0</v>
      </c>
      <c r="U1480" s="2" t="b">
        <v>0</v>
      </c>
      <c r="V1480" s="5">
        <v>0.006</v>
      </c>
      <c r="W1480" s="5">
        <v>0.0232</v>
      </c>
      <c r="X1480" s="5">
        <v>1.38E-4</v>
      </c>
      <c r="Y1480" s="2">
        <v>43.78550725</v>
      </c>
      <c r="Z1480" s="2">
        <v>5945.0</v>
      </c>
      <c r="AA1480" s="2" t="s">
        <v>33</v>
      </c>
    </row>
    <row r="1481">
      <c r="A1481" s="2">
        <v>3260.0</v>
      </c>
      <c r="B1481" s="2" t="s">
        <v>4369</v>
      </c>
      <c r="C1481" s="2" t="s">
        <v>7</v>
      </c>
      <c r="D1481" s="2" t="s">
        <v>4370</v>
      </c>
      <c r="E1481" s="2" t="e">
        <v>#N/A</v>
      </c>
      <c r="F1481" s="6">
        <v>45910.416666666664</v>
      </c>
      <c r="G1481" s="2">
        <v>6744.0</v>
      </c>
      <c r="H1481" s="2">
        <v>6744.0</v>
      </c>
      <c r="I1481" s="2">
        <v>5790.0</v>
      </c>
      <c r="J1481" s="2">
        <v>125.0</v>
      </c>
      <c r="K1481" s="2">
        <v>104.0</v>
      </c>
      <c r="L1481" s="2">
        <v>1.0</v>
      </c>
      <c r="M1481" s="4">
        <v>1198.0</v>
      </c>
      <c r="N1481" s="2" t="s">
        <v>423</v>
      </c>
      <c r="O1481" s="2">
        <v>119.0</v>
      </c>
      <c r="P1481" s="2" t="s">
        <v>189</v>
      </c>
      <c r="Q1481" s="2" t="s">
        <v>32</v>
      </c>
      <c r="R1481" s="2">
        <v>24.0</v>
      </c>
      <c r="T1481" s="2" t="s">
        <v>47</v>
      </c>
      <c r="U1481" s="2" t="b">
        <v>0</v>
      </c>
      <c r="V1481" s="5">
        <v>0.018</v>
      </c>
      <c r="W1481" s="5">
        <v>0.0096</v>
      </c>
      <c r="X1481" s="5">
        <v>1.73E-4</v>
      </c>
      <c r="Y1481" s="2">
        <v>11.51923077</v>
      </c>
      <c r="AA1481" s="2" t="s">
        <v>423</v>
      </c>
    </row>
    <row r="1482">
      <c r="A1482" s="2">
        <v>3234.0</v>
      </c>
      <c r="B1482" s="2" t="s">
        <v>4371</v>
      </c>
      <c r="C1482" s="2" t="s">
        <v>7</v>
      </c>
      <c r="D1482" s="2" t="s">
        <v>3333</v>
      </c>
      <c r="E1482" s="2" t="s">
        <v>3334</v>
      </c>
      <c r="F1482" s="6">
        <v>45910.458333333336</v>
      </c>
      <c r="G1482" s="2">
        <v>49517.0</v>
      </c>
      <c r="H1482" s="2">
        <v>49517.0</v>
      </c>
      <c r="I1482" s="2">
        <v>42365.0</v>
      </c>
      <c r="J1482" s="2">
        <v>252.0</v>
      </c>
      <c r="K1482" s="2">
        <v>213.0</v>
      </c>
      <c r="L1482" s="2">
        <v>2.0</v>
      </c>
      <c r="M1482" s="4">
        <v>2098.0</v>
      </c>
      <c r="N1482" s="2" t="s">
        <v>36</v>
      </c>
      <c r="O1482" s="2">
        <v>71.0</v>
      </c>
      <c r="P1482" s="2" t="s">
        <v>189</v>
      </c>
      <c r="Q1482" s="2" t="s">
        <v>32</v>
      </c>
      <c r="R1482" s="2">
        <v>43.0</v>
      </c>
      <c r="T1482" s="2" t="s">
        <v>47</v>
      </c>
      <c r="U1482" s="2" t="b">
        <v>0</v>
      </c>
      <c r="V1482" s="5">
        <v>0.005</v>
      </c>
      <c r="W1482" s="5">
        <v>0.0094</v>
      </c>
      <c r="X1482" s="5">
        <v>4.7E-5</v>
      </c>
      <c r="Y1482" s="2">
        <v>9.849765258</v>
      </c>
      <c r="AA1482" s="2" t="s">
        <v>33</v>
      </c>
    </row>
    <row r="1483">
      <c r="A1483" s="2">
        <v>3233.0</v>
      </c>
      <c r="B1483" s="2" t="s">
        <v>4372</v>
      </c>
      <c r="C1483" s="2" t="s">
        <v>7</v>
      </c>
      <c r="D1483" s="2" t="s">
        <v>3908</v>
      </c>
      <c r="E1483" s="2" t="s">
        <v>3337</v>
      </c>
      <c r="F1483" s="6">
        <v>45910.458333333336</v>
      </c>
      <c r="G1483" s="2">
        <v>65260.0</v>
      </c>
      <c r="H1483" s="2">
        <v>65260.0</v>
      </c>
      <c r="I1483" s="2">
        <v>57568.0</v>
      </c>
      <c r="J1483" s="2">
        <v>304.0</v>
      </c>
      <c r="K1483" s="2">
        <v>257.0</v>
      </c>
      <c r="L1483" s="2">
        <v>4.0</v>
      </c>
      <c r="M1483" s="4">
        <v>3284.0</v>
      </c>
      <c r="N1483" s="2" t="s">
        <v>30</v>
      </c>
      <c r="O1483" s="2">
        <v>70.0</v>
      </c>
      <c r="P1483" s="2" t="s">
        <v>189</v>
      </c>
      <c r="Q1483" s="2" t="s">
        <v>32</v>
      </c>
      <c r="R1483" s="2">
        <v>31.0</v>
      </c>
      <c r="U1483" s="2" t="b">
        <v>0</v>
      </c>
      <c r="V1483" s="5">
        <v>0.0045</v>
      </c>
      <c r="W1483" s="5">
        <v>0.0156</v>
      </c>
      <c r="X1483" s="5">
        <v>6.9E-5</v>
      </c>
      <c r="Y1483" s="2">
        <v>12.77821012</v>
      </c>
      <c r="AA1483" s="2" t="s">
        <v>33</v>
      </c>
    </row>
    <row r="1484">
      <c r="A1484" s="2">
        <v>3268.0</v>
      </c>
      <c r="B1484" s="2" t="s">
        <v>4373</v>
      </c>
      <c r="C1484" s="2" t="s">
        <v>7</v>
      </c>
      <c r="D1484" s="2" t="s">
        <v>4374</v>
      </c>
      <c r="E1484" s="2" t="s">
        <v>4375</v>
      </c>
      <c r="F1484" s="6">
        <v>45910.583333333336</v>
      </c>
      <c r="G1484" s="2">
        <v>4775.0</v>
      </c>
      <c r="H1484" s="2">
        <v>4775.0</v>
      </c>
      <c r="I1484" s="2">
        <v>4148.0</v>
      </c>
      <c r="J1484" s="2">
        <v>103.0</v>
      </c>
      <c r="K1484" s="2">
        <v>89.0</v>
      </c>
      <c r="L1484" s="2">
        <v>1.0</v>
      </c>
      <c r="M1484" s="4">
        <v>1495.0</v>
      </c>
      <c r="N1484" s="2" t="s">
        <v>423</v>
      </c>
      <c r="O1484" s="2">
        <v>119.0</v>
      </c>
      <c r="P1484" s="2" t="s">
        <v>31</v>
      </c>
      <c r="Q1484" s="2" t="s">
        <v>32</v>
      </c>
      <c r="R1484" s="2">
        <v>23.0</v>
      </c>
      <c r="U1484" s="2" t="b">
        <v>0</v>
      </c>
      <c r="V1484" s="5">
        <v>0.0215</v>
      </c>
      <c r="W1484" s="5">
        <v>0.0112</v>
      </c>
      <c r="X1484" s="5">
        <v>2.41E-4</v>
      </c>
      <c r="Y1484" s="2">
        <v>16.79775281</v>
      </c>
      <c r="AA1484" s="2" t="s">
        <v>423</v>
      </c>
    </row>
    <row r="1485">
      <c r="A1485" s="2">
        <v>3236.0</v>
      </c>
      <c r="B1485" s="2" t="s">
        <v>4376</v>
      </c>
      <c r="C1485" s="2" t="s">
        <v>7</v>
      </c>
      <c r="D1485" s="2" t="s">
        <v>4377</v>
      </c>
      <c r="E1485" s="2" t="s">
        <v>4378</v>
      </c>
      <c r="F1485" s="6">
        <v>45910.625</v>
      </c>
      <c r="G1485" s="2">
        <v>49523.0</v>
      </c>
      <c r="H1485" s="2">
        <v>49523.0</v>
      </c>
      <c r="I1485" s="2">
        <v>42728.0</v>
      </c>
      <c r="J1485" s="2">
        <v>343.0</v>
      </c>
      <c r="K1485" s="2">
        <v>285.0</v>
      </c>
      <c r="L1485" s="2">
        <v>8.0</v>
      </c>
      <c r="M1485" s="4">
        <v>17903.0</v>
      </c>
      <c r="N1485" s="2" t="s">
        <v>36</v>
      </c>
      <c r="O1485" s="2">
        <v>71.0</v>
      </c>
      <c r="P1485" s="2" t="s">
        <v>31</v>
      </c>
      <c r="Q1485" s="2" t="s">
        <v>32</v>
      </c>
      <c r="R1485" s="2">
        <v>41.0</v>
      </c>
      <c r="T1485" s="2" t="s">
        <v>162</v>
      </c>
      <c r="U1485" s="2" t="b">
        <v>0</v>
      </c>
      <c r="V1485" s="5">
        <v>0.0067</v>
      </c>
      <c r="W1485" s="5">
        <v>0.0281</v>
      </c>
      <c r="X1485" s="5">
        <v>1.87E-4</v>
      </c>
      <c r="Y1485" s="2">
        <v>62.81754386</v>
      </c>
      <c r="AA1485" s="2" t="s">
        <v>33</v>
      </c>
    </row>
    <row r="1486">
      <c r="A1486" s="2">
        <v>3235.0</v>
      </c>
      <c r="B1486" s="2" t="s">
        <v>4379</v>
      </c>
      <c r="C1486" s="2" t="s">
        <v>7</v>
      </c>
      <c r="D1486" s="2" t="s">
        <v>4380</v>
      </c>
      <c r="E1486" s="2" t="s">
        <v>4381</v>
      </c>
      <c r="F1486" s="6">
        <v>45910.625</v>
      </c>
      <c r="G1486" s="2">
        <v>65270.0</v>
      </c>
      <c r="H1486" s="2">
        <v>65270.0</v>
      </c>
      <c r="I1486" s="2">
        <v>57848.0</v>
      </c>
      <c r="J1486" s="2">
        <v>670.0</v>
      </c>
      <c r="K1486" s="2">
        <v>542.0</v>
      </c>
      <c r="L1486" s="2">
        <v>4.0</v>
      </c>
      <c r="M1486" s="4">
        <v>16519.0</v>
      </c>
      <c r="N1486" s="2" t="s">
        <v>30</v>
      </c>
      <c r="O1486" s="2">
        <v>70.0</v>
      </c>
      <c r="P1486" s="2" t="s">
        <v>31</v>
      </c>
      <c r="Q1486" s="2" t="s">
        <v>32</v>
      </c>
      <c r="R1486" s="2">
        <v>34.0</v>
      </c>
      <c r="T1486" s="7" t="str">
        <f>IFERROR(__xludf.DUMMYFUNCTION("AI(""has offer Come X Pay X"",D1486)"),"Come 2 Pay 1")</f>
        <v>Come 2 Pay 1</v>
      </c>
      <c r="U1486" s="2" t="b">
        <v>0</v>
      </c>
      <c r="V1486" s="5">
        <v>0.0094</v>
      </c>
      <c r="W1486" s="5">
        <v>0.0074</v>
      </c>
      <c r="X1486" s="5">
        <v>6.9E-5</v>
      </c>
      <c r="Y1486" s="2">
        <v>30.47785978</v>
      </c>
      <c r="Z1486" s="2">
        <v>5046.0</v>
      </c>
      <c r="AA1486" s="2" t="s">
        <v>33</v>
      </c>
    </row>
    <row r="1487">
      <c r="A1487" s="2">
        <v>3238.0</v>
      </c>
      <c r="B1487" s="2" t="s">
        <v>4382</v>
      </c>
      <c r="C1487" s="2" t="s">
        <v>7</v>
      </c>
      <c r="D1487" s="2" t="s">
        <v>4383</v>
      </c>
      <c r="E1487" s="2" t="s">
        <v>4384</v>
      </c>
      <c r="F1487" s="6">
        <v>45910.708333333336</v>
      </c>
      <c r="G1487" s="2">
        <v>49491.0</v>
      </c>
      <c r="H1487" s="2">
        <v>49491.0</v>
      </c>
      <c r="I1487" s="2">
        <v>42634.0</v>
      </c>
      <c r="J1487" s="2">
        <v>274.0</v>
      </c>
      <c r="K1487" s="2">
        <v>214.0</v>
      </c>
      <c r="L1487" s="2">
        <v>5.0</v>
      </c>
      <c r="M1487" s="4">
        <v>15525.0</v>
      </c>
      <c r="N1487" s="2" t="s">
        <v>36</v>
      </c>
      <c r="O1487" s="2">
        <v>71.0</v>
      </c>
      <c r="P1487" s="2" t="s">
        <v>189</v>
      </c>
      <c r="Q1487" s="2" t="s">
        <v>32</v>
      </c>
      <c r="R1487" s="2">
        <v>30.0</v>
      </c>
      <c r="T1487" s="2" t="s">
        <v>47</v>
      </c>
      <c r="U1487" s="2" t="b">
        <v>0</v>
      </c>
      <c r="V1487" s="5">
        <v>0.005</v>
      </c>
      <c r="W1487" s="5">
        <v>0.0234</v>
      </c>
      <c r="X1487" s="5">
        <v>1.17E-4</v>
      </c>
      <c r="Y1487" s="2">
        <v>72.54672897</v>
      </c>
      <c r="AA1487" s="2" t="s">
        <v>33</v>
      </c>
    </row>
    <row r="1488">
      <c r="A1488" s="2">
        <v>3237.0</v>
      </c>
      <c r="B1488" s="2" t="s">
        <v>4385</v>
      </c>
      <c r="C1488" s="2" t="s">
        <v>7</v>
      </c>
      <c r="D1488" s="2" t="s">
        <v>4386</v>
      </c>
      <c r="E1488" s="2" t="s">
        <v>4387</v>
      </c>
      <c r="F1488" s="6">
        <v>45910.708333333336</v>
      </c>
      <c r="G1488" s="2">
        <v>65259.0</v>
      </c>
      <c r="H1488" s="2">
        <v>65259.0</v>
      </c>
      <c r="I1488" s="2">
        <v>57846.0</v>
      </c>
      <c r="J1488" s="2">
        <v>295.0</v>
      </c>
      <c r="K1488" s="2">
        <v>223.0</v>
      </c>
      <c r="L1488" s="2">
        <v>2.0</v>
      </c>
      <c r="M1488" s="4">
        <v>4397.0</v>
      </c>
      <c r="N1488" s="2" t="s">
        <v>30</v>
      </c>
      <c r="O1488" s="2">
        <v>70.0</v>
      </c>
      <c r="P1488" s="2" t="s">
        <v>189</v>
      </c>
      <c r="Q1488" s="2" t="s">
        <v>32</v>
      </c>
      <c r="R1488" s="2">
        <v>43.0</v>
      </c>
      <c r="U1488" s="2" t="b">
        <v>0</v>
      </c>
      <c r="V1488" s="5">
        <v>0.0039</v>
      </c>
      <c r="W1488" s="5">
        <v>0.009</v>
      </c>
      <c r="X1488" s="5">
        <v>3.5E-5</v>
      </c>
      <c r="Y1488" s="2">
        <v>19.71748879</v>
      </c>
      <c r="Z1488" s="2">
        <v>2451.0</v>
      </c>
      <c r="AA1488" s="2" t="s">
        <v>33</v>
      </c>
    </row>
    <row r="1489">
      <c r="A1489" s="2">
        <v>3240.0</v>
      </c>
      <c r="B1489" s="2" t="s">
        <v>4388</v>
      </c>
      <c r="C1489" s="2" t="s">
        <v>7</v>
      </c>
      <c r="D1489" s="2" t="s">
        <v>4389</v>
      </c>
      <c r="E1489" s="2" t="e">
        <v>#N/A</v>
      </c>
      <c r="F1489" s="6">
        <v>45911.458333333336</v>
      </c>
      <c r="G1489" s="2">
        <v>49540.0</v>
      </c>
      <c r="H1489" s="2">
        <v>49540.0</v>
      </c>
      <c r="I1489" s="2">
        <v>42344.0</v>
      </c>
      <c r="J1489" s="2">
        <v>335.0</v>
      </c>
      <c r="K1489" s="2">
        <v>260.0</v>
      </c>
      <c r="L1489" s="2">
        <v>6.0</v>
      </c>
      <c r="M1489" s="4">
        <v>18814.0</v>
      </c>
      <c r="N1489" s="2" t="s">
        <v>36</v>
      </c>
      <c r="O1489" s="2">
        <v>71.0</v>
      </c>
      <c r="P1489" s="2" t="s">
        <v>189</v>
      </c>
      <c r="Q1489" s="2" t="s">
        <v>32</v>
      </c>
      <c r="R1489" s="2">
        <v>29.0</v>
      </c>
      <c r="U1489" s="2" t="b">
        <v>1</v>
      </c>
      <c r="V1489" s="5">
        <v>0.0061</v>
      </c>
      <c r="W1489" s="5">
        <v>0.0231</v>
      </c>
      <c r="X1489" s="5">
        <v>1.42E-4</v>
      </c>
      <c r="Y1489" s="2">
        <v>72.36153846</v>
      </c>
      <c r="AA1489" s="2" t="s">
        <v>33</v>
      </c>
    </row>
    <row r="1490">
      <c r="A1490" s="2">
        <v>3239.0</v>
      </c>
      <c r="B1490" s="2" t="s">
        <v>4390</v>
      </c>
      <c r="C1490" s="2" t="s">
        <v>7</v>
      </c>
      <c r="D1490" s="2" t="s">
        <v>4391</v>
      </c>
      <c r="E1490" s="2" t="e">
        <v>#N/A</v>
      </c>
      <c r="F1490" s="6">
        <v>45911.458333333336</v>
      </c>
      <c r="G1490" s="2">
        <v>65294.0</v>
      </c>
      <c r="H1490" s="2">
        <v>65294.0</v>
      </c>
      <c r="I1490" s="2">
        <v>57577.0</v>
      </c>
      <c r="J1490" s="2">
        <v>424.0</v>
      </c>
      <c r="K1490" s="2">
        <v>348.0</v>
      </c>
      <c r="L1490" s="2">
        <v>10.0</v>
      </c>
      <c r="M1490" s="4">
        <v>25114.0</v>
      </c>
      <c r="N1490" s="2" t="s">
        <v>30</v>
      </c>
      <c r="O1490" s="2">
        <v>70.0</v>
      </c>
      <c r="P1490" s="2" t="s">
        <v>189</v>
      </c>
      <c r="Q1490" s="2" t="s">
        <v>32</v>
      </c>
      <c r="R1490" s="2">
        <v>28.0</v>
      </c>
      <c r="T1490" s="2" t="s">
        <v>405</v>
      </c>
      <c r="U1490" s="2" t="b">
        <v>0</v>
      </c>
      <c r="V1490" s="5">
        <v>0.006</v>
      </c>
      <c r="W1490" s="5">
        <v>0.0287</v>
      </c>
      <c r="X1490" s="5">
        <v>1.74E-4</v>
      </c>
      <c r="Y1490" s="2">
        <v>72.16666667</v>
      </c>
      <c r="AA1490" s="2" t="s">
        <v>33</v>
      </c>
    </row>
    <row r="1491">
      <c r="A1491" s="2">
        <v>3242.0</v>
      </c>
      <c r="B1491" s="2" t="s">
        <v>4392</v>
      </c>
      <c r="C1491" s="2" t="s">
        <v>7</v>
      </c>
      <c r="D1491" s="2" t="s">
        <v>4393</v>
      </c>
      <c r="E1491" s="2" t="s">
        <v>4394</v>
      </c>
      <c r="F1491" s="6">
        <v>45911.625</v>
      </c>
      <c r="G1491" s="2">
        <v>49525.0</v>
      </c>
      <c r="H1491" s="2">
        <v>49525.0</v>
      </c>
      <c r="I1491" s="2">
        <v>42620.0</v>
      </c>
      <c r="J1491" s="2">
        <v>280.0</v>
      </c>
      <c r="K1491" s="2">
        <v>216.0</v>
      </c>
      <c r="L1491" s="2">
        <v>3.0</v>
      </c>
      <c r="M1491" s="4">
        <v>17101.0</v>
      </c>
      <c r="N1491" s="2" t="s">
        <v>36</v>
      </c>
      <c r="O1491" s="2">
        <v>71.0</v>
      </c>
      <c r="P1491" s="2" t="s">
        <v>31</v>
      </c>
      <c r="Q1491" s="2" t="s">
        <v>32</v>
      </c>
      <c r="R1491" s="2">
        <v>40.0</v>
      </c>
      <c r="U1491" s="2" t="b">
        <v>1</v>
      </c>
      <c r="V1491" s="5">
        <v>0.0051</v>
      </c>
      <c r="W1491" s="5">
        <v>0.0139</v>
      </c>
      <c r="X1491" s="5">
        <v>7.0E-5</v>
      </c>
      <c r="Y1491" s="2">
        <v>79.1712963</v>
      </c>
      <c r="AA1491" s="2" t="s">
        <v>33</v>
      </c>
    </row>
    <row r="1492">
      <c r="A1492" s="2">
        <v>3241.0</v>
      </c>
      <c r="B1492" s="2" t="s">
        <v>4395</v>
      </c>
      <c r="C1492" s="2" t="s">
        <v>7</v>
      </c>
      <c r="D1492" s="2" t="s">
        <v>4396</v>
      </c>
      <c r="E1492" s="2" t="s">
        <v>4397</v>
      </c>
      <c r="F1492" s="6">
        <v>45911.625</v>
      </c>
      <c r="G1492" s="2">
        <v>65300.0</v>
      </c>
      <c r="H1492" s="2">
        <v>65300.0</v>
      </c>
      <c r="I1492" s="2">
        <v>57890.0</v>
      </c>
      <c r="J1492" s="2">
        <v>310.0</v>
      </c>
      <c r="K1492" s="2">
        <v>253.0</v>
      </c>
      <c r="L1492" s="2">
        <v>5.0</v>
      </c>
      <c r="M1492" s="4">
        <v>28754.0</v>
      </c>
      <c r="N1492" s="2" t="s">
        <v>30</v>
      </c>
      <c r="O1492" s="2">
        <v>70.0</v>
      </c>
      <c r="P1492" s="2" t="s">
        <v>31</v>
      </c>
      <c r="Q1492" s="2" t="s">
        <v>32</v>
      </c>
      <c r="R1492" s="2">
        <v>37.0</v>
      </c>
      <c r="U1492" s="2" t="b">
        <v>0</v>
      </c>
      <c r="V1492" s="5">
        <v>0.0044</v>
      </c>
      <c r="W1492" s="5">
        <v>0.0198</v>
      </c>
      <c r="X1492" s="5">
        <v>8.6E-5</v>
      </c>
      <c r="Y1492" s="2">
        <v>113.6521739</v>
      </c>
      <c r="Z1492" s="2">
        <v>3674.0</v>
      </c>
      <c r="AA1492" s="2" t="s">
        <v>33</v>
      </c>
    </row>
    <row r="1493">
      <c r="A1493" s="2">
        <v>3244.0</v>
      </c>
      <c r="B1493" s="2" t="s">
        <v>4398</v>
      </c>
      <c r="C1493" s="2" t="s">
        <v>7</v>
      </c>
      <c r="D1493" s="2" t="s">
        <v>4399</v>
      </c>
      <c r="E1493" s="2" t="s">
        <v>4400</v>
      </c>
      <c r="F1493" s="6">
        <v>45911.708333333336</v>
      </c>
      <c r="G1493" s="2">
        <v>49535.0</v>
      </c>
      <c r="H1493" s="2">
        <v>49535.0</v>
      </c>
      <c r="I1493" s="2">
        <v>42611.0</v>
      </c>
      <c r="J1493" s="2">
        <v>332.0</v>
      </c>
      <c r="K1493" s="2">
        <v>258.0</v>
      </c>
      <c r="L1493" s="2">
        <v>2.0</v>
      </c>
      <c r="M1493" s="4">
        <v>4946.0</v>
      </c>
      <c r="N1493" s="2" t="s">
        <v>36</v>
      </c>
      <c r="O1493" s="2">
        <v>71.0</v>
      </c>
      <c r="P1493" s="2" t="s">
        <v>189</v>
      </c>
      <c r="Q1493" s="2" t="s">
        <v>32</v>
      </c>
      <c r="R1493" s="2">
        <v>39.0</v>
      </c>
      <c r="T1493" s="2" t="s">
        <v>47</v>
      </c>
      <c r="U1493" s="2" t="b">
        <v>0</v>
      </c>
      <c r="V1493" s="5">
        <v>0.0061</v>
      </c>
      <c r="W1493" s="5">
        <v>0.0078</v>
      </c>
      <c r="X1493" s="5">
        <v>4.7E-5</v>
      </c>
      <c r="Y1493" s="2">
        <v>19.17054264</v>
      </c>
      <c r="AA1493" s="2" t="s">
        <v>33</v>
      </c>
    </row>
    <row r="1494">
      <c r="A1494" s="2">
        <v>3243.0</v>
      </c>
      <c r="B1494" s="2" t="s">
        <v>4401</v>
      </c>
      <c r="C1494" s="2" t="s">
        <v>7</v>
      </c>
      <c r="D1494" s="2" t="s">
        <v>4402</v>
      </c>
      <c r="E1494" s="2" t="s">
        <v>4403</v>
      </c>
      <c r="F1494" s="6">
        <v>45911.708333333336</v>
      </c>
      <c r="G1494" s="2">
        <v>65322.0</v>
      </c>
      <c r="H1494" s="2">
        <v>65322.0</v>
      </c>
      <c r="I1494" s="2">
        <v>57869.0</v>
      </c>
      <c r="J1494" s="2">
        <v>362.0</v>
      </c>
      <c r="K1494" s="2">
        <v>301.0</v>
      </c>
      <c r="L1494" s="2">
        <v>3.0</v>
      </c>
      <c r="M1494" s="4">
        <v>3786.0</v>
      </c>
      <c r="N1494" s="2" t="s">
        <v>30</v>
      </c>
      <c r="O1494" s="2">
        <v>70.0</v>
      </c>
      <c r="P1494" s="2" t="s">
        <v>189</v>
      </c>
      <c r="Q1494" s="2" t="s">
        <v>32</v>
      </c>
      <c r="R1494" s="2">
        <v>39.0</v>
      </c>
      <c r="T1494" s="2" t="s">
        <v>4404</v>
      </c>
      <c r="U1494" s="2" t="b">
        <v>0</v>
      </c>
      <c r="V1494" s="5">
        <v>0.0052</v>
      </c>
      <c r="W1494" s="5">
        <v>0.01</v>
      </c>
      <c r="X1494" s="5">
        <v>5.2E-5</v>
      </c>
      <c r="Y1494" s="2">
        <v>12.57807309</v>
      </c>
      <c r="Z1494" s="2">
        <v>4669.0</v>
      </c>
      <c r="AA1494" s="2" t="s">
        <v>33</v>
      </c>
    </row>
    <row r="1495">
      <c r="A1495" s="2">
        <v>3246.0</v>
      </c>
      <c r="B1495" s="2" t="s">
        <v>4405</v>
      </c>
      <c r="C1495" s="2" t="s">
        <v>7</v>
      </c>
      <c r="D1495" s="2" t="s">
        <v>4406</v>
      </c>
      <c r="E1495" s="2" t="s">
        <v>4407</v>
      </c>
      <c r="F1495" s="6">
        <v>45912.458333333336</v>
      </c>
      <c r="G1495" s="2">
        <v>49601.0</v>
      </c>
      <c r="H1495" s="2">
        <v>49601.0</v>
      </c>
      <c r="I1495" s="2">
        <v>42367.0</v>
      </c>
      <c r="J1495" s="2">
        <v>252.0</v>
      </c>
      <c r="K1495" s="2">
        <v>194.0</v>
      </c>
      <c r="L1495" s="2">
        <v>5.0</v>
      </c>
      <c r="M1495" s="4">
        <v>17041.0</v>
      </c>
      <c r="N1495" s="2" t="s">
        <v>36</v>
      </c>
      <c r="O1495" s="2">
        <v>71.0</v>
      </c>
      <c r="P1495" s="2" t="s">
        <v>189</v>
      </c>
      <c r="Q1495" s="2" t="s">
        <v>32</v>
      </c>
      <c r="R1495" s="2">
        <v>38.0</v>
      </c>
      <c r="T1495" s="2" t="s">
        <v>58</v>
      </c>
      <c r="U1495" s="2" t="b">
        <v>1</v>
      </c>
      <c r="V1495" s="5">
        <v>0.0046</v>
      </c>
      <c r="W1495" s="5">
        <v>0.0258</v>
      </c>
      <c r="X1495" s="5">
        <v>1.18E-4</v>
      </c>
      <c r="Y1495" s="2">
        <v>87.84020619</v>
      </c>
      <c r="AA1495" s="2" t="s">
        <v>33</v>
      </c>
    </row>
    <row r="1496">
      <c r="A1496" s="2">
        <v>3245.0</v>
      </c>
      <c r="B1496" s="2" t="s">
        <v>4408</v>
      </c>
      <c r="C1496" s="2" t="s">
        <v>7</v>
      </c>
      <c r="D1496" s="2" t="s">
        <v>4409</v>
      </c>
      <c r="E1496" s="2" t="s">
        <v>4410</v>
      </c>
      <c r="F1496" s="6">
        <v>45912.458333333336</v>
      </c>
      <c r="G1496" s="2">
        <v>65320.0</v>
      </c>
      <c r="H1496" s="2">
        <v>65320.0</v>
      </c>
      <c r="I1496" s="2">
        <v>57544.0</v>
      </c>
      <c r="J1496" s="2">
        <v>327.0</v>
      </c>
      <c r="K1496" s="2">
        <v>255.0</v>
      </c>
      <c r="L1496" s="2">
        <v>3.0</v>
      </c>
      <c r="M1496" s="4">
        <v>7031.0</v>
      </c>
      <c r="N1496" s="2" t="s">
        <v>30</v>
      </c>
      <c r="O1496" s="2">
        <v>70.0</v>
      </c>
      <c r="P1496" s="2" t="s">
        <v>189</v>
      </c>
      <c r="Q1496" s="2" t="s">
        <v>32</v>
      </c>
      <c r="R1496" s="2">
        <v>37.0</v>
      </c>
      <c r="T1496" s="2" t="s">
        <v>143</v>
      </c>
      <c r="U1496" s="2" t="b">
        <v>0</v>
      </c>
      <c r="V1496" s="5">
        <v>0.0044</v>
      </c>
      <c r="W1496" s="5">
        <v>0.0118</v>
      </c>
      <c r="X1496" s="5">
        <v>5.2E-5</v>
      </c>
      <c r="Y1496" s="2">
        <v>27.57254902</v>
      </c>
      <c r="Z1496" s="2">
        <v>5456.0</v>
      </c>
      <c r="AA1496" s="2" t="s">
        <v>33</v>
      </c>
    </row>
    <row r="1497">
      <c r="A1497" s="2">
        <v>3249.0</v>
      </c>
      <c r="B1497" s="2" t="s">
        <v>4411</v>
      </c>
      <c r="C1497" s="2" t="s">
        <v>7</v>
      </c>
      <c r="D1497" s="2" t="s">
        <v>4412</v>
      </c>
      <c r="E1497" s="2" t="s">
        <v>4413</v>
      </c>
      <c r="F1497" s="6">
        <v>45912.625</v>
      </c>
      <c r="G1497" s="2">
        <v>49618.0</v>
      </c>
      <c r="H1497" s="2">
        <v>49618.0</v>
      </c>
      <c r="I1497" s="2">
        <v>42603.0</v>
      </c>
      <c r="J1497" s="2">
        <v>304.0</v>
      </c>
      <c r="K1497" s="2">
        <v>241.0</v>
      </c>
      <c r="L1497" s="2">
        <v>4.0</v>
      </c>
      <c r="M1497" s="4">
        <v>36889.0</v>
      </c>
      <c r="N1497" s="2" t="s">
        <v>36</v>
      </c>
      <c r="O1497" s="2">
        <v>71.0</v>
      </c>
      <c r="P1497" s="2" t="s">
        <v>189</v>
      </c>
      <c r="Q1497" s="2" t="s">
        <v>32</v>
      </c>
      <c r="R1497" s="2">
        <v>36.0</v>
      </c>
      <c r="T1497" s="2" t="s">
        <v>58</v>
      </c>
      <c r="U1497" s="2" t="b">
        <v>1</v>
      </c>
      <c r="V1497" s="5">
        <v>0.0057</v>
      </c>
      <c r="W1497" s="5">
        <v>0.0166</v>
      </c>
      <c r="X1497" s="5">
        <v>9.4E-5</v>
      </c>
      <c r="Y1497" s="2">
        <v>153.06639</v>
      </c>
      <c r="AA1497" s="2" t="s">
        <v>33</v>
      </c>
    </row>
    <row r="1498">
      <c r="A1498" s="2">
        <v>3248.0</v>
      </c>
      <c r="B1498" s="2" t="s">
        <v>4414</v>
      </c>
      <c r="C1498" s="2" t="s">
        <v>7</v>
      </c>
      <c r="D1498" s="2" t="s">
        <v>4415</v>
      </c>
      <c r="E1498" s="2" t="s">
        <v>4416</v>
      </c>
      <c r="F1498" s="6">
        <v>45912.625</v>
      </c>
      <c r="G1498" s="2">
        <v>65344.0</v>
      </c>
      <c r="H1498" s="2">
        <v>65344.0</v>
      </c>
      <c r="I1498" s="2">
        <v>57748.0</v>
      </c>
      <c r="J1498" s="2">
        <v>425.0</v>
      </c>
      <c r="K1498" s="2">
        <v>350.0</v>
      </c>
      <c r="L1498" s="2">
        <v>3.0</v>
      </c>
      <c r="M1498" s="4">
        <v>8618.0</v>
      </c>
      <c r="N1498" s="2" t="s">
        <v>30</v>
      </c>
      <c r="O1498" s="2">
        <v>70.0</v>
      </c>
      <c r="P1498" s="2" t="s">
        <v>189</v>
      </c>
      <c r="Q1498" s="2" t="s">
        <v>32</v>
      </c>
      <c r="R1498" s="2">
        <v>35.0</v>
      </c>
      <c r="T1498" s="2" t="s">
        <v>58</v>
      </c>
      <c r="U1498" s="2" t="b">
        <v>0</v>
      </c>
      <c r="V1498" s="5">
        <v>0.0061</v>
      </c>
      <c r="W1498" s="5">
        <v>0.0086</v>
      </c>
      <c r="X1498" s="5">
        <v>5.2E-5</v>
      </c>
      <c r="Y1498" s="2">
        <v>24.62285714</v>
      </c>
      <c r="AA1498" s="2" t="s">
        <v>33</v>
      </c>
    </row>
    <row r="1499">
      <c r="A1499" s="2">
        <v>3250.0</v>
      </c>
      <c r="B1499" s="2" t="s">
        <v>4417</v>
      </c>
      <c r="C1499" s="2" t="s">
        <v>7</v>
      </c>
      <c r="D1499" s="2" t="s">
        <v>4418</v>
      </c>
      <c r="E1499" s="2" t="s">
        <v>4419</v>
      </c>
      <c r="F1499" s="6">
        <v>45912.708333333336</v>
      </c>
      <c r="G1499" s="2">
        <v>65314.0</v>
      </c>
      <c r="H1499" s="2">
        <v>65314.0</v>
      </c>
      <c r="I1499" s="2">
        <v>57709.0</v>
      </c>
      <c r="J1499" s="2">
        <v>280.0</v>
      </c>
      <c r="K1499" s="2">
        <v>224.0</v>
      </c>
      <c r="L1499" s="2">
        <v>2.0</v>
      </c>
      <c r="M1499" s="4">
        <v>1360.0</v>
      </c>
      <c r="N1499" s="2" t="s">
        <v>30</v>
      </c>
      <c r="O1499" s="2">
        <v>70.0</v>
      </c>
      <c r="P1499" s="2" t="s">
        <v>189</v>
      </c>
      <c r="Q1499" s="2" t="s">
        <v>32</v>
      </c>
      <c r="R1499" s="2">
        <v>44.0</v>
      </c>
      <c r="T1499" s="2" t="s">
        <v>47</v>
      </c>
      <c r="U1499" s="2" t="b">
        <v>0</v>
      </c>
      <c r="V1499" s="5">
        <v>0.0039</v>
      </c>
      <c r="W1499" s="5">
        <v>0.0089</v>
      </c>
      <c r="X1499" s="5">
        <v>3.5E-5</v>
      </c>
      <c r="Y1499" s="2">
        <v>6.071428571</v>
      </c>
      <c r="Z1499" s="2">
        <v>3600.0</v>
      </c>
      <c r="AA1499" s="2" t="s">
        <v>33</v>
      </c>
    </row>
    <row r="1500">
      <c r="A1500" s="2">
        <v>3302.0</v>
      </c>
      <c r="B1500" s="2" t="s">
        <v>4420</v>
      </c>
      <c r="C1500" s="2" t="s">
        <v>7</v>
      </c>
      <c r="D1500" s="2" t="s">
        <v>4421</v>
      </c>
      <c r="E1500" s="2" t="s">
        <v>4422</v>
      </c>
      <c r="F1500" s="6">
        <v>45912.708333333336</v>
      </c>
      <c r="G1500" s="2">
        <v>6545.0</v>
      </c>
      <c r="H1500" s="2">
        <v>6545.0</v>
      </c>
      <c r="I1500" s="2">
        <v>5598.0</v>
      </c>
      <c r="J1500" s="2">
        <v>55.0</v>
      </c>
      <c r="K1500" s="2">
        <v>48.0</v>
      </c>
      <c r="L1500" s="2">
        <v>1.0</v>
      </c>
      <c r="M1500" s="4">
        <v>1794.0</v>
      </c>
      <c r="N1500" s="2" t="s">
        <v>423</v>
      </c>
      <c r="O1500" s="2">
        <v>119.0</v>
      </c>
      <c r="P1500" s="2" t="s">
        <v>189</v>
      </c>
      <c r="Q1500" s="2" t="s">
        <v>32</v>
      </c>
      <c r="R1500" s="2">
        <v>31.0</v>
      </c>
      <c r="T1500" s="2" t="s">
        <v>47</v>
      </c>
      <c r="U1500" s="2" t="b">
        <v>0</v>
      </c>
      <c r="V1500" s="5">
        <v>0.0086</v>
      </c>
      <c r="W1500" s="5">
        <v>0.0208</v>
      </c>
      <c r="X1500" s="5">
        <v>1.79E-4</v>
      </c>
      <c r="Y1500" s="2">
        <v>37.375</v>
      </c>
      <c r="AA1500" s="2" t="s">
        <v>423</v>
      </c>
    </row>
    <row r="1501">
      <c r="A1501" s="2">
        <v>3303.0</v>
      </c>
      <c r="B1501" s="2" t="s">
        <v>4423</v>
      </c>
      <c r="C1501" s="2" t="s">
        <v>7</v>
      </c>
      <c r="D1501" s="2" t="s">
        <v>4424</v>
      </c>
      <c r="E1501" s="2" t="s">
        <v>4425</v>
      </c>
      <c r="F1501" s="6">
        <v>45912.729166666664</v>
      </c>
      <c r="G1501" s="2">
        <v>6531.0</v>
      </c>
      <c r="H1501" s="2">
        <v>6531.0</v>
      </c>
      <c r="I1501" s="2">
        <v>5597.0</v>
      </c>
      <c r="J1501" s="2">
        <v>53.0</v>
      </c>
      <c r="K1501" s="2">
        <v>46.0</v>
      </c>
      <c r="L1501" s="2">
        <v>0.0</v>
      </c>
      <c r="M1501" s="2">
        <v>0.0</v>
      </c>
      <c r="N1501" s="2" t="s">
        <v>423</v>
      </c>
      <c r="O1501" s="2">
        <v>119.0</v>
      </c>
      <c r="P1501" s="2" t="s">
        <v>189</v>
      </c>
      <c r="Q1501" s="2" t="s">
        <v>32</v>
      </c>
      <c r="R1501" s="2">
        <v>37.0</v>
      </c>
      <c r="T1501" s="2" t="s">
        <v>47</v>
      </c>
      <c r="U1501" s="2" t="b">
        <v>0</v>
      </c>
      <c r="V1501" s="5">
        <v>0.0082</v>
      </c>
      <c r="W1501" s="5">
        <v>0.0</v>
      </c>
      <c r="X1501" s="5">
        <v>0.0</v>
      </c>
      <c r="Y1501" s="2">
        <v>0.0</v>
      </c>
      <c r="AA1501" s="2" t="s">
        <v>423</v>
      </c>
    </row>
    <row r="1502">
      <c r="A1502" s="2">
        <v>3304.0</v>
      </c>
      <c r="B1502" s="2" t="s">
        <v>4426</v>
      </c>
      <c r="C1502" s="2" t="s">
        <v>7</v>
      </c>
      <c r="D1502" s="2" t="s">
        <v>4427</v>
      </c>
      <c r="E1502" s="2" t="s">
        <v>4428</v>
      </c>
      <c r="F1502" s="6">
        <v>45912.75</v>
      </c>
      <c r="G1502" s="2">
        <v>6531.0</v>
      </c>
      <c r="H1502" s="2">
        <v>6531.0</v>
      </c>
      <c r="I1502" s="2">
        <v>5641.0</v>
      </c>
      <c r="J1502" s="2">
        <v>86.0</v>
      </c>
      <c r="K1502" s="2">
        <v>74.0</v>
      </c>
      <c r="L1502" s="2">
        <v>1.0</v>
      </c>
      <c r="M1502" s="4">
        <v>1290.0</v>
      </c>
      <c r="N1502" s="2" t="s">
        <v>423</v>
      </c>
      <c r="O1502" s="2">
        <v>119.0</v>
      </c>
      <c r="P1502" s="2" t="s">
        <v>189</v>
      </c>
      <c r="Q1502" s="2" t="s">
        <v>32</v>
      </c>
      <c r="R1502" s="2">
        <v>40.0</v>
      </c>
      <c r="U1502" s="2" t="b">
        <v>0</v>
      </c>
      <c r="V1502" s="5">
        <v>0.0131</v>
      </c>
      <c r="W1502" s="5">
        <v>0.0135</v>
      </c>
      <c r="X1502" s="5">
        <v>1.77E-4</v>
      </c>
      <c r="Y1502" s="2">
        <v>17.43243243</v>
      </c>
      <c r="AA1502" s="2" t="s">
        <v>423</v>
      </c>
    </row>
    <row r="1503">
      <c r="A1503" s="2">
        <v>3262.0</v>
      </c>
      <c r="B1503" s="2" t="s">
        <v>4429</v>
      </c>
      <c r="C1503" s="2" t="s">
        <v>7</v>
      </c>
      <c r="D1503" s="2" t="s">
        <v>4430</v>
      </c>
      <c r="E1503" s="2" t="s">
        <v>4431</v>
      </c>
      <c r="F1503" s="6">
        <v>45913.458333333336</v>
      </c>
      <c r="G1503" s="2">
        <v>49742.0</v>
      </c>
      <c r="H1503" s="2">
        <v>49742.0</v>
      </c>
      <c r="I1503" s="2">
        <v>42303.0</v>
      </c>
      <c r="J1503" s="2">
        <v>282.0</v>
      </c>
      <c r="K1503" s="2">
        <v>231.0</v>
      </c>
      <c r="L1503" s="2">
        <v>3.0</v>
      </c>
      <c r="M1503" s="4">
        <v>7465.0</v>
      </c>
      <c r="N1503" s="2" t="s">
        <v>36</v>
      </c>
      <c r="O1503" s="2">
        <v>71.0</v>
      </c>
      <c r="P1503" s="2" t="s">
        <v>31</v>
      </c>
      <c r="Q1503" s="2" t="s">
        <v>32</v>
      </c>
      <c r="R1503" s="2">
        <v>37.0</v>
      </c>
      <c r="T1503" s="2" t="s">
        <v>58</v>
      </c>
      <c r="U1503" s="2" t="b">
        <v>1</v>
      </c>
      <c r="V1503" s="5">
        <v>0.0055</v>
      </c>
      <c r="W1503" s="5">
        <v>0.013</v>
      </c>
      <c r="X1503" s="5">
        <v>7.1E-5</v>
      </c>
      <c r="Y1503" s="2">
        <v>32.31601732</v>
      </c>
      <c r="AA1503" s="2" t="s">
        <v>33</v>
      </c>
    </row>
    <row r="1504">
      <c r="A1504" s="2">
        <v>3261.0</v>
      </c>
      <c r="B1504" s="2" t="s">
        <v>4432</v>
      </c>
      <c r="C1504" s="2" t="s">
        <v>7</v>
      </c>
      <c r="D1504" s="2" t="s">
        <v>4433</v>
      </c>
      <c r="E1504" s="2" t="s">
        <v>4434</v>
      </c>
      <c r="F1504" s="6">
        <v>45913.458333333336</v>
      </c>
      <c r="G1504" s="2">
        <v>65376.0</v>
      </c>
      <c r="H1504" s="2">
        <v>65376.0</v>
      </c>
      <c r="I1504" s="2">
        <v>57346.0</v>
      </c>
      <c r="J1504" s="2">
        <v>354.0</v>
      </c>
      <c r="K1504" s="2">
        <v>288.0</v>
      </c>
      <c r="L1504" s="2">
        <v>8.0</v>
      </c>
      <c r="M1504" s="4">
        <v>28299.0</v>
      </c>
      <c r="N1504" s="2" t="s">
        <v>30</v>
      </c>
      <c r="O1504" s="2">
        <v>70.0</v>
      </c>
      <c r="P1504" s="2" t="s">
        <v>31</v>
      </c>
      <c r="Q1504" s="2" t="s">
        <v>32</v>
      </c>
      <c r="R1504" s="2">
        <v>39.0</v>
      </c>
      <c r="T1504" s="2" t="s">
        <v>4435</v>
      </c>
      <c r="U1504" s="2" t="b">
        <v>0</v>
      </c>
      <c r="V1504" s="5">
        <v>0.005</v>
      </c>
      <c r="W1504" s="5">
        <v>0.0278</v>
      </c>
      <c r="X1504" s="5">
        <v>1.4E-4</v>
      </c>
      <c r="Y1504" s="2">
        <v>98.26041667</v>
      </c>
      <c r="Z1504" s="2">
        <v>3377.0</v>
      </c>
      <c r="AA1504" s="2" t="s">
        <v>33</v>
      </c>
    </row>
    <row r="1505">
      <c r="A1505" s="2">
        <v>3305.0</v>
      </c>
      <c r="B1505" s="2" t="s">
        <v>4436</v>
      </c>
      <c r="C1505" s="2" t="s">
        <v>7</v>
      </c>
      <c r="D1505" s="2" t="s">
        <v>4437</v>
      </c>
      <c r="E1505" s="2" t="s">
        <v>4438</v>
      </c>
      <c r="F1505" s="6">
        <v>45913.5</v>
      </c>
      <c r="G1505" s="2">
        <v>6719.0</v>
      </c>
      <c r="H1505" s="2">
        <v>6719.0</v>
      </c>
      <c r="I1505" s="2">
        <v>5753.0</v>
      </c>
      <c r="J1505" s="2">
        <v>86.0</v>
      </c>
      <c r="K1505" s="2">
        <v>72.0</v>
      </c>
      <c r="L1505" s="2">
        <v>1.0</v>
      </c>
      <c r="M1505" s="2">
        <v>86.0</v>
      </c>
      <c r="N1505" s="2" t="s">
        <v>423</v>
      </c>
      <c r="O1505" s="2">
        <v>119.0</v>
      </c>
      <c r="P1505" s="2" t="s">
        <v>31</v>
      </c>
      <c r="Q1505" s="2" t="s">
        <v>32</v>
      </c>
      <c r="R1505" s="2">
        <v>33.0</v>
      </c>
      <c r="U1505" s="2" t="b">
        <v>0</v>
      </c>
      <c r="V1505" s="5">
        <v>0.0125</v>
      </c>
      <c r="W1505" s="5">
        <v>0.0139</v>
      </c>
      <c r="X1505" s="5">
        <v>1.74E-4</v>
      </c>
      <c r="Y1505" s="2">
        <v>1.194444444</v>
      </c>
      <c r="AA1505" s="2" t="s">
        <v>423</v>
      </c>
    </row>
    <row r="1506">
      <c r="A1506" s="2">
        <v>3264.0</v>
      </c>
      <c r="B1506" s="2" t="s">
        <v>4439</v>
      </c>
      <c r="C1506" s="2" t="s">
        <v>7</v>
      </c>
      <c r="D1506" s="2" t="s">
        <v>4440</v>
      </c>
      <c r="E1506" s="2" t="s">
        <v>4441</v>
      </c>
      <c r="F1506" s="6">
        <v>45913.625</v>
      </c>
      <c r="G1506" s="2">
        <v>49751.0</v>
      </c>
      <c r="H1506" s="2">
        <v>49751.0</v>
      </c>
      <c r="I1506" s="2">
        <v>42680.0</v>
      </c>
      <c r="J1506" s="2">
        <v>342.0</v>
      </c>
      <c r="K1506" s="2">
        <v>263.0</v>
      </c>
      <c r="L1506" s="2">
        <v>2.0</v>
      </c>
      <c r="M1506" s="4">
        <v>5226.0</v>
      </c>
      <c r="N1506" s="2" t="s">
        <v>36</v>
      </c>
      <c r="O1506" s="2">
        <v>71.0</v>
      </c>
      <c r="P1506" s="2" t="s">
        <v>31</v>
      </c>
      <c r="Q1506" s="2" t="s">
        <v>32</v>
      </c>
      <c r="R1506" s="2">
        <v>43.0</v>
      </c>
      <c r="U1506" s="2" t="b">
        <v>1</v>
      </c>
      <c r="V1506" s="5">
        <v>0.0062</v>
      </c>
      <c r="W1506" s="5">
        <v>0.0076</v>
      </c>
      <c r="X1506" s="5">
        <v>4.7E-5</v>
      </c>
      <c r="Y1506" s="2">
        <v>19.87072243</v>
      </c>
      <c r="AA1506" s="2" t="s">
        <v>33</v>
      </c>
    </row>
    <row r="1507">
      <c r="A1507" s="2">
        <v>3306.0</v>
      </c>
      <c r="B1507" s="2" t="s">
        <v>4442</v>
      </c>
      <c r="C1507" s="2" t="s">
        <v>7</v>
      </c>
      <c r="D1507" s="2" t="s">
        <v>4443</v>
      </c>
      <c r="E1507" s="2" t="e">
        <v>#N/A</v>
      </c>
      <c r="F1507" s="6">
        <v>45913.625</v>
      </c>
      <c r="G1507" s="2">
        <v>6700.0</v>
      </c>
      <c r="H1507" s="2">
        <v>6700.0</v>
      </c>
      <c r="I1507" s="2">
        <v>5795.0</v>
      </c>
      <c r="J1507" s="2">
        <v>79.0</v>
      </c>
      <c r="K1507" s="2">
        <v>71.0</v>
      </c>
      <c r="L1507" s="2">
        <v>1.0</v>
      </c>
      <c r="M1507" s="4">
        <v>4497.0</v>
      </c>
      <c r="N1507" s="2" t="s">
        <v>423</v>
      </c>
      <c r="O1507" s="2">
        <v>119.0</v>
      </c>
      <c r="P1507" s="2" t="s">
        <v>31</v>
      </c>
      <c r="Q1507" s="2" t="s">
        <v>32</v>
      </c>
      <c r="R1507" s="2">
        <v>44.0</v>
      </c>
      <c r="T1507" s="7" t="str">
        <f>IFERROR(__xludf.DUMMYFUNCTION("AI(""has offer Come X Pay X"",D1507)"),"has offer Come X Pay X")</f>
        <v>has offer Come X Pay X</v>
      </c>
      <c r="U1507" s="2" t="b">
        <v>0</v>
      </c>
      <c r="V1507" s="5">
        <v>0.0123</v>
      </c>
      <c r="W1507" s="5">
        <v>0.0141</v>
      </c>
      <c r="X1507" s="5">
        <v>1.73E-4</v>
      </c>
      <c r="Y1507" s="2">
        <v>63.33802817</v>
      </c>
      <c r="AA1507" s="2" t="s">
        <v>423</v>
      </c>
    </row>
    <row r="1508">
      <c r="A1508" s="2">
        <v>3263.0</v>
      </c>
      <c r="B1508" s="2" t="s">
        <v>4444</v>
      </c>
      <c r="C1508" s="2" t="s">
        <v>7</v>
      </c>
      <c r="D1508" s="2" t="s">
        <v>4445</v>
      </c>
      <c r="E1508" s="2" t="s">
        <v>4446</v>
      </c>
      <c r="F1508" s="6">
        <v>45913.625</v>
      </c>
      <c r="G1508" s="2">
        <v>65453.0</v>
      </c>
      <c r="H1508" s="2">
        <v>65453.0</v>
      </c>
      <c r="I1508" s="2">
        <v>57638.0</v>
      </c>
      <c r="J1508" s="2">
        <v>412.0</v>
      </c>
      <c r="K1508" s="2">
        <v>327.0</v>
      </c>
      <c r="L1508" s="2">
        <v>3.0</v>
      </c>
      <c r="M1508" s="4">
        <v>6517.0</v>
      </c>
      <c r="N1508" s="2" t="s">
        <v>30</v>
      </c>
      <c r="O1508" s="2">
        <v>70.0</v>
      </c>
      <c r="P1508" s="2" t="s">
        <v>31</v>
      </c>
      <c r="Q1508" s="2" t="s">
        <v>32</v>
      </c>
      <c r="R1508" s="2">
        <v>41.0</v>
      </c>
      <c r="T1508" s="2" t="s">
        <v>143</v>
      </c>
      <c r="U1508" s="2" t="b">
        <v>0</v>
      </c>
      <c r="V1508" s="5">
        <v>0.0057</v>
      </c>
      <c r="W1508" s="5">
        <v>0.0092</v>
      </c>
      <c r="X1508" s="5">
        <v>5.2E-5</v>
      </c>
      <c r="Y1508" s="2">
        <v>19.92966361</v>
      </c>
      <c r="Z1508" s="2">
        <v>1003.0</v>
      </c>
      <c r="AA1508" s="2" t="s">
        <v>33</v>
      </c>
    </row>
    <row r="1509">
      <c r="A1509" s="2">
        <v>3266.0</v>
      </c>
      <c r="B1509" s="2" t="s">
        <v>4447</v>
      </c>
      <c r="C1509" s="2" t="s">
        <v>7</v>
      </c>
      <c r="D1509" s="2" t="s">
        <v>4448</v>
      </c>
      <c r="E1509" s="2" t="s">
        <v>4449</v>
      </c>
      <c r="F1509" s="6">
        <v>45913.708333333336</v>
      </c>
      <c r="G1509" s="2">
        <v>49755.0</v>
      </c>
      <c r="H1509" s="2">
        <v>49755.0</v>
      </c>
      <c r="I1509" s="2">
        <v>42680.0</v>
      </c>
      <c r="J1509" s="2">
        <v>294.0</v>
      </c>
      <c r="K1509" s="2">
        <v>225.0</v>
      </c>
      <c r="L1509" s="2">
        <v>2.0</v>
      </c>
      <c r="M1509" s="4">
        <v>14509.0</v>
      </c>
      <c r="N1509" s="2" t="s">
        <v>36</v>
      </c>
      <c r="O1509" s="2">
        <v>71.0</v>
      </c>
      <c r="P1509" s="2" t="s">
        <v>189</v>
      </c>
      <c r="Q1509" s="2" t="s">
        <v>32</v>
      </c>
      <c r="R1509" s="2">
        <v>32.0</v>
      </c>
      <c r="U1509" s="2" t="b">
        <v>0</v>
      </c>
      <c r="V1509" s="5">
        <v>0.0053</v>
      </c>
      <c r="W1509" s="5">
        <v>0.0089</v>
      </c>
      <c r="X1509" s="5">
        <v>4.7E-5</v>
      </c>
      <c r="Y1509" s="2">
        <v>64.48444444</v>
      </c>
      <c r="AA1509" s="2" t="s">
        <v>33</v>
      </c>
    </row>
    <row r="1510">
      <c r="A1510" s="2">
        <v>3265.0</v>
      </c>
      <c r="B1510" s="2" t="s">
        <v>4450</v>
      </c>
      <c r="C1510" s="2" t="s">
        <v>7</v>
      </c>
      <c r="D1510" s="2" t="s">
        <v>4451</v>
      </c>
      <c r="E1510" s="2" t="s">
        <v>4452</v>
      </c>
      <c r="F1510" s="6">
        <v>45913.708333333336</v>
      </c>
      <c r="G1510" s="2">
        <v>65460.0</v>
      </c>
      <c r="H1510" s="2">
        <v>65460.0</v>
      </c>
      <c r="I1510" s="2">
        <v>57708.0</v>
      </c>
      <c r="J1510" s="2">
        <v>291.0</v>
      </c>
      <c r="K1510" s="2">
        <v>228.0</v>
      </c>
      <c r="L1510" s="2">
        <v>0.0</v>
      </c>
      <c r="M1510" s="2">
        <v>0.0</v>
      </c>
      <c r="N1510" s="2" t="s">
        <v>30</v>
      </c>
      <c r="O1510" s="2">
        <v>70.0</v>
      </c>
      <c r="P1510" s="2" t="s">
        <v>31</v>
      </c>
      <c r="Q1510" s="2" t="s">
        <v>32</v>
      </c>
      <c r="R1510" s="2">
        <v>32.0</v>
      </c>
      <c r="T1510" s="2" t="s">
        <v>47</v>
      </c>
      <c r="U1510" s="2" t="b">
        <v>0</v>
      </c>
      <c r="V1510" s="5">
        <v>0.004</v>
      </c>
      <c r="W1510" s="5">
        <v>0.0</v>
      </c>
      <c r="X1510" s="5">
        <v>0.0</v>
      </c>
      <c r="Y1510" s="2">
        <v>0.0</v>
      </c>
      <c r="AA1510" s="2" t="s">
        <v>33</v>
      </c>
    </row>
    <row r="1511">
      <c r="A1511" s="2">
        <v>3271.0</v>
      </c>
      <c r="B1511" s="2" t="s">
        <v>4453</v>
      </c>
      <c r="C1511" s="2" t="s">
        <v>7</v>
      </c>
      <c r="D1511" s="2" t="s">
        <v>4454</v>
      </c>
      <c r="E1511" s="2" t="s">
        <v>4455</v>
      </c>
      <c r="F1511" s="6">
        <v>45914.458333333336</v>
      </c>
      <c r="G1511" s="2">
        <v>49855.0</v>
      </c>
      <c r="H1511" s="2">
        <v>49855.0</v>
      </c>
      <c r="I1511" s="2">
        <v>42264.0</v>
      </c>
      <c r="J1511" s="2">
        <v>390.0</v>
      </c>
      <c r="K1511" s="2">
        <v>309.0</v>
      </c>
      <c r="L1511" s="2">
        <v>6.0</v>
      </c>
      <c r="M1511" s="4">
        <v>21540.0</v>
      </c>
      <c r="N1511" s="2" t="s">
        <v>36</v>
      </c>
      <c r="O1511" s="2">
        <v>71.0</v>
      </c>
      <c r="P1511" s="2" t="s">
        <v>31</v>
      </c>
      <c r="Q1511" s="2" t="s">
        <v>32</v>
      </c>
      <c r="R1511" s="2">
        <v>27.0</v>
      </c>
      <c r="T1511" s="7" t="str">
        <f>IFERROR(__xludf.DUMMYFUNCTION("AI(""has offer Come X Pay X"",D1511)"),"Yes")</f>
        <v>Yes</v>
      </c>
      <c r="U1511" s="2" t="b">
        <v>1</v>
      </c>
      <c r="V1511" s="5">
        <v>0.0073</v>
      </c>
      <c r="W1511" s="5">
        <v>0.0194</v>
      </c>
      <c r="X1511" s="5">
        <v>1.42E-4</v>
      </c>
      <c r="Y1511" s="2">
        <v>69.70873786</v>
      </c>
      <c r="AA1511" s="2" t="s">
        <v>33</v>
      </c>
    </row>
    <row r="1512">
      <c r="A1512" s="2">
        <v>3269.0</v>
      </c>
      <c r="B1512" s="2" t="s">
        <v>4456</v>
      </c>
      <c r="C1512" s="2" t="s">
        <v>7</v>
      </c>
      <c r="D1512" s="2" t="s">
        <v>4457</v>
      </c>
      <c r="E1512" s="2" t="s">
        <v>4458</v>
      </c>
      <c r="F1512" s="6">
        <v>45914.458333333336</v>
      </c>
      <c r="G1512" s="2">
        <v>65502.0</v>
      </c>
      <c r="H1512" s="2">
        <v>65502.0</v>
      </c>
      <c r="I1512" s="2">
        <v>57289.0</v>
      </c>
      <c r="J1512" s="2">
        <v>493.0</v>
      </c>
      <c r="K1512" s="2">
        <v>406.0</v>
      </c>
      <c r="L1512" s="2">
        <v>6.0</v>
      </c>
      <c r="M1512" s="4">
        <v>13572.0</v>
      </c>
      <c r="N1512" s="2" t="s">
        <v>30</v>
      </c>
      <c r="O1512" s="2">
        <v>70.0</v>
      </c>
      <c r="P1512" s="2" t="s">
        <v>189</v>
      </c>
      <c r="Q1512" s="2" t="s">
        <v>32</v>
      </c>
      <c r="R1512" s="2">
        <v>23.0</v>
      </c>
      <c r="U1512" s="2" t="b">
        <v>0</v>
      </c>
      <c r="V1512" s="5">
        <v>0.0071</v>
      </c>
      <c r="W1512" s="5">
        <v>0.0148</v>
      </c>
      <c r="X1512" s="5">
        <v>1.05E-4</v>
      </c>
      <c r="Y1512" s="2">
        <v>33.42857143</v>
      </c>
      <c r="Z1512" s="2">
        <v>2925.0</v>
      </c>
      <c r="AA1512" s="2" t="s">
        <v>33</v>
      </c>
    </row>
    <row r="1513">
      <c r="A1513" s="2">
        <v>3273.0</v>
      </c>
      <c r="B1513" s="2" t="s">
        <v>4459</v>
      </c>
      <c r="C1513" s="2" t="s">
        <v>7</v>
      </c>
      <c r="D1513" s="2" t="s">
        <v>4460</v>
      </c>
      <c r="E1513" s="2" t="s">
        <v>4461</v>
      </c>
      <c r="F1513" s="6">
        <v>45914.625</v>
      </c>
      <c r="G1513" s="2">
        <v>49869.0</v>
      </c>
      <c r="H1513" s="2">
        <v>49869.0</v>
      </c>
      <c r="I1513" s="2">
        <v>42699.0</v>
      </c>
      <c r="J1513" s="2">
        <v>289.0</v>
      </c>
      <c r="K1513" s="2">
        <v>227.0</v>
      </c>
      <c r="L1513" s="2">
        <v>0.0</v>
      </c>
      <c r="M1513" s="2">
        <v>0.0</v>
      </c>
      <c r="N1513" s="2" t="s">
        <v>36</v>
      </c>
      <c r="O1513" s="2">
        <v>71.0</v>
      </c>
      <c r="P1513" s="2" t="s">
        <v>31</v>
      </c>
      <c r="Q1513" s="2" t="s">
        <v>32</v>
      </c>
      <c r="R1513" s="2">
        <v>25.0</v>
      </c>
      <c r="U1513" s="2" t="b">
        <v>0</v>
      </c>
      <c r="V1513" s="5">
        <v>0.0053</v>
      </c>
      <c r="W1513" s="5">
        <v>0.0</v>
      </c>
      <c r="X1513" s="5">
        <v>0.0</v>
      </c>
      <c r="Y1513" s="2">
        <v>0.0</v>
      </c>
      <c r="AA1513" s="2" t="s">
        <v>33</v>
      </c>
    </row>
    <row r="1514">
      <c r="A1514" s="2">
        <v>3272.0</v>
      </c>
      <c r="B1514" s="2" t="s">
        <v>4462</v>
      </c>
      <c r="C1514" s="2" t="s">
        <v>7</v>
      </c>
      <c r="D1514" s="2" t="s">
        <v>4463</v>
      </c>
      <c r="E1514" s="2" t="s">
        <v>4464</v>
      </c>
      <c r="F1514" s="6">
        <v>45914.625</v>
      </c>
      <c r="G1514" s="2">
        <v>65536.0</v>
      </c>
      <c r="H1514" s="2">
        <v>65536.0</v>
      </c>
      <c r="I1514" s="2">
        <v>57741.0</v>
      </c>
      <c r="J1514" s="2">
        <v>356.0</v>
      </c>
      <c r="K1514" s="2">
        <v>281.0</v>
      </c>
      <c r="L1514" s="2">
        <v>3.0</v>
      </c>
      <c r="M1514" s="4">
        <v>7704.0</v>
      </c>
      <c r="N1514" s="2" t="s">
        <v>30</v>
      </c>
      <c r="O1514" s="2">
        <v>70.0</v>
      </c>
      <c r="P1514" s="2" t="s">
        <v>31</v>
      </c>
      <c r="Q1514" s="2" t="s">
        <v>32</v>
      </c>
      <c r="R1514" s="2">
        <v>21.0</v>
      </c>
      <c r="T1514" s="2" t="s">
        <v>47</v>
      </c>
      <c r="U1514" s="2" t="b">
        <v>0</v>
      </c>
      <c r="V1514" s="5">
        <v>0.0049</v>
      </c>
      <c r="W1514" s="5">
        <v>0.0107</v>
      </c>
      <c r="X1514" s="5">
        <v>5.2E-5</v>
      </c>
      <c r="Y1514" s="2">
        <v>27.41637011</v>
      </c>
      <c r="Z1514" s="2">
        <v>4195.0</v>
      </c>
      <c r="AA1514" s="2" t="s">
        <v>33</v>
      </c>
    </row>
    <row r="1515">
      <c r="A1515" s="2">
        <v>3275.0</v>
      </c>
      <c r="B1515" s="2" t="s">
        <v>4465</v>
      </c>
      <c r="C1515" s="2" t="s">
        <v>7</v>
      </c>
      <c r="D1515" s="2" t="s">
        <v>4466</v>
      </c>
      <c r="E1515" s="2" t="s">
        <v>4467</v>
      </c>
      <c r="F1515" s="6">
        <v>45914.708333333336</v>
      </c>
      <c r="G1515" s="2">
        <v>49884.0</v>
      </c>
      <c r="H1515" s="2">
        <v>49884.0</v>
      </c>
      <c r="I1515" s="2">
        <v>42717.0</v>
      </c>
      <c r="J1515" s="2">
        <v>288.0</v>
      </c>
      <c r="K1515" s="2">
        <v>229.0</v>
      </c>
      <c r="L1515" s="2">
        <v>2.0</v>
      </c>
      <c r="M1515" s="4">
        <v>6074.0</v>
      </c>
      <c r="N1515" s="2" t="s">
        <v>36</v>
      </c>
      <c r="O1515" s="2">
        <v>71.0</v>
      </c>
      <c r="P1515" s="2" t="s">
        <v>189</v>
      </c>
      <c r="Q1515" s="2" t="s">
        <v>32</v>
      </c>
      <c r="R1515" s="2">
        <v>24.0</v>
      </c>
      <c r="T1515" s="2" t="s">
        <v>47</v>
      </c>
      <c r="U1515" s="2" t="b">
        <v>0</v>
      </c>
      <c r="V1515" s="5">
        <v>0.0054</v>
      </c>
      <c r="W1515" s="5">
        <v>0.0087</v>
      </c>
      <c r="X1515" s="5">
        <v>4.7E-5</v>
      </c>
      <c r="Y1515" s="2">
        <v>26.52401747</v>
      </c>
      <c r="AA1515" s="2" t="s">
        <v>33</v>
      </c>
    </row>
    <row r="1516">
      <c r="A1516" s="2">
        <v>3274.0</v>
      </c>
      <c r="B1516" s="2" t="s">
        <v>4468</v>
      </c>
      <c r="C1516" s="2" t="s">
        <v>7</v>
      </c>
      <c r="D1516" s="2" t="s">
        <v>4469</v>
      </c>
      <c r="E1516" s="2" t="s">
        <v>4470</v>
      </c>
      <c r="F1516" s="6">
        <v>45914.708333333336</v>
      </c>
      <c r="G1516" s="2">
        <v>65554.0</v>
      </c>
      <c r="H1516" s="2">
        <v>65554.0</v>
      </c>
      <c r="I1516" s="2">
        <v>57753.0</v>
      </c>
      <c r="J1516" s="2">
        <v>320.0</v>
      </c>
      <c r="K1516" s="2">
        <v>252.0</v>
      </c>
      <c r="L1516" s="2">
        <v>3.0</v>
      </c>
      <c r="M1516" s="4">
        <v>4670.0</v>
      </c>
      <c r="N1516" s="2" t="s">
        <v>30</v>
      </c>
      <c r="O1516" s="2">
        <v>70.0</v>
      </c>
      <c r="P1516" s="2" t="s">
        <v>189</v>
      </c>
      <c r="Q1516" s="2" t="s">
        <v>32</v>
      </c>
      <c r="R1516" s="2">
        <v>15.0</v>
      </c>
      <c r="T1516" s="7" t="str">
        <f>IFERROR(__xludf.DUMMYFUNCTION("AI(""has offer Come X Pay X"",D1516)"),"Discount 5% on A La Carte food")</f>
        <v>Discount 5% on A La Carte food</v>
      </c>
      <c r="U1516" s="2" t="b">
        <v>0</v>
      </c>
      <c r="V1516" s="5">
        <v>0.0044</v>
      </c>
      <c r="W1516" s="5">
        <v>0.0119</v>
      </c>
      <c r="X1516" s="5">
        <v>5.2E-5</v>
      </c>
      <c r="Y1516" s="2">
        <v>18.53174603</v>
      </c>
      <c r="Z1516" s="2">
        <v>5263.0</v>
      </c>
      <c r="AA1516" s="2" t="s">
        <v>33</v>
      </c>
    </row>
    <row r="1517">
      <c r="A1517" s="2">
        <v>3307.0</v>
      </c>
      <c r="B1517" s="2" t="s">
        <v>4471</v>
      </c>
      <c r="C1517" s="2" t="s">
        <v>7</v>
      </c>
      <c r="D1517" s="2" t="s">
        <v>4472</v>
      </c>
      <c r="E1517" s="2" t="s">
        <v>4473</v>
      </c>
      <c r="F1517" s="6">
        <v>45915.490277777775</v>
      </c>
      <c r="G1517" s="2">
        <v>65663.0</v>
      </c>
      <c r="H1517" s="2">
        <v>65663.0</v>
      </c>
      <c r="I1517" s="2">
        <v>57736.0</v>
      </c>
      <c r="J1517" s="2">
        <v>396.0</v>
      </c>
      <c r="K1517" s="2">
        <v>310.0</v>
      </c>
      <c r="L1517" s="2">
        <v>4.0</v>
      </c>
      <c r="M1517" s="4">
        <v>10392.0</v>
      </c>
      <c r="N1517" s="2" t="s">
        <v>30</v>
      </c>
      <c r="O1517" s="2">
        <v>70.0</v>
      </c>
      <c r="P1517" s="2" t="s">
        <v>189</v>
      </c>
      <c r="Q1517" s="2" t="s">
        <v>32</v>
      </c>
      <c r="R1517" s="2">
        <v>36.0</v>
      </c>
      <c r="T1517" s="2" t="s">
        <v>405</v>
      </c>
      <c r="U1517" s="2" t="b">
        <v>0</v>
      </c>
      <c r="V1517" s="5">
        <v>0.0054</v>
      </c>
      <c r="W1517" s="5">
        <v>0.0129</v>
      </c>
      <c r="X1517" s="5">
        <v>6.9E-5</v>
      </c>
      <c r="Y1517" s="2">
        <v>33.52258065</v>
      </c>
      <c r="AA1517" s="2" t="s">
        <v>33</v>
      </c>
    </row>
    <row r="1518">
      <c r="A1518" s="2">
        <v>3308.0</v>
      </c>
      <c r="B1518" s="2" t="s">
        <v>4474</v>
      </c>
      <c r="C1518" s="2" t="s">
        <v>7</v>
      </c>
      <c r="D1518" s="2" t="s">
        <v>4475</v>
      </c>
      <c r="E1518" s="2" t="s">
        <v>4476</v>
      </c>
      <c r="F1518" s="6">
        <v>45915.49722222222</v>
      </c>
      <c r="G1518" s="2">
        <v>49966.0</v>
      </c>
      <c r="H1518" s="2">
        <v>49966.0</v>
      </c>
      <c r="I1518" s="2">
        <v>42603.0</v>
      </c>
      <c r="J1518" s="2">
        <v>329.0</v>
      </c>
      <c r="K1518" s="2">
        <v>258.0</v>
      </c>
      <c r="L1518" s="2">
        <v>5.0</v>
      </c>
      <c r="M1518" s="4">
        <v>13691.0</v>
      </c>
      <c r="N1518" s="2" t="s">
        <v>36</v>
      </c>
      <c r="O1518" s="2">
        <v>71.0</v>
      </c>
      <c r="P1518" s="2" t="s">
        <v>189</v>
      </c>
      <c r="Q1518" s="2" t="s">
        <v>32</v>
      </c>
      <c r="R1518" s="2">
        <v>28.0</v>
      </c>
      <c r="U1518" s="2" t="b">
        <v>0</v>
      </c>
      <c r="V1518" s="5">
        <v>0.0061</v>
      </c>
      <c r="W1518" s="5">
        <v>0.0194</v>
      </c>
      <c r="X1518" s="5">
        <v>1.17E-4</v>
      </c>
      <c r="Y1518" s="2">
        <v>53.06589147</v>
      </c>
      <c r="AA1518" s="2" t="s">
        <v>33</v>
      </c>
    </row>
    <row r="1519">
      <c r="A1519" s="2">
        <v>3180.0</v>
      </c>
      <c r="B1519" s="2" t="s">
        <v>4477</v>
      </c>
      <c r="C1519" s="2" t="s">
        <v>1277</v>
      </c>
      <c r="D1519" s="2" t="s">
        <v>4478</v>
      </c>
      <c r="E1519" s="2" t="e">
        <v>#N/A</v>
      </c>
      <c r="F1519" s="6">
        <v>45915.625</v>
      </c>
      <c r="G1519" s="2">
        <v>6629.0</v>
      </c>
      <c r="H1519" s="2">
        <v>6629.0</v>
      </c>
      <c r="I1519" s="2">
        <v>5615.0</v>
      </c>
      <c r="J1519" s="2">
        <v>107.0</v>
      </c>
      <c r="K1519" s="2">
        <v>92.0</v>
      </c>
      <c r="L1519" s="2">
        <v>1.0</v>
      </c>
      <c r="M1519" s="4">
        <v>4413.0</v>
      </c>
      <c r="N1519" s="2" t="s">
        <v>423</v>
      </c>
      <c r="O1519" s="2">
        <v>119.0</v>
      </c>
      <c r="P1519" s="2" t="s">
        <v>31</v>
      </c>
      <c r="Q1519" s="2" t="s">
        <v>1367</v>
      </c>
      <c r="R1519" s="2">
        <v>39.0</v>
      </c>
      <c r="T1519" s="2" t="s">
        <v>47</v>
      </c>
      <c r="U1519" s="2" t="b">
        <v>0</v>
      </c>
      <c r="V1519" s="5">
        <v>0.0164</v>
      </c>
      <c r="W1519" s="5">
        <v>0.0109</v>
      </c>
      <c r="X1519" s="5">
        <v>1.78E-4</v>
      </c>
      <c r="Y1519" s="2">
        <v>47.9673913</v>
      </c>
      <c r="AA1519" s="2" t="s">
        <v>423</v>
      </c>
    </row>
    <row r="1520">
      <c r="A1520" s="2">
        <v>3317.0</v>
      </c>
      <c r="B1520" s="2" t="s">
        <v>4479</v>
      </c>
      <c r="C1520" s="2" t="s">
        <v>7</v>
      </c>
      <c r="D1520" s="2" t="s">
        <v>4480</v>
      </c>
      <c r="E1520" s="2" t="s">
        <v>4481</v>
      </c>
      <c r="F1520" s="6">
        <v>45915.625</v>
      </c>
      <c r="G1520" s="2">
        <v>49942.0</v>
      </c>
      <c r="H1520" s="2">
        <v>49942.0</v>
      </c>
      <c r="I1520" s="2">
        <v>42778.0</v>
      </c>
      <c r="J1520" s="2">
        <v>255.0</v>
      </c>
      <c r="K1520" s="2">
        <v>200.0</v>
      </c>
      <c r="L1520" s="2">
        <v>5.0</v>
      </c>
      <c r="M1520" s="4">
        <v>12029.0</v>
      </c>
      <c r="N1520" s="2" t="s">
        <v>36</v>
      </c>
      <c r="O1520" s="2">
        <v>71.0</v>
      </c>
      <c r="P1520" s="2" t="s">
        <v>31</v>
      </c>
      <c r="Q1520" s="2" t="s">
        <v>32</v>
      </c>
      <c r="R1520" s="2">
        <v>26.0</v>
      </c>
      <c r="U1520" s="2" t="b">
        <v>0</v>
      </c>
      <c r="V1520" s="5">
        <v>0.0047</v>
      </c>
      <c r="W1520" s="5">
        <v>0.025</v>
      </c>
      <c r="X1520" s="5">
        <v>1.17E-4</v>
      </c>
      <c r="Y1520" s="2">
        <v>60.145</v>
      </c>
      <c r="AA1520" s="2" t="s">
        <v>33</v>
      </c>
    </row>
    <row r="1521">
      <c r="A1521" s="2">
        <v>3316.0</v>
      </c>
      <c r="B1521" s="2" t="s">
        <v>4482</v>
      </c>
      <c r="C1521" s="2" t="s">
        <v>7</v>
      </c>
      <c r="D1521" s="2" t="s">
        <v>4483</v>
      </c>
      <c r="E1521" s="2" t="s">
        <v>4484</v>
      </c>
      <c r="F1521" s="6">
        <v>45915.625</v>
      </c>
      <c r="G1521" s="2">
        <v>65686.0</v>
      </c>
      <c r="H1521" s="2">
        <v>65686.0</v>
      </c>
      <c r="I1521" s="2">
        <v>57881.0</v>
      </c>
      <c r="J1521" s="2">
        <v>435.0</v>
      </c>
      <c r="K1521" s="2">
        <v>353.0</v>
      </c>
      <c r="L1521" s="2">
        <v>2.0</v>
      </c>
      <c r="M1521" s="4">
        <v>3462.0</v>
      </c>
      <c r="N1521" s="2" t="s">
        <v>30</v>
      </c>
      <c r="O1521" s="2">
        <v>70.0</v>
      </c>
      <c r="P1521" s="2" t="s">
        <v>189</v>
      </c>
      <c r="Q1521" s="2" t="s">
        <v>32</v>
      </c>
      <c r="R1521" s="2">
        <v>40.0</v>
      </c>
      <c r="T1521" s="2" t="s">
        <v>58</v>
      </c>
      <c r="U1521" s="2" t="b">
        <v>0</v>
      </c>
      <c r="V1521" s="5">
        <v>0.0061</v>
      </c>
      <c r="W1521" s="5">
        <v>0.0057</v>
      </c>
      <c r="X1521" s="5">
        <v>3.5E-5</v>
      </c>
      <c r="Y1521" s="2">
        <v>9.807365439</v>
      </c>
      <c r="Z1521" s="2">
        <v>4800.0</v>
      </c>
      <c r="AA1521" s="2" t="s">
        <v>33</v>
      </c>
    </row>
    <row r="1522">
      <c r="A1522" s="2">
        <v>3319.0</v>
      </c>
      <c r="B1522" s="2" t="s">
        <v>4485</v>
      </c>
      <c r="C1522" s="2" t="s">
        <v>7</v>
      </c>
      <c r="D1522" s="2" t="s">
        <v>4486</v>
      </c>
      <c r="E1522" s="2" t="s">
        <v>4487</v>
      </c>
      <c r="F1522" s="6">
        <v>45915.708333333336</v>
      </c>
      <c r="G1522" s="2">
        <v>49965.0</v>
      </c>
      <c r="H1522" s="2">
        <v>49965.0</v>
      </c>
      <c r="I1522" s="2">
        <v>42726.0</v>
      </c>
      <c r="J1522" s="2">
        <v>418.0</v>
      </c>
      <c r="K1522" s="2">
        <v>328.0</v>
      </c>
      <c r="L1522" s="2">
        <v>8.0</v>
      </c>
      <c r="M1522" s="4">
        <v>21426.0</v>
      </c>
      <c r="N1522" s="2" t="s">
        <v>36</v>
      </c>
      <c r="O1522" s="2">
        <v>71.0</v>
      </c>
      <c r="P1522" s="2" t="s">
        <v>189</v>
      </c>
      <c r="Q1522" s="2" t="s">
        <v>32</v>
      </c>
      <c r="R1522" s="2">
        <v>35.0</v>
      </c>
      <c r="T1522" s="2" t="s">
        <v>47</v>
      </c>
      <c r="U1522" s="2" t="b">
        <v>0</v>
      </c>
      <c r="V1522" s="5">
        <v>0.0077</v>
      </c>
      <c r="W1522" s="5">
        <v>0.0244</v>
      </c>
      <c r="X1522" s="5">
        <v>1.87E-4</v>
      </c>
      <c r="Y1522" s="2">
        <v>65.32317073</v>
      </c>
      <c r="AA1522" s="2" t="s">
        <v>33</v>
      </c>
    </row>
    <row r="1523">
      <c r="A1523" s="2">
        <v>3318.0</v>
      </c>
      <c r="B1523" s="2" t="s">
        <v>4488</v>
      </c>
      <c r="C1523" s="2" t="s">
        <v>7</v>
      </c>
      <c r="D1523" s="2" t="s">
        <v>4489</v>
      </c>
      <c r="E1523" s="2" t="s">
        <v>4490</v>
      </c>
      <c r="F1523" s="6">
        <v>45915.708333333336</v>
      </c>
      <c r="G1523" s="2">
        <v>65720.0</v>
      </c>
      <c r="H1523" s="2">
        <v>65720.0</v>
      </c>
      <c r="I1523" s="2">
        <v>57886.0</v>
      </c>
      <c r="J1523" s="2">
        <v>308.0</v>
      </c>
      <c r="K1523" s="2">
        <v>241.0</v>
      </c>
      <c r="L1523" s="2">
        <v>4.0</v>
      </c>
      <c r="M1523" s="4">
        <v>8322.0</v>
      </c>
      <c r="N1523" s="2" t="s">
        <v>30</v>
      </c>
      <c r="O1523" s="2">
        <v>70.0</v>
      </c>
      <c r="P1523" s="2" t="s">
        <v>189</v>
      </c>
      <c r="Q1523" s="2" t="s">
        <v>32</v>
      </c>
      <c r="R1523" s="2">
        <v>45.0</v>
      </c>
      <c r="T1523" s="2" t="s">
        <v>4491</v>
      </c>
      <c r="U1523" s="2" t="b">
        <v>0</v>
      </c>
      <c r="V1523" s="5">
        <v>0.0042</v>
      </c>
      <c r="W1523" s="5">
        <v>0.0166</v>
      </c>
      <c r="X1523" s="5">
        <v>6.9E-5</v>
      </c>
      <c r="Y1523" s="2">
        <v>34.53112033</v>
      </c>
      <c r="AA1523" s="2" t="s">
        <v>33</v>
      </c>
    </row>
    <row r="1524">
      <c r="A1524" s="2">
        <v>3320.0</v>
      </c>
      <c r="B1524" s="2" t="s">
        <v>4492</v>
      </c>
      <c r="C1524" s="2" t="s">
        <v>7</v>
      </c>
      <c r="D1524" s="2" t="s">
        <v>4493</v>
      </c>
      <c r="E1524" s="2" t="s">
        <v>4494</v>
      </c>
      <c r="F1524" s="6">
        <v>45916.47222222222</v>
      </c>
      <c r="G1524" s="2">
        <v>65740.0</v>
      </c>
      <c r="H1524" s="2">
        <v>65740.0</v>
      </c>
      <c r="I1524" s="2">
        <v>57608.0</v>
      </c>
      <c r="J1524" s="2">
        <v>365.0</v>
      </c>
      <c r="K1524" s="2">
        <v>293.0</v>
      </c>
      <c r="L1524" s="2">
        <v>4.0</v>
      </c>
      <c r="M1524" s="4">
        <v>5619.0</v>
      </c>
      <c r="N1524" s="2" t="s">
        <v>30</v>
      </c>
      <c r="O1524" s="2">
        <v>70.0</v>
      </c>
      <c r="P1524" s="2" t="s">
        <v>189</v>
      </c>
      <c r="Q1524" s="2" t="s">
        <v>32</v>
      </c>
      <c r="R1524" s="2">
        <v>38.0</v>
      </c>
      <c r="U1524" s="2" t="b">
        <v>0</v>
      </c>
      <c r="V1524" s="5">
        <v>0.0051</v>
      </c>
      <c r="W1524" s="5">
        <v>0.0137</v>
      </c>
      <c r="X1524" s="5">
        <v>6.9E-5</v>
      </c>
      <c r="Y1524" s="2">
        <v>19.1774744</v>
      </c>
      <c r="Z1524" s="2">
        <v>4089.0</v>
      </c>
      <c r="AA1524" s="2" t="s">
        <v>33</v>
      </c>
    </row>
    <row r="1525">
      <c r="A1525" s="2">
        <v>3321.0</v>
      </c>
      <c r="B1525" s="2" t="s">
        <v>4495</v>
      </c>
      <c r="C1525" s="2" t="s">
        <v>7</v>
      </c>
      <c r="D1525" s="2" t="s">
        <v>4496</v>
      </c>
      <c r="E1525" s="2" t="s">
        <v>4497</v>
      </c>
      <c r="F1525" s="6">
        <v>45916.472916666666</v>
      </c>
      <c r="G1525" s="2">
        <v>49966.0</v>
      </c>
      <c r="H1525" s="2">
        <v>49966.0</v>
      </c>
      <c r="I1525" s="2">
        <v>42478.0</v>
      </c>
      <c r="J1525" s="2">
        <v>326.0</v>
      </c>
      <c r="K1525" s="2">
        <v>266.0</v>
      </c>
      <c r="L1525" s="2">
        <v>7.0</v>
      </c>
      <c r="M1525" s="4">
        <v>11926.0</v>
      </c>
      <c r="N1525" s="2" t="s">
        <v>36</v>
      </c>
      <c r="O1525" s="2">
        <v>71.0</v>
      </c>
      <c r="P1525" s="2" t="s">
        <v>189</v>
      </c>
      <c r="Q1525" s="2" t="s">
        <v>32</v>
      </c>
      <c r="R1525" s="2">
        <v>39.0</v>
      </c>
      <c r="T1525" s="2" t="s">
        <v>47</v>
      </c>
      <c r="U1525" s="2" t="b">
        <v>0</v>
      </c>
      <c r="V1525" s="5">
        <v>0.0063</v>
      </c>
      <c r="W1525" s="5">
        <v>0.0263</v>
      </c>
      <c r="X1525" s="5">
        <v>1.65E-4</v>
      </c>
      <c r="Y1525" s="2">
        <v>44.83458647</v>
      </c>
      <c r="AA1525" s="2" t="s">
        <v>33</v>
      </c>
    </row>
    <row r="1526">
      <c r="A1526" s="2">
        <v>3332.0</v>
      </c>
      <c r="B1526" s="2" t="s">
        <v>4498</v>
      </c>
      <c r="C1526" s="2" t="s">
        <v>7</v>
      </c>
      <c r="D1526" s="2" t="s">
        <v>4499</v>
      </c>
      <c r="E1526" s="2" t="s">
        <v>4500</v>
      </c>
      <c r="F1526" s="6">
        <v>45916.625</v>
      </c>
      <c r="G1526" s="2">
        <v>49899.0</v>
      </c>
      <c r="H1526" s="2">
        <v>49899.0</v>
      </c>
      <c r="I1526" s="2">
        <v>42711.0</v>
      </c>
      <c r="J1526" s="2">
        <v>234.0</v>
      </c>
      <c r="K1526" s="2">
        <v>190.0</v>
      </c>
      <c r="L1526" s="2">
        <v>0.0</v>
      </c>
      <c r="M1526" s="2">
        <v>0.0</v>
      </c>
      <c r="N1526" s="2" t="s">
        <v>36</v>
      </c>
      <c r="O1526" s="2">
        <v>71.0</v>
      </c>
      <c r="P1526" s="2" t="s">
        <v>189</v>
      </c>
      <c r="Q1526" s="2" t="s">
        <v>32</v>
      </c>
      <c r="R1526" s="2">
        <v>24.0</v>
      </c>
      <c r="U1526" s="2" t="b">
        <v>0</v>
      </c>
      <c r="V1526" s="5">
        <v>0.0044</v>
      </c>
      <c r="W1526" s="5">
        <v>0.0</v>
      </c>
      <c r="X1526" s="5">
        <v>0.0</v>
      </c>
      <c r="Y1526" s="2">
        <v>0.0</v>
      </c>
      <c r="AA1526" s="2" t="s">
        <v>33</v>
      </c>
    </row>
    <row r="1527">
      <c r="A1527" s="2">
        <v>3322.0</v>
      </c>
      <c r="B1527" s="2" t="s">
        <v>4501</v>
      </c>
      <c r="C1527" s="2" t="s">
        <v>7</v>
      </c>
      <c r="D1527" s="2" t="s">
        <v>4502</v>
      </c>
      <c r="E1527" s="2" t="s">
        <v>4503</v>
      </c>
      <c r="F1527" s="6">
        <v>45916.625</v>
      </c>
      <c r="G1527" s="2">
        <v>65692.0</v>
      </c>
      <c r="H1527" s="2">
        <v>65692.0</v>
      </c>
      <c r="I1527" s="2">
        <v>57706.0</v>
      </c>
      <c r="J1527" s="2">
        <v>254.0</v>
      </c>
      <c r="K1527" s="2">
        <v>214.0</v>
      </c>
      <c r="L1527" s="2">
        <v>4.0</v>
      </c>
      <c r="M1527" s="4">
        <v>5867.0</v>
      </c>
      <c r="N1527" s="2" t="s">
        <v>30</v>
      </c>
      <c r="O1527" s="2">
        <v>70.0</v>
      </c>
      <c r="P1527" s="2" t="s">
        <v>31</v>
      </c>
      <c r="Q1527" s="2" t="s">
        <v>32</v>
      </c>
      <c r="R1527" s="2">
        <v>33.0</v>
      </c>
      <c r="T1527" s="2" t="s">
        <v>47</v>
      </c>
      <c r="U1527" s="2" t="b">
        <v>0</v>
      </c>
      <c r="V1527" s="5">
        <v>0.0037</v>
      </c>
      <c r="W1527" s="5">
        <v>0.0187</v>
      </c>
      <c r="X1527" s="5">
        <v>6.9E-5</v>
      </c>
      <c r="Y1527" s="2">
        <v>27.41588785</v>
      </c>
      <c r="Z1527" s="2" t="s">
        <v>307</v>
      </c>
      <c r="AA1527" s="2" t="s">
        <v>33</v>
      </c>
    </row>
    <row r="1528">
      <c r="A1528" s="2">
        <v>3334.0</v>
      </c>
      <c r="B1528" s="2" t="s">
        <v>4504</v>
      </c>
      <c r="C1528" s="2" t="s">
        <v>7</v>
      </c>
      <c r="D1528" s="2" t="s">
        <v>4505</v>
      </c>
      <c r="E1528" s="2" t="s">
        <v>4506</v>
      </c>
      <c r="F1528" s="6">
        <v>45916.708333333336</v>
      </c>
      <c r="G1528" s="2">
        <v>49920.0</v>
      </c>
      <c r="H1528" s="2">
        <v>49920.0</v>
      </c>
      <c r="I1528" s="2">
        <v>42693.0</v>
      </c>
      <c r="J1528" s="2">
        <v>297.0</v>
      </c>
      <c r="K1528" s="2">
        <v>231.0</v>
      </c>
      <c r="L1528" s="2">
        <v>3.0</v>
      </c>
      <c r="M1528" s="4">
        <v>7449.0</v>
      </c>
      <c r="N1528" s="2" t="s">
        <v>36</v>
      </c>
      <c r="O1528" s="2">
        <v>71.0</v>
      </c>
      <c r="P1528" s="2" t="s">
        <v>189</v>
      </c>
      <c r="Q1528" s="2" t="s">
        <v>32</v>
      </c>
      <c r="R1528" s="2">
        <v>31.0</v>
      </c>
      <c r="U1528" s="2" t="b">
        <v>1</v>
      </c>
      <c r="V1528" s="5">
        <v>0.0054</v>
      </c>
      <c r="W1528" s="5">
        <v>0.013</v>
      </c>
      <c r="X1528" s="5">
        <v>7.0E-5</v>
      </c>
      <c r="Y1528" s="2">
        <v>32.24675325</v>
      </c>
      <c r="AA1528" s="2" t="s">
        <v>33</v>
      </c>
    </row>
    <row r="1529">
      <c r="A1529" s="2">
        <v>3333.0</v>
      </c>
      <c r="B1529" s="2" t="s">
        <v>4507</v>
      </c>
      <c r="C1529" s="2" t="s">
        <v>7</v>
      </c>
      <c r="D1529" s="2" t="s">
        <v>4508</v>
      </c>
      <c r="E1529" s="2" t="s">
        <v>4509</v>
      </c>
      <c r="F1529" s="6">
        <v>45916.708333333336</v>
      </c>
      <c r="G1529" s="2">
        <v>65678.0</v>
      </c>
      <c r="H1529" s="2">
        <v>65678.0</v>
      </c>
      <c r="I1529" s="2">
        <v>57768.0</v>
      </c>
      <c r="J1529" s="2">
        <v>395.0</v>
      </c>
      <c r="K1529" s="2">
        <v>310.0</v>
      </c>
      <c r="L1529" s="2">
        <v>4.0</v>
      </c>
      <c r="M1529" s="4">
        <v>12791.0</v>
      </c>
      <c r="N1529" s="2" t="s">
        <v>30</v>
      </c>
      <c r="O1529" s="2">
        <v>70.0</v>
      </c>
      <c r="P1529" s="2" t="s">
        <v>189</v>
      </c>
      <c r="Q1529" s="2" t="s">
        <v>32</v>
      </c>
      <c r="R1529" s="2">
        <v>26.0</v>
      </c>
      <c r="U1529" s="2" t="b">
        <v>0</v>
      </c>
      <c r="V1529" s="5">
        <v>0.0054</v>
      </c>
      <c r="W1529" s="5">
        <v>0.0129</v>
      </c>
      <c r="X1529" s="5">
        <v>6.9E-5</v>
      </c>
      <c r="Y1529" s="2">
        <v>41.26129032</v>
      </c>
      <c r="Z1529" s="2">
        <v>5196.0</v>
      </c>
      <c r="AA1529" s="2" t="s">
        <v>33</v>
      </c>
    </row>
    <row r="1530">
      <c r="A1530" s="2">
        <v>3336.0</v>
      </c>
      <c r="B1530" s="2" t="s">
        <v>4510</v>
      </c>
      <c r="C1530" s="2" t="s">
        <v>7</v>
      </c>
      <c r="D1530" s="2" t="s">
        <v>3333</v>
      </c>
      <c r="E1530" s="2" t="s">
        <v>3334</v>
      </c>
      <c r="F1530" s="6">
        <v>45917.458333333336</v>
      </c>
      <c r="G1530" s="2">
        <v>50024.0</v>
      </c>
      <c r="H1530" s="2">
        <v>50024.0</v>
      </c>
      <c r="I1530" s="2">
        <v>42295.0</v>
      </c>
      <c r="J1530" s="2">
        <v>256.0</v>
      </c>
      <c r="K1530" s="2">
        <v>205.0</v>
      </c>
      <c r="L1530" s="2">
        <v>2.0</v>
      </c>
      <c r="M1530" s="4">
        <v>17087.0</v>
      </c>
      <c r="N1530" s="2" t="s">
        <v>36</v>
      </c>
      <c r="O1530" s="2">
        <v>71.0</v>
      </c>
      <c r="P1530" s="2" t="s">
        <v>189</v>
      </c>
      <c r="Q1530" s="2" t="s">
        <v>32</v>
      </c>
      <c r="R1530" s="2">
        <v>43.0</v>
      </c>
      <c r="U1530" s="2" t="b">
        <v>0</v>
      </c>
      <c r="V1530" s="5">
        <v>0.0048</v>
      </c>
      <c r="W1530" s="5">
        <v>0.0098</v>
      </c>
      <c r="X1530" s="5">
        <v>4.7E-5</v>
      </c>
      <c r="Y1530" s="2">
        <v>83.35121951</v>
      </c>
      <c r="AA1530" s="2" t="s">
        <v>33</v>
      </c>
    </row>
    <row r="1531">
      <c r="A1531" s="2">
        <v>3335.0</v>
      </c>
      <c r="B1531" s="2" t="s">
        <v>4511</v>
      </c>
      <c r="C1531" s="2" t="s">
        <v>7</v>
      </c>
      <c r="D1531" s="2" t="s">
        <v>3908</v>
      </c>
      <c r="E1531" s="2" t="s">
        <v>3337</v>
      </c>
      <c r="F1531" s="6">
        <v>45917.458333333336</v>
      </c>
      <c r="G1531" s="2">
        <v>65775.0</v>
      </c>
      <c r="H1531" s="2">
        <v>65775.0</v>
      </c>
      <c r="I1531" s="2">
        <v>57272.0</v>
      </c>
      <c r="J1531" s="2">
        <v>281.0</v>
      </c>
      <c r="K1531" s="2">
        <v>225.0</v>
      </c>
      <c r="L1531" s="2">
        <v>5.0</v>
      </c>
      <c r="M1531" s="4">
        <v>13223.0</v>
      </c>
      <c r="N1531" s="2" t="s">
        <v>30</v>
      </c>
      <c r="O1531" s="2">
        <v>70.0</v>
      </c>
      <c r="P1531" s="2" t="s">
        <v>189</v>
      </c>
      <c r="Q1531" s="2" t="s">
        <v>32</v>
      </c>
      <c r="R1531" s="2">
        <v>31.0</v>
      </c>
      <c r="U1531" s="2" t="b">
        <v>0</v>
      </c>
      <c r="V1531" s="5">
        <v>0.0039</v>
      </c>
      <c r="W1531" s="5">
        <v>0.0222</v>
      </c>
      <c r="X1531" s="5">
        <v>8.7E-5</v>
      </c>
      <c r="Y1531" s="2">
        <v>58.76888889</v>
      </c>
      <c r="AA1531" s="2" t="s">
        <v>33</v>
      </c>
    </row>
    <row r="1532">
      <c r="A1532" s="2">
        <v>3338.0</v>
      </c>
      <c r="B1532" s="2" t="s">
        <v>4512</v>
      </c>
      <c r="C1532" s="2" t="s">
        <v>7</v>
      </c>
      <c r="D1532" s="2" t="s">
        <v>4513</v>
      </c>
      <c r="E1532" s="2" t="s">
        <v>4514</v>
      </c>
      <c r="F1532" s="6">
        <v>45917.625</v>
      </c>
      <c r="G1532" s="2">
        <v>50051.0</v>
      </c>
      <c r="H1532" s="2">
        <v>50051.0</v>
      </c>
      <c r="I1532" s="2">
        <v>42671.0</v>
      </c>
      <c r="J1532" s="2">
        <v>323.0</v>
      </c>
      <c r="K1532" s="2">
        <v>249.0</v>
      </c>
      <c r="L1532" s="2">
        <v>3.0</v>
      </c>
      <c r="M1532" s="4">
        <v>12386.0</v>
      </c>
      <c r="N1532" s="2" t="s">
        <v>36</v>
      </c>
      <c r="O1532" s="2">
        <v>71.0</v>
      </c>
      <c r="P1532" s="2" t="s">
        <v>31</v>
      </c>
      <c r="Q1532" s="2" t="s">
        <v>32</v>
      </c>
      <c r="R1532" s="2">
        <v>31.0</v>
      </c>
      <c r="U1532" s="2" t="b">
        <v>1</v>
      </c>
      <c r="V1532" s="5">
        <v>0.0058</v>
      </c>
      <c r="W1532" s="5">
        <v>0.012</v>
      </c>
      <c r="X1532" s="5">
        <v>7.0E-5</v>
      </c>
      <c r="Y1532" s="2">
        <v>49.74297189</v>
      </c>
      <c r="AA1532" s="2" t="s">
        <v>33</v>
      </c>
    </row>
    <row r="1533">
      <c r="A1533" s="2">
        <v>3337.0</v>
      </c>
      <c r="B1533" s="2" t="s">
        <v>4515</v>
      </c>
      <c r="C1533" s="2" t="s">
        <v>7</v>
      </c>
      <c r="D1533" s="2" t="s">
        <v>2284</v>
      </c>
      <c r="E1533" s="2" t="s">
        <v>4516</v>
      </c>
      <c r="F1533" s="6">
        <v>45917.625</v>
      </c>
      <c r="G1533" s="2">
        <v>65749.0</v>
      </c>
      <c r="H1533" s="2">
        <v>65749.0</v>
      </c>
      <c r="I1533" s="2">
        <v>57565.0</v>
      </c>
      <c r="J1533" s="2">
        <v>571.0</v>
      </c>
      <c r="K1533" s="2">
        <v>472.0</v>
      </c>
      <c r="L1533" s="2">
        <v>9.0</v>
      </c>
      <c r="M1533" s="4">
        <v>22181.0</v>
      </c>
      <c r="N1533" s="2" t="s">
        <v>30</v>
      </c>
      <c r="O1533" s="2">
        <v>70.0</v>
      </c>
      <c r="P1533" s="2" t="s">
        <v>189</v>
      </c>
      <c r="Q1533" s="2" t="s">
        <v>32</v>
      </c>
      <c r="R1533" s="2">
        <v>27.0</v>
      </c>
      <c r="T1533" s="2" t="s">
        <v>1185</v>
      </c>
      <c r="U1533" s="2" t="b">
        <v>0</v>
      </c>
      <c r="V1533" s="5">
        <v>0.0082</v>
      </c>
      <c r="W1533" s="5">
        <v>0.0191</v>
      </c>
      <c r="X1533" s="5">
        <v>1.56E-4</v>
      </c>
      <c r="Y1533" s="2">
        <v>46.99364407</v>
      </c>
      <c r="Z1533" s="2">
        <v>1826.0</v>
      </c>
      <c r="AA1533" s="2" t="s">
        <v>33</v>
      </c>
    </row>
    <row r="1534">
      <c r="A1534" s="2">
        <v>3340.0</v>
      </c>
      <c r="B1534" s="2" t="s">
        <v>4517</v>
      </c>
      <c r="C1534" s="2" t="s">
        <v>7</v>
      </c>
      <c r="D1534" s="2" t="s">
        <v>4518</v>
      </c>
      <c r="E1534" s="2" t="s">
        <v>4519</v>
      </c>
      <c r="F1534" s="6">
        <v>45917.708333333336</v>
      </c>
      <c r="G1534" s="2">
        <v>50082.0</v>
      </c>
      <c r="H1534" s="2">
        <v>50082.0</v>
      </c>
      <c r="I1534" s="2">
        <v>42606.0</v>
      </c>
      <c r="J1534" s="2">
        <v>326.0</v>
      </c>
      <c r="K1534" s="2">
        <v>251.0</v>
      </c>
      <c r="L1534" s="2">
        <v>3.0</v>
      </c>
      <c r="M1534" s="4">
        <v>6096.0</v>
      </c>
      <c r="N1534" s="2" t="s">
        <v>36</v>
      </c>
      <c r="O1534" s="2">
        <v>71.0</v>
      </c>
      <c r="P1534" s="2" t="s">
        <v>189</v>
      </c>
      <c r="Q1534" s="2" t="s">
        <v>32</v>
      </c>
      <c r="R1534" s="2">
        <v>29.0</v>
      </c>
      <c r="T1534" s="2" t="s">
        <v>58</v>
      </c>
      <c r="U1534" s="2" t="b">
        <v>1</v>
      </c>
      <c r="V1534" s="5">
        <v>0.0059</v>
      </c>
      <c r="W1534" s="5">
        <v>0.012</v>
      </c>
      <c r="X1534" s="5">
        <v>7.0E-5</v>
      </c>
      <c r="Y1534" s="2">
        <v>24.28685259</v>
      </c>
      <c r="AA1534" s="2" t="s">
        <v>33</v>
      </c>
    </row>
    <row r="1535">
      <c r="A1535" s="2">
        <v>3339.0</v>
      </c>
      <c r="B1535" s="2" t="s">
        <v>4520</v>
      </c>
      <c r="C1535" s="2" t="s">
        <v>7</v>
      </c>
      <c r="D1535" s="2" t="s">
        <v>4521</v>
      </c>
      <c r="E1535" s="2" t="s">
        <v>4522</v>
      </c>
      <c r="F1535" s="6">
        <v>45917.708333333336</v>
      </c>
      <c r="G1535" s="2">
        <v>65755.0</v>
      </c>
      <c r="H1535" s="2">
        <v>65755.0</v>
      </c>
      <c r="I1535" s="2">
        <v>57531.0</v>
      </c>
      <c r="J1535" s="2">
        <v>424.0</v>
      </c>
      <c r="K1535" s="2">
        <v>334.0</v>
      </c>
      <c r="L1535" s="2">
        <v>3.0</v>
      </c>
      <c r="M1535" s="4">
        <v>3468.0</v>
      </c>
      <c r="N1535" s="2" t="s">
        <v>30</v>
      </c>
      <c r="O1535" s="2">
        <v>70.0</v>
      </c>
      <c r="P1535" s="2" t="s">
        <v>189</v>
      </c>
      <c r="Q1535" s="2" t="s">
        <v>32</v>
      </c>
      <c r="R1535" s="2">
        <v>28.0</v>
      </c>
      <c r="T1535" s="2" t="s">
        <v>58</v>
      </c>
      <c r="U1535" s="2" t="b">
        <v>0</v>
      </c>
      <c r="V1535" s="5">
        <v>0.0058</v>
      </c>
      <c r="W1535" s="5">
        <v>0.009</v>
      </c>
      <c r="X1535" s="5">
        <v>5.2E-5</v>
      </c>
      <c r="Y1535" s="2">
        <v>10.38323353</v>
      </c>
      <c r="AA1535" s="2" t="s">
        <v>33</v>
      </c>
    </row>
    <row r="1536">
      <c r="A1536" s="2">
        <v>3342.0</v>
      </c>
      <c r="B1536" s="2" t="s">
        <v>4523</v>
      </c>
      <c r="C1536" s="2" t="s">
        <v>7</v>
      </c>
      <c r="D1536" s="2" t="s">
        <v>4524</v>
      </c>
      <c r="E1536" s="2" t="s">
        <v>4525</v>
      </c>
      <c r="F1536" s="6">
        <v>45918.458333333336</v>
      </c>
      <c r="G1536" s="2">
        <v>50176.0</v>
      </c>
      <c r="H1536" s="2">
        <v>50176.0</v>
      </c>
      <c r="I1536" s="2">
        <v>42253.0</v>
      </c>
      <c r="J1536" s="2">
        <v>303.0</v>
      </c>
      <c r="K1536" s="2">
        <v>245.0</v>
      </c>
      <c r="L1536" s="2">
        <v>4.0</v>
      </c>
      <c r="M1536" s="4">
        <v>13461.0</v>
      </c>
      <c r="N1536" s="2" t="s">
        <v>36</v>
      </c>
      <c r="O1536" s="2">
        <v>71.0</v>
      </c>
      <c r="P1536" s="2" t="s">
        <v>189</v>
      </c>
      <c r="Q1536" s="2" t="s">
        <v>32</v>
      </c>
      <c r="R1536" s="2">
        <v>30.0</v>
      </c>
      <c r="U1536" s="2" t="b">
        <v>1</v>
      </c>
      <c r="V1536" s="5">
        <v>0.0058</v>
      </c>
      <c r="W1536" s="5">
        <v>0.0163</v>
      </c>
      <c r="X1536" s="5">
        <v>9.5E-5</v>
      </c>
      <c r="Y1536" s="2">
        <v>54.94285714</v>
      </c>
      <c r="AA1536" s="2" t="s">
        <v>33</v>
      </c>
    </row>
    <row r="1537">
      <c r="A1537" s="2">
        <v>3341.0</v>
      </c>
      <c r="B1537" s="2" t="s">
        <v>4526</v>
      </c>
      <c r="C1537" s="2" t="s">
        <v>7</v>
      </c>
      <c r="D1537" s="2" t="s">
        <v>4527</v>
      </c>
      <c r="E1537" s="2" t="s">
        <v>4528</v>
      </c>
      <c r="F1537" s="6">
        <v>45918.458333333336</v>
      </c>
      <c r="G1537" s="2">
        <v>65844.0</v>
      </c>
      <c r="H1537" s="2">
        <v>65844.0</v>
      </c>
      <c r="I1537" s="2">
        <v>57216.0</v>
      </c>
      <c r="J1537" s="2">
        <v>426.0</v>
      </c>
      <c r="K1537" s="2">
        <v>359.0</v>
      </c>
      <c r="L1537" s="2">
        <v>8.0</v>
      </c>
      <c r="M1537" s="4">
        <v>20234.0</v>
      </c>
      <c r="N1537" s="2" t="s">
        <v>30</v>
      </c>
      <c r="O1537" s="2">
        <v>70.0</v>
      </c>
      <c r="P1537" s="2" t="s">
        <v>189</v>
      </c>
      <c r="Q1537" s="2" t="s">
        <v>32</v>
      </c>
      <c r="R1537" s="2">
        <v>30.0</v>
      </c>
      <c r="U1537" s="2" t="b">
        <v>0</v>
      </c>
      <c r="V1537" s="5">
        <v>0.0063</v>
      </c>
      <c r="W1537" s="5">
        <v>0.0223</v>
      </c>
      <c r="X1537" s="5">
        <v>1.4E-4</v>
      </c>
      <c r="Y1537" s="2">
        <v>56.36211699</v>
      </c>
      <c r="Z1537" s="2">
        <v>370.0</v>
      </c>
      <c r="AA1537" s="2" t="s">
        <v>33</v>
      </c>
    </row>
    <row r="1538">
      <c r="A1538" s="2">
        <v>3194.0</v>
      </c>
      <c r="B1538" s="2" t="s">
        <v>4529</v>
      </c>
      <c r="C1538" s="2" t="s">
        <v>7</v>
      </c>
      <c r="D1538" s="2" t="s">
        <v>4530</v>
      </c>
      <c r="E1538" s="2" t="s">
        <v>4531</v>
      </c>
      <c r="F1538" s="6">
        <v>45918.510416666664</v>
      </c>
      <c r="G1538" s="2">
        <v>6710.0</v>
      </c>
      <c r="H1538" s="2">
        <v>6710.0</v>
      </c>
      <c r="I1538" s="2">
        <v>5732.0</v>
      </c>
      <c r="J1538" s="2">
        <v>78.0</v>
      </c>
      <c r="K1538" s="2">
        <v>62.0</v>
      </c>
      <c r="L1538" s="2">
        <v>1.0</v>
      </c>
      <c r="M1538" s="2">
        <v>346.0</v>
      </c>
      <c r="N1538" s="2" t="s">
        <v>423</v>
      </c>
      <c r="O1538" s="2">
        <v>119.0</v>
      </c>
      <c r="P1538" s="2" t="s">
        <v>31</v>
      </c>
      <c r="Q1538" s="2" t="s">
        <v>1367</v>
      </c>
      <c r="R1538" s="2">
        <v>45.0</v>
      </c>
      <c r="T1538" s="2" t="s">
        <v>162</v>
      </c>
      <c r="U1538" s="2" t="b">
        <v>0</v>
      </c>
      <c r="V1538" s="5">
        <v>0.0108</v>
      </c>
      <c r="W1538" s="5">
        <v>0.0161</v>
      </c>
      <c r="X1538" s="5">
        <v>1.74E-4</v>
      </c>
      <c r="Y1538" s="2">
        <v>5.580645161</v>
      </c>
      <c r="AA1538" s="2" t="s">
        <v>423</v>
      </c>
    </row>
    <row r="1539">
      <c r="A1539" s="2">
        <v>3344.0</v>
      </c>
      <c r="B1539" s="2" t="s">
        <v>4532</v>
      </c>
      <c r="C1539" s="2" t="s">
        <v>7</v>
      </c>
      <c r="D1539" s="2" t="s">
        <v>4533</v>
      </c>
      <c r="E1539" s="2" t="s">
        <v>4534</v>
      </c>
      <c r="F1539" s="6">
        <v>45918.625</v>
      </c>
      <c r="G1539" s="2">
        <v>50169.0</v>
      </c>
      <c r="H1539" s="2">
        <v>50169.0</v>
      </c>
      <c r="I1539" s="2">
        <v>42619.0</v>
      </c>
      <c r="J1539" s="2">
        <v>284.0</v>
      </c>
      <c r="K1539" s="2">
        <v>225.0</v>
      </c>
      <c r="L1539" s="2">
        <v>4.0</v>
      </c>
      <c r="M1539" s="4">
        <v>9853.0</v>
      </c>
      <c r="N1539" s="2" t="s">
        <v>36</v>
      </c>
      <c r="O1539" s="2">
        <v>71.0</v>
      </c>
      <c r="P1539" s="2" t="s">
        <v>31</v>
      </c>
      <c r="Q1539" s="2" t="s">
        <v>32</v>
      </c>
      <c r="R1539" s="2">
        <v>52.0</v>
      </c>
      <c r="T1539" s="2" t="s">
        <v>47</v>
      </c>
      <c r="U1539" s="2" t="b">
        <v>0</v>
      </c>
      <c r="V1539" s="5">
        <v>0.0053</v>
      </c>
      <c r="W1539" s="5">
        <v>0.0178</v>
      </c>
      <c r="X1539" s="5">
        <v>9.4E-5</v>
      </c>
      <c r="Y1539" s="2">
        <v>43.79111111</v>
      </c>
      <c r="AA1539" s="2" t="s">
        <v>33</v>
      </c>
    </row>
    <row r="1540">
      <c r="A1540" s="2">
        <v>2526.0</v>
      </c>
      <c r="B1540" s="2" t="s">
        <v>4535</v>
      </c>
      <c r="C1540" s="2" t="s">
        <v>7</v>
      </c>
      <c r="D1540" s="2" t="s">
        <v>4536</v>
      </c>
      <c r="E1540" s="2" t="s">
        <v>4537</v>
      </c>
      <c r="F1540" s="6">
        <v>45918.625</v>
      </c>
      <c r="G1540" s="2">
        <v>6665.0</v>
      </c>
      <c r="H1540" s="2">
        <v>6665.0</v>
      </c>
      <c r="I1540" s="2">
        <v>5704.0</v>
      </c>
      <c r="J1540" s="2">
        <v>68.0</v>
      </c>
      <c r="K1540" s="2">
        <v>52.0</v>
      </c>
      <c r="L1540" s="2">
        <v>0.0</v>
      </c>
      <c r="M1540" s="2">
        <v>0.0</v>
      </c>
      <c r="N1540" s="2" t="s">
        <v>423</v>
      </c>
      <c r="O1540" s="2">
        <v>119.0</v>
      </c>
      <c r="P1540" s="2" t="s">
        <v>31</v>
      </c>
      <c r="Q1540" s="2" t="s">
        <v>32</v>
      </c>
      <c r="R1540" s="2">
        <v>41.0</v>
      </c>
      <c r="T1540" s="2" t="s">
        <v>47</v>
      </c>
      <c r="U1540" s="2" t="b">
        <v>0</v>
      </c>
      <c r="V1540" s="5">
        <v>0.0091</v>
      </c>
      <c r="W1540" s="5">
        <v>0.0</v>
      </c>
      <c r="X1540" s="5">
        <v>0.0</v>
      </c>
      <c r="Y1540" s="2">
        <v>0.0</v>
      </c>
      <c r="AA1540" s="2" t="s">
        <v>423</v>
      </c>
    </row>
    <row r="1541">
      <c r="A1541" s="2">
        <v>3343.0</v>
      </c>
      <c r="B1541" s="2" t="s">
        <v>4538</v>
      </c>
      <c r="C1541" s="2" t="s">
        <v>7</v>
      </c>
      <c r="D1541" s="2" t="s">
        <v>4539</v>
      </c>
      <c r="E1541" s="2" t="s">
        <v>4540</v>
      </c>
      <c r="F1541" s="6">
        <v>45918.625</v>
      </c>
      <c r="G1541" s="2">
        <v>65825.0</v>
      </c>
      <c r="H1541" s="2">
        <v>65825.0</v>
      </c>
      <c r="I1541" s="2">
        <v>57380.0</v>
      </c>
      <c r="J1541" s="2">
        <v>435.0</v>
      </c>
      <c r="K1541" s="2">
        <v>363.0</v>
      </c>
      <c r="L1541" s="2">
        <v>5.0</v>
      </c>
      <c r="M1541" s="4">
        <v>13646.0</v>
      </c>
      <c r="N1541" s="2" t="s">
        <v>30</v>
      </c>
      <c r="O1541" s="2">
        <v>70.0</v>
      </c>
      <c r="P1541" s="2" t="s">
        <v>31</v>
      </c>
      <c r="Q1541" s="2" t="s">
        <v>32</v>
      </c>
      <c r="R1541" s="2">
        <v>43.0</v>
      </c>
      <c r="U1541" s="2" t="b">
        <v>0</v>
      </c>
      <c r="V1541" s="5">
        <v>0.0063</v>
      </c>
      <c r="W1541" s="5">
        <v>0.0138</v>
      </c>
      <c r="X1541" s="5">
        <v>8.7E-5</v>
      </c>
      <c r="Y1541" s="2">
        <v>37.5922865</v>
      </c>
      <c r="Z1541" s="2">
        <v>1483.0</v>
      </c>
      <c r="AA1541" s="2" t="s">
        <v>33</v>
      </c>
    </row>
    <row r="1542">
      <c r="A1542" s="2">
        <v>3346.0</v>
      </c>
      <c r="B1542" s="2" t="s">
        <v>4541</v>
      </c>
      <c r="C1542" s="2" t="s">
        <v>7</v>
      </c>
      <c r="D1542" s="2" t="s">
        <v>4542</v>
      </c>
      <c r="E1542" s="2" t="s">
        <v>4543</v>
      </c>
      <c r="F1542" s="6">
        <v>45918.708333333336</v>
      </c>
      <c r="G1542" s="2">
        <v>50143.0</v>
      </c>
      <c r="H1542" s="2">
        <v>50143.0</v>
      </c>
      <c r="I1542" s="2">
        <v>42529.0</v>
      </c>
      <c r="J1542" s="2">
        <v>359.0</v>
      </c>
      <c r="K1542" s="2">
        <v>287.0</v>
      </c>
      <c r="L1542" s="2">
        <v>7.0</v>
      </c>
      <c r="M1542" s="4">
        <v>16338.0</v>
      </c>
      <c r="N1542" s="2" t="s">
        <v>36</v>
      </c>
      <c r="O1542" s="2">
        <v>71.0</v>
      </c>
      <c r="P1542" s="2" t="s">
        <v>189</v>
      </c>
      <c r="Q1542" s="2" t="s">
        <v>32</v>
      </c>
      <c r="R1542" s="2">
        <v>33.0</v>
      </c>
      <c r="T1542" s="2" t="s">
        <v>58</v>
      </c>
      <c r="U1542" s="2" t="b">
        <v>1</v>
      </c>
      <c r="V1542" s="5">
        <v>0.0067</v>
      </c>
      <c r="W1542" s="5">
        <v>0.0244</v>
      </c>
      <c r="X1542" s="5">
        <v>1.65E-4</v>
      </c>
      <c r="Y1542" s="2">
        <v>56.92682927</v>
      </c>
      <c r="AA1542" s="2" t="s">
        <v>33</v>
      </c>
    </row>
    <row r="1543">
      <c r="A1543" s="2">
        <v>3345.0</v>
      </c>
      <c r="B1543" s="2" t="s">
        <v>4544</v>
      </c>
      <c r="C1543" s="2" t="s">
        <v>7</v>
      </c>
      <c r="D1543" s="2" t="s">
        <v>4545</v>
      </c>
      <c r="E1543" s="2" t="s">
        <v>4546</v>
      </c>
      <c r="F1543" s="6">
        <v>45918.708333333336</v>
      </c>
      <c r="G1543" s="2">
        <v>65829.0</v>
      </c>
      <c r="H1543" s="2">
        <v>65829.0</v>
      </c>
      <c r="I1543" s="2">
        <v>57420.0</v>
      </c>
      <c r="J1543" s="2">
        <v>407.0</v>
      </c>
      <c r="K1543" s="2">
        <v>324.0</v>
      </c>
      <c r="L1543" s="2">
        <v>7.0</v>
      </c>
      <c r="M1543" s="4">
        <v>17960.0</v>
      </c>
      <c r="N1543" s="2" t="s">
        <v>30</v>
      </c>
      <c r="O1543" s="2">
        <v>70.0</v>
      </c>
      <c r="P1543" s="2" t="s">
        <v>189</v>
      </c>
      <c r="Q1543" s="2" t="s">
        <v>32</v>
      </c>
      <c r="R1543" s="2">
        <v>34.0</v>
      </c>
      <c r="T1543" s="2" t="s">
        <v>405</v>
      </c>
      <c r="U1543" s="2" t="b">
        <v>0</v>
      </c>
      <c r="V1543" s="5">
        <v>0.0056</v>
      </c>
      <c r="W1543" s="5">
        <v>0.0216</v>
      </c>
      <c r="X1543" s="5">
        <v>1.22E-4</v>
      </c>
      <c r="Y1543" s="2">
        <v>55.43209877</v>
      </c>
      <c r="Z1543" s="2">
        <v>712.0</v>
      </c>
      <c r="AA1543" s="2" t="s">
        <v>33</v>
      </c>
    </row>
    <row r="1544">
      <c r="A1544" s="2">
        <v>3354.0</v>
      </c>
      <c r="B1544" s="2" t="s">
        <v>4547</v>
      </c>
      <c r="C1544" s="2" t="s">
        <v>7</v>
      </c>
      <c r="D1544" s="2" t="s">
        <v>4548</v>
      </c>
      <c r="E1544" s="2" t="s">
        <v>4549</v>
      </c>
      <c r="F1544" s="6">
        <v>45918.708333333336</v>
      </c>
      <c r="G1544" s="2">
        <v>6672.0</v>
      </c>
      <c r="H1544" s="2">
        <v>6672.0</v>
      </c>
      <c r="I1544" s="2">
        <v>5756.0</v>
      </c>
      <c r="J1544" s="2">
        <v>56.0</v>
      </c>
      <c r="K1544" s="2">
        <v>46.0</v>
      </c>
      <c r="L1544" s="2">
        <v>0.0</v>
      </c>
      <c r="M1544" s="2">
        <v>0.0</v>
      </c>
      <c r="N1544" s="2" t="s">
        <v>423</v>
      </c>
      <c r="O1544" s="2">
        <v>119.0</v>
      </c>
      <c r="P1544" s="2" t="s">
        <v>31</v>
      </c>
      <c r="Q1544" s="2" t="s">
        <v>1367</v>
      </c>
      <c r="R1544" s="2">
        <v>44.0</v>
      </c>
      <c r="U1544" s="2" t="b">
        <v>0</v>
      </c>
      <c r="V1544" s="5">
        <v>0.008</v>
      </c>
      <c r="W1544" s="5">
        <v>0.0</v>
      </c>
      <c r="X1544" s="5">
        <v>0.0</v>
      </c>
      <c r="Y1544" s="2">
        <v>0.0</v>
      </c>
      <c r="AA1544" s="2" t="s">
        <v>423</v>
      </c>
    </row>
    <row r="1545">
      <c r="A1545" s="2">
        <v>3348.0</v>
      </c>
      <c r="B1545" s="2" t="s">
        <v>4550</v>
      </c>
      <c r="C1545" s="2" t="s">
        <v>7</v>
      </c>
      <c r="D1545" s="2" t="s">
        <v>4551</v>
      </c>
      <c r="E1545" s="2" t="s">
        <v>4552</v>
      </c>
      <c r="F1545" s="6">
        <v>45919.458333333336</v>
      </c>
      <c r="G1545" s="2">
        <v>50254.0</v>
      </c>
      <c r="H1545" s="2">
        <v>50254.0</v>
      </c>
      <c r="I1545" s="2">
        <v>42313.0</v>
      </c>
      <c r="J1545" s="2">
        <v>267.0</v>
      </c>
      <c r="K1545" s="2">
        <v>213.0</v>
      </c>
      <c r="L1545" s="2">
        <v>3.0</v>
      </c>
      <c r="M1545" s="4">
        <v>9788.0</v>
      </c>
      <c r="N1545" s="2" t="s">
        <v>36</v>
      </c>
      <c r="O1545" s="2">
        <v>71.0</v>
      </c>
      <c r="P1545" s="2" t="s">
        <v>189</v>
      </c>
      <c r="Q1545" s="2" t="s">
        <v>32</v>
      </c>
      <c r="R1545" s="2">
        <v>46.0</v>
      </c>
      <c r="U1545" s="2" t="b">
        <v>1</v>
      </c>
      <c r="V1545" s="5">
        <v>0.005</v>
      </c>
      <c r="W1545" s="5">
        <v>0.0141</v>
      </c>
      <c r="X1545" s="5">
        <v>7.1E-5</v>
      </c>
      <c r="Y1545" s="2">
        <v>45.95305164</v>
      </c>
      <c r="AA1545" s="2" t="s">
        <v>33</v>
      </c>
    </row>
    <row r="1546">
      <c r="A1546" s="2">
        <v>3347.0</v>
      </c>
      <c r="B1546" s="2" t="s">
        <v>4553</v>
      </c>
      <c r="C1546" s="2" t="s">
        <v>7</v>
      </c>
      <c r="D1546" s="2" t="s">
        <v>4554</v>
      </c>
      <c r="E1546" s="2" t="s">
        <v>4555</v>
      </c>
      <c r="F1546" s="6">
        <v>45919.458333333336</v>
      </c>
      <c r="G1546" s="2">
        <v>65933.0</v>
      </c>
      <c r="H1546" s="2">
        <v>65933.0</v>
      </c>
      <c r="I1546" s="2">
        <v>57206.0</v>
      </c>
      <c r="J1546" s="2">
        <v>368.0</v>
      </c>
      <c r="K1546" s="2">
        <v>295.0</v>
      </c>
      <c r="L1546" s="2">
        <v>5.0</v>
      </c>
      <c r="M1546" s="4">
        <v>19213.0</v>
      </c>
      <c r="N1546" s="2" t="s">
        <v>30</v>
      </c>
      <c r="O1546" s="2">
        <v>70.0</v>
      </c>
      <c r="P1546" s="2" t="s">
        <v>189</v>
      </c>
      <c r="Q1546" s="2" t="s">
        <v>32</v>
      </c>
      <c r="R1546" s="2">
        <v>37.0</v>
      </c>
      <c r="T1546" s="2" t="s">
        <v>47</v>
      </c>
      <c r="U1546" s="2" t="b">
        <v>0</v>
      </c>
      <c r="V1546" s="5">
        <v>0.0052</v>
      </c>
      <c r="W1546" s="5">
        <v>0.0169</v>
      </c>
      <c r="X1546" s="5">
        <v>8.7E-5</v>
      </c>
      <c r="Y1546" s="2">
        <v>65.12881356</v>
      </c>
      <c r="Z1546" s="2">
        <v>2928.0</v>
      </c>
      <c r="AA1546" s="2" t="s">
        <v>33</v>
      </c>
    </row>
    <row r="1547">
      <c r="A1547" s="2">
        <v>3373.0</v>
      </c>
      <c r="B1547" s="2" t="s">
        <v>4556</v>
      </c>
      <c r="C1547" s="2" t="s">
        <v>7</v>
      </c>
      <c r="D1547" s="2" t="s">
        <v>4557</v>
      </c>
      <c r="E1547" s="2" t="s">
        <v>4558</v>
      </c>
      <c r="F1547" s="6">
        <v>45919.541666666664</v>
      </c>
      <c r="G1547" s="2">
        <v>6702.0</v>
      </c>
      <c r="H1547" s="2">
        <v>6702.0</v>
      </c>
      <c r="I1547" s="2">
        <v>5756.0</v>
      </c>
      <c r="J1547" s="2">
        <v>64.0</v>
      </c>
      <c r="K1547" s="2">
        <v>50.0</v>
      </c>
      <c r="L1547" s="2">
        <v>0.0</v>
      </c>
      <c r="M1547" s="2">
        <v>0.0</v>
      </c>
      <c r="N1547" s="2" t="s">
        <v>423</v>
      </c>
      <c r="O1547" s="2">
        <v>119.0</v>
      </c>
      <c r="P1547" s="2" t="s">
        <v>31</v>
      </c>
      <c r="Q1547" s="2" t="s">
        <v>1367</v>
      </c>
      <c r="R1547" s="2">
        <v>34.0</v>
      </c>
      <c r="U1547" s="2" t="b">
        <v>0</v>
      </c>
      <c r="V1547" s="5">
        <v>0.0087</v>
      </c>
      <c r="W1547" s="5">
        <v>0.0</v>
      </c>
      <c r="X1547" s="5">
        <v>0.0</v>
      </c>
      <c r="Y1547" s="2">
        <v>0.0</v>
      </c>
      <c r="AA1547" s="2" t="s">
        <v>423</v>
      </c>
    </row>
    <row r="1548">
      <c r="A1548" s="2">
        <v>3351.0</v>
      </c>
      <c r="B1548" s="2" t="s">
        <v>4559</v>
      </c>
      <c r="C1548" s="2" t="s">
        <v>7</v>
      </c>
      <c r="D1548" s="2" t="s">
        <v>4560</v>
      </c>
      <c r="E1548" s="2" t="s">
        <v>4561</v>
      </c>
      <c r="F1548" s="6">
        <v>45919.625</v>
      </c>
      <c r="G1548" s="2">
        <v>50244.0</v>
      </c>
      <c r="H1548" s="2">
        <v>50244.0</v>
      </c>
      <c r="I1548" s="2">
        <v>42562.0</v>
      </c>
      <c r="J1548" s="2">
        <v>340.0</v>
      </c>
      <c r="K1548" s="2">
        <v>271.0</v>
      </c>
      <c r="L1548" s="2">
        <v>1.0</v>
      </c>
      <c r="M1548" s="4">
        <v>1178.0</v>
      </c>
      <c r="N1548" s="2" t="s">
        <v>36</v>
      </c>
      <c r="O1548" s="2">
        <v>71.0</v>
      </c>
      <c r="P1548" s="2" t="s">
        <v>189</v>
      </c>
      <c r="Q1548" s="2" t="s">
        <v>32</v>
      </c>
      <c r="R1548" s="2">
        <v>38.0</v>
      </c>
      <c r="T1548" s="2" t="s">
        <v>405</v>
      </c>
      <c r="U1548" s="2" t="b">
        <v>0</v>
      </c>
      <c r="V1548" s="5">
        <v>0.0064</v>
      </c>
      <c r="W1548" s="5">
        <v>0.0037</v>
      </c>
      <c r="X1548" s="5">
        <v>2.3E-5</v>
      </c>
      <c r="Y1548" s="2">
        <v>4.346863469</v>
      </c>
      <c r="AA1548" s="2" t="s">
        <v>33</v>
      </c>
    </row>
    <row r="1549">
      <c r="A1549" s="2">
        <v>3350.0</v>
      </c>
      <c r="B1549" s="2" t="s">
        <v>4562</v>
      </c>
      <c r="C1549" s="2" t="s">
        <v>7</v>
      </c>
      <c r="D1549" s="2" t="s">
        <v>4563</v>
      </c>
      <c r="E1549" s="2" t="s">
        <v>4564</v>
      </c>
      <c r="F1549" s="6">
        <v>45919.625</v>
      </c>
      <c r="G1549" s="2">
        <v>65921.0</v>
      </c>
      <c r="H1549" s="2">
        <v>65921.0</v>
      </c>
      <c r="I1549" s="2">
        <v>57403.0</v>
      </c>
      <c r="J1549" s="2">
        <v>463.0</v>
      </c>
      <c r="K1549" s="2">
        <v>375.0</v>
      </c>
      <c r="L1549" s="2">
        <v>5.0</v>
      </c>
      <c r="M1549" s="4">
        <v>11596.0</v>
      </c>
      <c r="N1549" s="2" t="s">
        <v>30</v>
      </c>
      <c r="O1549" s="2">
        <v>70.0</v>
      </c>
      <c r="P1549" s="2" t="s">
        <v>189</v>
      </c>
      <c r="Q1549" s="2" t="s">
        <v>32</v>
      </c>
      <c r="R1549" s="2">
        <v>34.0</v>
      </c>
      <c r="T1549" s="2" t="s">
        <v>405</v>
      </c>
      <c r="U1549" s="2" t="b">
        <v>0</v>
      </c>
      <c r="V1549" s="5">
        <v>0.0065</v>
      </c>
      <c r="W1549" s="5">
        <v>0.0133</v>
      </c>
      <c r="X1549" s="5">
        <v>8.7E-5</v>
      </c>
      <c r="Y1549" s="2">
        <v>30.92266667</v>
      </c>
      <c r="Z1549" s="2">
        <v>894.0</v>
      </c>
      <c r="AA1549" s="2" t="s">
        <v>33</v>
      </c>
    </row>
    <row r="1550">
      <c r="A1550" s="2">
        <v>3384.0</v>
      </c>
      <c r="B1550" s="2" t="s">
        <v>4565</v>
      </c>
      <c r="C1550" s="2" t="s">
        <v>7</v>
      </c>
      <c r="D1550" s="2" t="s">
        <v>4566</v>
      </c>
      <c r="E1550" s="2" t="s">
        <v>4567</v>
      </c>
      <c r="F1550" s="6">
        <v>45919.708333333336</v>
      </c>
      <c r="G1550" s="2">
        <v>6715.0</v>
      </c>
      <c r="H1550" s="2">
        <v>6715.0</v>
      </c>
      <c r="I1550" s="2">
        <v>5754.0</v>
      </c>
      <c r="J1550" s="2">
        <v>60.0</v>
      </c>
      <c r="K1550" s="2">
        <v>53.0</v>
      </c>
      <c r="L1550" s="2">
        <v>0.0</v>
      </c>
      <c r="M1550" s="2">
        <v>0.0</v>
      </c>
      <c r="N1550" s="2" t="s">
        <v>423</v>
      </c>
      <c r="O1550" s="2">
        <v>119.0</v>
      </c>
      <c r="P1550" s="2" t="s">
        <v>31</v>
      </c>
      <c r="Q1550" s="2" t="s">
        <v>1367</v>
      </c>
      <c r="R1550" s="2">
        <v>35.0</v>
      </c>
      <c r="T1550" s="2" t="s">
        <v>47</v>
      </c>
      <c r="U1550" s="2" t="b">
        <v>0</v>
      </c>
      <c r="V1550" s="5">
        <v>0.0092</v>
      </c>
      <c r="W1550" s="5">
        <v>0.0</v>
      </c>
      <c r="X1550" s="5">
        <v>0.0</v>
      </c>
      <c r="Y1550" s="2">
        <v>0.0</v>
      </c>
      <c r="AA1550" s="2" t="s">
        <v>423</v>
      </c>
    </row>
    <row r="1551">
      <c r="A1551" s="2">
        <v>3353.0</v>
      </c>
      <c r="B1551" s="2" t="s">
        <v>4568</v>
      </c>
      <c r="C1551" s="2" t="s">
        <v>7</v>
      </c>
      <c r="D1551" s="2" t="s">
        <v>4569</v>
      </c>
      <c r="E1551" s="2" t="s">
        <v>4570</v>
      </c>
      <c r="F1551" s="6">
        <v>45919.708333333336</v>
      </c>
      <c r="G1551" s="2">
        <v>50218.0</v>
      </c>
      <c r="H1551" s="2">
        <v>50218.0</v>
      </c>
      <c r="I1551" s="2">
        <v>42406.0</v>
      </c>
      <c r="J1551" s="2">
        <v>265.0</v>
      </c>
      <c r="K1551" s="2">
        <v>215.0</v>
      </c>
      <c r="L1551" s="2">
        <v>5.0</v>
      </c>
      <c r="M1551" s="4">
        <v>9473.0</v>
      </c>
      <c r="N1551" s="2" t="s">
        <v>36</v>
      </c>
      <c r="O1551" s="2">
        <v>71.0</v>
      </c>
      <c r="P1551" s="2" t="s">
        <v>31</v>
      </c>
      <c r="Q1551" s="2" t="s">
        <v>32</v>
      </c>
      <c r="R1551" s="2">
        <v>29.0</v>
      </c>
      <c r="T1551" s="2" t="s">
        <v>162</v>
      </c>
      <c r="U1551" s="2" t="b">
        <v>0</v>
      </c>
      <c r="V1551" s="5">
        <v>0.0051</v>
      </c>
      <c r="W1551" s="5">
        <v>0.0233</v>
      </c>
      <c r="X1551" s="5">
        <v>1.18E-4</v>
      </c>
      <c r="Y1551" s="2">
        <v>44.06046512</v>
      </c>
      <c r="AA1551" s="2" t="s">
        <v>33</v>
      </c>
    </row>
    <row r="1552">
      <c r="A1552" s="2">
        <v>3352.0</v>
      </c>
      <c r="B1552" s="2" t="s">
        <v>4571</v>
      </c>
      <c r="C1552" s="2" t="s">
        <v>7</v>
      </c>
      <c r="D1552" s="2" t="s">
        <v>4572</v>
      </c>
      <c r="E1552" s="2" t="s">
        <v>4573</v>
      </c>
      <c r="F1552" s="6">
        <v>45919.708333333336</v>
      </c>
      <c r="G1552" s="2">
        <v>65958.0</v>
      </c>
      <c r="H1552" s="2">
        <v>65958.0</v>
      </c>
      <c r="I1552" s="2">
        <v>57332.0</v>
      </c>
      <c r="J1552" s="2">
        <v>470.0</v>
      </c>
      <c r="K1552" s="2">
        <v>375.0</v>
      </c>
      <c r="L1552" s="2">
        <v>7.0</v>
      </c>
      <c r="M1552" s="4">
        <v>28086.0</v>
      </c>
      <c r="N1552" s="2" t="s">
        <v>30</v>
      </c>
      <c r="O1552" s="2">
        <v>70.0</v>
      </c>
      <c r="P1552" s="2" t="s">
        <v>189</v>
      </c>
      <c r="Q1552" s="2" t="s">
        <v>32</v>
      </c>
      <c r="R1552" s="2">
        <v>23.0</v>
      </c>
      <c r="U1552" s="2" t="b">
        <v>0</v>
      </c>
      <c r="V1552" s="5">
        <v>0.0065</v>
      </c>
      <c r="W1552" s="5">
        <v>0.0187</v>
      </c>
      <c r="X1552" s="5">
        <v>1.22E-4</v>
      </c>
      <c r="Y1552" s="2">
        <v>74.896</v>
      </c>
      <c r="Z1552" s="2">
        <v>835.0</v>
      </c>
      <c r="AA1552" s="2" t="s">
        <v>33</v>
      </c>
    </row>
    <row r="1553">
      <c r="A1553" s="2">
        <v>3385.0</v>
      </c>
      <c r="B1553" s="2" t="s">
        <v>4574</v>
      </c>
      <c r="C1553" s="2" t="s">
        <v>7</v>
      </c>
      <c r="D1553" s="2" t="s">
        <v>4575</v>
      </c>
      <c r="E1553" s="2" t="s">
        <v>4576</v>
      </c>
      <c r="F1553" s="6">
        <v>45919.791666666664</v>
      </c>
      <c r="G1553" s="2">
        <v>6708.0</v>
      </c>
      <c r="H1553" s="2">
        <v>6708.0</v>
      </c>
      <c r="I1553" s="2">
        <v>5760.0</v>
      </c>
      <c r="J1553" s="2">
        <v>81.0</v>
      </c>
      <c r="K1553" s="2">
        <v>68.0</v>
      </c>
      <c r="L1553" s="2">
        <v>0.0</v>
      </c>
      <c r="M1553" s="2">
        <v>0.0</v>
      </c>
      <c r="N1553" s="2" t="s">
        <v>423</v>
      </c>
      <c r="O1553" s="2">
        <v>119.0</v>
      </c>
      <c r="P1553" s="2" t="s">
        <v>189</v>
      </c>
      <c r="Q1553" s="2" t="s">
        <v>1367</v>
      </c>
      <c r="R1553" s="2">
        <v>17.0</v>
      </c>
      <c r="T1553" s="2" t="s">
        <v>4577</v>
      </c>
      <c r="U1553" s="2" t="b">
        <v>0</v>
      </c>
      <c r="V1553" s="5">
        <v>0.0118</v>
      </c>
      <c r="W1553" s="5">
        <v>0.0</v>
      </c>
      <c r="X1553" s="5">
        <v>0.0</v>
      </c>
      <c r="Y1553" s="2">
        <v>0.0</v>
      </c>
      <c r="AA1553" s="2" t="s">
        <v>423</v>
      </c>
    </row>
    <row r="1554">
      <c r="A1554" s="2">
        <v>3356.0</v>
      </c>
      <c r="B1554" s="2" t="s">
        <v>4578</v>
      </c>
      <c r="C1554" s="2" t="s">
        <v>7</v>
      </c>
      <c r="D1554" s="2" t="s">
        <v>4579</v>
      </c>
      <c r="E1554" s="2" t="s">
        <v>4580</v>
      </c>
      <c r="F1554" s="6">
        <v>45920.458333333336</v>
      </c>
      <c r="G1554" s="2">
        <v>50315.0</v>
      </c>
      <c r="H1554" s="2">
        <v>50315.0</v>
      </c>
      <c r="I1554" s="2">
        <v>41935.0</v>
      </c>
      <c r="J1554" s="2">
        <v>298.0</v>
      </c>
      <c r="K1554" s="2">
        <v>222.0</v>
      </c>
      <c r="L1554" s="2">
        <v>4.0</v>
      </c>
      <c r="M1554" s="4">
        <v>7315.0</v>
      </c>
      <c r="N1554" s="2" t="s">
        <v>36</v>
      </c>
      <c r="O1554" s="2">
        <v>71.0</v>
      </c>
      <c r="P1554" s="2" t="s">
        <v>31</v>
      </c>
      <c r="Q1554" s="2" t="s">
        <v>32</v>
      </c>
      <c r="R1554" s="2">
        <v>32.0</v>
      </c>
      <c r="T1554" s="2" t="s">
        <v>47</v>
      </c>
      <c r="U1554" s="2" t="b">
        <v>0</v>
      </c>
      <c r="V1554" s="5">
        <v>0.0053</v>
      </c>
      <c r="W1554" s="5">
        <v>0.018</v>
      </c>
      <c r="X1554" s="5">
        <v>9.5E-5</v>
      </c>
      <c r="Y1554" s="2">
        <v>32.95045045</v>
      </c>
      <c r="AA1554" s="2" t="s">
        <v>33</v>
      </c>
    </row>
    <row r="1555">
      <c r="A1555" s="2">
        <v>3355.0</v>
      </c>
      <c r="B1555" s="2" t="s">
        <v>4581</v>
      </c>
      <c r="C1555" s="2" t="s">
        <v>7</v>
      </c>
      <c r="D1555" s="2" t="s">
        <v>4582</v>
      </c>
      <c r="E1555" s="2" t="s">
        <v>4583</v>
      </c>
      <c r="F1555" s="6">
        <v>45920.458333333336</v>
      </c>
      <c r="G1555" s="2">
        <v>65942.0</v>
      </c>
      <c r="H1555" s="2">
        <v>65942.0</v>
      </c>
      <c r="I1555" s="2">
        <v>56622.0</v>
      </c>
      <c r="J1555" s="2">
        <v>457.0</v>
      </c>
      <c r="K1555" s="2">
        <v>375.0</v>
      </c>
      <c r="L1555" s="2">
        <v>5.0</v>
      </c>
      <c r="M1555" s="4">
        <v>10780.0</v>
      </c>
      <c r="N1555" s="2" t="s">
        <v>30</v>
      </c>
      <c r="O1555" s="2">
        <v>70.0</v>
      </c>
      <c r="P1555" s="2" t="s">
        <v>189</v>
      </c>
      <c r="Q1555" s="2" t="s">
        <v>32</v>
      </c>
      <c r="R1555" s="2">
        <v>39.0</v>
      </c>
      <c r="T1555" s="2" t="s">
        <v>47</v>
      </c>
      <c r="U1555" s="2" t="b">
        <v>0</v>
      </c>
      <c r="V1555" s="5">
        <v>0.0066</v>
      </c>
      <c r="W1555" s="5">
        <v>0.0133</v>
      </c>
      <c r="X1555" s="5">
        <v>8.8E-5</v>
      </c>
      <c r="Y1555" s="2">
        <v>28.74666667</v>
      </c>
      <c r="Z1555" s="2">
        <v>6464.0</v>
      </c>
      <c r="AA1555" s="2" t="s">
        <v>33</v>
      </c>
    </row>
    <row r="1556">
      <c r="A1556" s="2">
        <v>3375.0</v>
      </c>
      <c r="B1556" s="2" t="s">
        <v>4584</v>
      </c>
      <c r="C1556" s="2" t="s">
        <v>7</v>
      </c>
      <c r="D1556" s="2" t="s">
        <v>4585</v>
      </c>
      <c r="E1556" s="2" t="s">
        <v>4586</v>
      </c>
      <c r="F1556" s="6">
        <v>45920.625</v>
      </c>
      <c r="G1556" s="2">
        <v>50312.0</v>
      </c>
      <c r="H1556" s="2">
        <v>50312.0</v>
      </c>
      <c r="I1556" s="2">
        <v>42346.0</v>
      </c>
      <c r="J1556" s="2">
        <v>355.0</v>
      </c>
      <c r="K1556" s="2">
        <v>281.0</v>
      </c>
      <c r="L1556" s="2">
        <v>4.0</v>
      </c>
      <c r="M1556" s="4">
        <v>8316.0</v>
      </c>
      <c r="N1556" s="2" t="s">
        <v>36</v>
      </c>
      <c r="O1556" s="2">
        <v>71.0</v>
      </c>
      <c r="P1556" s="2" t="s">
        <v>189</v>
      </c>
      <c r="Q1556" s="2" t="s">
        <v>32</v>
      </c>
      <c r="R1556" s="2">
        <v>40.0</v>
      </c>
      <c r="T1556" s="2" t="s">
        <v>405</v>
      </c>
      <c r="U1556" s="2" t="b">
        <v>1</v>
      </c>
      <c r="V1556" s="5">
        <v>0.0066</v>
      </c>
      <c r="W1556" s="5">
        <v>0.0142</v>
      </c>
      <c r="X1556" s="5">
        <v>9.4E-5</v>
      </c>
      <c r="Y1556" s="2">
        <v>29.59430605</v>
      </c>
      <c r="AA1556" s="2" t="s">
        <v>33</v>
      </c>
    </row>
    <row r="1557">
      <c r="A1557" s="2">
        <v>3374.0</v>
      </c>
      <c r="B1557" s="2" t="s">
        <v>4587</v>
      </c>
      <c r="C1557" s="2" t="s">
        <v>7</v>
      </c>
      <c r="D1557" s="2" t="s">
        <v>4588</v>
      </c>
      <c r="E1557" s="2" t="s">
        <v>4589</v>
      </c>
      <c r="F1557" s="6">
        <v>45920.625</v>
      </c>
      <c r="G1557" s="2">
        <v>65965.0</v>
      </c>
      <c r="H1557" s="2">
        <v>65965.0</v>
      </c>
      <c r="I1557" s="2">
        <v>56923.0</v>
      </c>
      <c r="J1557" s="2">
        <v>517.0</v>
      </c>
      <c r="K1557" s="2">
        <v>415.0</v>
      </c>
      <c r="L1557" s="2">
        <v>7.0</v>
      </c>
      <c r="M1557" s="4">
        <v>11792.0</v>
      </c>
      <c r="N1557" s="2" t="s">
        <v>30</v>
      </c>
      <c r="O1557" s="2">
        <v>70.0</v>
      </c>
      <c r="P1557" s="2" t="s">
        <v>31</v>
      </c>
      <c r="Q1557" s="2" t="s">
        <v>32</v>
      </c>
      <c r="R1557" s="2">
        <v>39.0</v>
      </c>
      <c r="T1557" s="2" t="s">
        <v>58</v>
      </c>
      <c r="U1557" s="2" t="b">
        <v>0</v>
      </c>
      <c r="V1557" s="5">
        <v>0.0073</v>
      </c>
      <c r="W1557" s="5">
        <v>0.0169</v>
      </c>
      <c r="X1557" s="5">
        <v>1.23E-4</v>
      </c>
      <c r="Y1557" s="2">
        <v>28.41445783</v>
      </c>
      <c r="Z1557" s="2">
        <v>2434.0</v>
      </c>
      <c r="AA1557" s="2" t="s">
        <v>33</v>
      </c>
    </row>
    <row r="1558">
      <c r="A1558" s="2">
        <v>3377.0</v>
      </c>
      <c r="B1558" s="2" t="s">
        <v>4590</v>
      </c>
      <c r="C1558" s="2" t="s">
        <v>7</v>
      </c>
      <c r="D1558" s="2" t="s">
        <v>4591</v>
      </c>
      <c r="E1558" s="2" t="e">
        <v>#N/A</v>
      </c>
      <c r="F1558" s="6">
        <v>45920.708333333336</v>
      </c>
      <c r="G1558" s="2">
        <v>50301.0</v>
      </c>
      <c r="H1558" s="2">
        <v>50301.0</v>
      </c>
      <c r="I1558" s="2">
        <v>42295.0</v>
      </c>
      <c r="J1558" s="2">
        <v>443.0</v>
      </c>
      <c r="K1558" s="2">
        <v>357.0</v>
      </c>
      <c r="L1558" s="2">
        <v>7.0</v>
      </c>
      <c r="M1558" s="4">
        <v>14664.0</v>
      </c>
      <c r="N1558" s="2" t="s">
        <v>36</v>
      </c>
      <c r="O1558" s="2">
        <v>71.0</v>
      </c>
      <c r="P1558" s="2" t="s">
        <v>189</v>
      </c>
      <c r="Q1558" s="2" t="s">
        <v>32</v>
      </c>
      <c r="R1558" s="2">
        <v>29.0</v>
      </c>
      <c r="T1558" s="2" t="s">
        <v>4592</v>
      </c>
      <c r="U1558" s="2" t="b">
        <v>1</v>
      </c>
      <c r="V1558" s="5">
        <v>0.0084</v>
      </c>
      <c r="W1558" s="5">
        <v>0.0196</v>
      </c>
      <c r="X1558" s="5">
        <v>1.66E-4</v>
      </c>
      <c r="Y1558" s="2">
        <v>41.07563025</v>
      </c>
      <c r="AA1558" s="2" t="s">
        <v>33</v>
      </c>
    </row>
    <row r="1559">
      <c r="A1559" s="2">
        <v>3376.0</v>
      </c>
      <c r="B1559" s="2" t="s">
        <v>4593</v>
      </c>
      <c r="C1559" s="2" t="s">
        <v>7</v>
      </c>
      <c r="D1559" s="2" t="s">
        <v>4594</v>
      </c>
      <c r="E1559" s="2" t="e">
        <v>#N/A</v>
      </c>
      <c r="F1559" s="6">
        <v>45920.708333333336</v>
      </c>
      <c r="G1559" s="2">
        <v>65971.0</v>
      </c>
      <c r="H1559" s="2">
        <v>65971.0</v>
      </c>
      <c r="I1559" s="2">
        <v>57003.0</v>
      </c>
      <c r="J1559" s="2">
        <v>492.0</v>
      </c>
      <c r="K1559" s="2">
        <v>364.0</v>
      </c>
      <c r="L1559" s="2">
        <v>7.0</v>
      </c>
      <c r="M1559" s="4">
        <v>26153.0</v>
      </c>
      <c r="N1559" s="2" t="s">
        <v>30</v>
      </c>
      <c r="O1559" s="2">
        <v>70.0</v>
      </c>
      <c r="P1559" s="2" t="s">
        <v>189</v>
      </c>
      <c r="Q1559" s="2" t="s">
        <v>32</v>
      </c>
      <c r="R1559" s="2">
        <v>32.0</v>
      </c>
      <c r="T1559" s="2" t="s">
        <v>4595</v>
      </c>
      <c r="U1559" s="2" t="b">
        <v>0</v>
      </c>
      <c r="V1559" s="5">
        <v>0.0064</v>
      </c>
      <c r="W1559" s="5">
        <v>0.0192</v>
      </c>
      <c r="X1559" s="5">
        <v>1.23E-4</v>
      </c>
      <c r="Y1559" s="2">
        <v>71.8489011</v>
      </c>
      <c r="AA1559" s="2" t="s">
        <v>33</v>
      </c>
    </row>
    <row r="1560">
      <c r="A1560" s="2">
        <v>3379.0</v>
      </c>
      <c r="B1560" s="2" t="s">
        <v>4596</v>
      </c>
      <c r="C1560" s="2" t="s">
        <v>7</v>
      </c>
      <c r="D1560" s="2" t="s">
        <v>4597</v>
      </c>
      <c r="E1560" s="2" t="s">
        <v>4598</v>
      </c>
      <c r="F1560" s="6">
        <v>45921.458333333336</v>
      </c>
      <c r="G1560" s="2">
        <v>50364.0</v>
      </c>
      <c r="H1560" s="2">
        <v>50364.0</v>
      </c>
      <c r="I1560" s="2">
        <v>41802.0</v>
      </c>
      <c r="J1560" s="2">
        <v>316.0</v>
      </c>
      <c r="K1560" s="2">
        <v>242.0</v>
      </c>
      <c r="L1560" s="2">
        <v>3.0</v>
      </c>
      <c r="M1560" s="4">
        <v>8476.0</v>
      </c>
      <c r="N1560" s="2" t="s">
        <v>36</v>
      </c>
      <c r="O1560" s="2">
        <v>71.0</v>
      </c>
      <c r="P1560" s="2" t="s">
        <v>189</v>
      </c>
      <c r="Q1560" s="2" t="s">
        <v>32</v>
      </c>
      <c r="R1560" s="2">
        <v>41.0</v>
      </c>
      <c r="T1560" s="2" t="s">
        <v>58</v>
      </c>
      <c r="U1560" s="2" t="b">
        <v>1</v>
      </c>
      <c r="V1560" s="5">
        <v>0.0058</v>
      </c>
      <c r="W1560" s="5">
        <v>0.0124</v>
      </c>
      <c r="X1560" s="5">
        <v>7.2E-5</v>
      </c>
      <c r="Y1560" s="2">
        <v>35.02479339</v>
      </c>
      <c r="AA1560" s="2" t="s">
        <v>33</v>
      </c>
    </row>
    <row r="1561">
      <c r="A1561" s="2">
        <v>3378.0</v>
      </c>
      <c r="B1561" s="2" t="s">
        <v>4599</v>
      </c>
      <c r="C1561" s="2" t="s">
        <v>7</v>
      </c>
      <c r="D1561" s="2" t="s">
        <v>4600</v>
      </c>
      <c r="E1561" s="2" t="s">
        <v>4601</v>
      </c>
      <c r="F1561" s="6">
        <v>45921.458333333336</v>
      </c>
      <c r="G1561" s="2">
        <v>66003.0</v>
      </c>
      <c r="H1561" s="2">
        <v>66003.0</v>
      </c>
      <c r="I1561" s="2">
        <v>56361.0</v>
      </c>
      <c r="J1561" s="2">
        <v>367.0</v>
      </c>
      <c r="K1561" s="2">
        <v>298.0</v>
      </c>
      <c r="L1561" s="2">
        <v>5.0</v>
      </c>
      <c r="M1561" s="4">
        <v>11795.0</v>
      </c>
      <c r="N1561" s="2" t="s">
        <v>30</v>
      </c>
      <c r="O1561" s="2">
        <v>70.0</v>
      </c>
      <c r="P1561" s="2" t="s">
        <v>31</v>
      </c>
      <c r="Q1561" s="2" t="s">
        <v>32</v>
      </c>
      <c r="R1561" s="2">
        <v>43.0</v>
      </c>
      <c r="U1561" s="2" t="b">
        <v>0</v>
      </c>
      <c r="V1561" s="5">
        <v>0.0053</v>
      </c>
      <c r="W1561" s="5">
        <v>0.0168</v>
      </c>
      <c r="X1561" s="5">
        <v>8.9E-5</v>
      </c>
      <c r="Y1561" s="2">
        <v>39.58053691</v>
      </c>
      <c r="Z1561" s="2">
        <v>3629.0</v>
      </c>
      <c r="AA1561" s="2" t="s">
        <v>33</v>
      </c>
    </row>
    <row r="1562">
      <c r="A1562" s="2">
        <v>3381.0</v>
      </c>
      <c r="B1562" s="2" t="s">
        <v>4602</v>
      </c>
      <c r="C1562" s="2" t="s">
        <v>7</v>
      </c>
      <c r="D1562" s="2" t="s">
        <v>4603</v>
      </c>
      <c r="E1562" s="2" t="s">
        <v>4604</v>
      </c>
      <c r="F1562" s="6">
        <v>45921.625</v>
      </c>
      <c r="G1562" s="2">
        <v>50400.0</v>
      </c>
      <c r="H1562" s="2">
        <v>50400.0</v>
      </c>
      <c r="I1562" s="2">
        <v>42197.0</v>
      </c>
      <c r="J1562" s="2">
        <v>335.0</v>
      </c>
      <c r="K1562" s="2">
        <v>266.0</v>
      </c>
      <c r="L1562" s="2">
        <v>5.0</v>
      </c>
      <c r="M1562" s="4">
        <v>13707.0</v>
      </c>
      <c r="N1562" s="2" t="s">
        <v>36</v>
      </c>
      <c r="O1562" s="2">
        <v>71.0</v>
      </c>
      <c r="P1562" s="2" t="s">
        <v>31</v>
      </c>
      <c r="Q1562" s="2" t="s">
        <v>32</v>
      </c>
      <c r="R1562" s="2">
        <v>30.0</v>
      </c>
      <c r="T1562" s="2" t="s">
        <v>58</v>
      </c>
      <c r="U1562" s="2" t="b">
        <v>1</v>
      </c>
      <c r="V1562" s="5">
        <v>0.0063</v>
      </c>
      <c r="W1562" s="5">
        <v>0.0188</v>
      </c>
      <c r="X1562" s="5">
        <v>1.18E-4</v>
      </c>
      <c r="Y1562" s="2">
        <v>51.53007519</v>
      </c>
      <c r="AA1562" s="2" t="s">
        <v>33</v>
      </c>
    </row>
    <row r="1563">
      <c r="A1563" s="2">
        <v>3380.0</v>
      </c>
      <c r="B1563" s="2" t="s">
        <v>4605</v>
      </c>
      <c r="C1563" s="2" t="s">
        <v>7</v>
      </c>
      <c r="D1563" s="2" t="s">
        <v>4606</v>
      </c>
      <c r="E1563" s="2" t="s">
        <v>4607</v>
      </c>
      <c r="F1563" s="6">
        <v>45921.625</v>
      </c>
      <c r="G1563" s="2">
        <v>66036.0</v>
      </c>
      <c r="H1563" s="2">
        <v>66036.0</v>
      </c>
      <c r="I1563" s="2">
        <v>56695.0</v>
      </c>
      <c r="J1563" s="2">
        <v>403.0</v>
      </c>
      <c r="K1563" s="2">
        <v>333.0</v>
      </c>
      <c r="L1563" s="2">
        <v>10.0</v>
      </c>
      <c r="M1563" s="4">
        <v>19682.0</v>
      </c>
      <c r="N1563" s="2" t="s">
        <v>30</v>
      </c>
      <c r="O1563" s="2">
        <v>70.0</v>
      </c>
      <c r="P1563" s="2" t="s">
        <v>189</v>
      </c>
      <c r="Q1563" s="2" t="s">
        <v>32</v>
      </c>
      <c r="R1563" s="2">
        <v>31.0</v>
      </c>
      <c r="T1563" s="2" t="s">
        <v>1185</v>
      </c>
      <c r="U1563" s="2" t="b">
        <v>0</v>
      </c>
      <c r="V1563" s="5">
        <v>0.0059</v>
      </c>
      <c r="W1563" s="5">
        <v>0.03</v>
      </c>
      <c r="X1563" s="5">
        <v>1.76E-4</v>
      </c>
      <c r="Y1563" s="2">
        <v>59.10510511</v>
      </c>
      <c r="Z1563" s="2">
        <v>2483.0</v>
      </c>
      <c r="AA1563" s="2" t="s">
        <v>33</v>
      </c>
    </row>
    <row r="1564">
      <c r="A1564" s="2">
        <v>3383.0</v>
      </c>
      <c r="B1564" s="2" t="s">
        <v>4608</v>
      </c>
      <c r="C1564" s="2" t="s">
        <v>7</v>
      </c>
      <c r="D1564" s="2" t="s">
        <v>4609</v>
      </c>
      <c r="E1564" s="2" t="s">
        <v>4610</v>
      </c>
      <c r="F1564" s="6">
        <v>45921.708333333336</v>
      </c>
      <c r="G1564" s="2">
        <v>50372.0</v>
      </c>
      <c r="H1564" s="2">
        <v>50372.0</v>
      </c>
      <c r="I1564" s="2">
        <v>42089.0</v>
      </c>
      <c r="J1564" s="2">
        <v>260.0</v>
      </c>
      <c r="K1564" s="2">
        <v>213.0</v>
      </c>
      <c r="L1564" s="2">
        <v>2.0</v>
      </c>
      <c r="M1564" s="4">
        <v>3314.0</v>
      </c>
      <c r="N1564" s="2" t="s">
        <v>36</v>
      </c>
      <c r="O1564" s="2">
        <v>71.0</v>
      </c>
      <c r="P1564" s="2" t="s">
        <v>189</v>
      </c>
      <c r="Q1564" s="2" t="s">
        <v>32</v>
      </c>
      <c r="R1564" s="2">
        <v>31.0</v>
      </c>
      <c r="T1564" s="2" t="s">
        <v>58</v>
      </c>
      <c r="U1564" s="2" t="b">
        <v>1</v>
      </c>
      <c r="V1564" s="5">
        <v>0.0051</v>
      </c>
      <c r="W1564" s="5">
        <v>0.0094</v>
      </c>
      <c r="X1564" s="5">
        <v>4.8E-5</v>
      </c>
      <c r="Y1564" s="2">
        <v>15.55868545</v>
      </c>
      <c r="AA1564" s="2" t="s">
        <v>33</v>
      </c>
    </row>
    <row r="1565">
      <c r="A1565" s="2">
        <v>3382.0</v>
      </c>
      <c r="B1565" s="2" t="s">
        <v>4611</v>
      </c>
      <c r="C1565" s="2" t="s">
        <v>7</v>
      </c>
      <c r="D1565" s="2" t="s">
        <v>4612</v>
      </c>
      <c r="E1565" s="2" t="s">
        <v>4613</v>
      </c>
      <c r="F1565" s="6">
        <v>45921.708333333336</v>
      </c>
      <c r="G1565" s="2">
        <v>66035.0</v>
      </c>
      <c r="H1565" s="2">
        <v>66035.0</v>
      </c>
      <c r="I1565" s="2">
        <v>56655.0</v>
      </c>
      <c r="J1565" s="2">
        <v>317.0</v>
      </c>
      <c r="K1565" s="2">
        <v>257.0</v>
      </c>
      <c r="L1565" s="2">
        <v>4.0</v>
      </c>
      <c r="M1565" s="4">
        <v>10530.0</v>
      </c>
      <c r="N1565" s="2" t="s">
        <v>30</v>
      </c>
      <c r="O1565" s="2">
        <v>70.0</v>
      </c>
      <c r="P1565" s="2" t="s">
        <v>31</v>
      </c>
      <c r="Q1565" s="2" t="s">
        <v>32</v>
      </c>
      <c r="R1565" s="2">
        <v>22.0</v>
      </c>
      <c r="U1565" s="2" t="b">
        <v>0</v>
      </c>
      <c r="V1565" s="5">
        <v>0.0045</v>
      </c>
      <c r="W1565" s="5">
        <v>0.0156</v>
      </c>
      <c r="X1565" s="5">
        <v>7.1E-5</v>
      </c>
      <c r="Y1565" s="2">
        <v>40.97276265</v>
      </c>
      <c r="Z1565" s="2">
        <v>1841.0</v>
      </c>
      <c r="AA1565" s="2" t="s">
        <v>33</v>
      </c>
    </row>
    <row r="1566">
      <c r="A1566" s="2">
        <v>3386.0</v>
      </c>
      <c r="B1566" s="2" t="s">
        <v>4614</v>
      </c>
      <c r="C1566" s="2" t="s">
        <v>7</v>
      </c>
      <c r="D1566" s="2" t="s">
        <v>4615</v>
      </c>
      <c r="E1566" s="2" t="s">
        <v>4616</v>
      </c>
      <c r="F1566" s="6">
        <v>45922.625</v>
      </c>
      <c r="G1566" s="2">
        <v>66123.0</v>
      </c>
      <c r="H1566" s="2">
        <v>66123.0</v>
      </c>
      <c r="I1566" s="2">
        <v>56614.0</v>
      </c>
      <c r="J1566" s="2">
        <v>262.0</v>
      </c>
      <c r="K1566" s="2">
        <v>224.0</v>
      </c>
      <c r="L1566" s="2">
        <v>3.0</v>
      </c>
      <c r="M1566" s="4">
        <v>5876.0</v>
      </c>
      <c r="N1566" s="2" t="s">
        <v>30</v>
      </c>
      <c r="O1566" s="2">
        <v>70.0</v>
      </c>
      <c r="P1566" s="2" t="s">
        <v>189</v>
      </c>
      <c r="Q1566" s="2" t="s">
        <v>32</v>
      </c>
      <c r="R1566" s="2">
        <v>38.0</v>
      </c>
      <c r="U1566" s="2" t="b">
        <v>0</v>
      </c>
      <c r="V1566" s="5">
        <v>0.004</v>
      </c>
      <c r="W1566" s="5">
        <v>0.0134</v>
      </c>
      <c r="X1566" s="5">
        <v>5.3E-5</v>
      </c>
      <c r="Y1566" s="2">
        <v>26.23214286</v>
      </c>
      <c r="Z1566" s="2">
        <v>2429.0</v>
      </c>
      <c r="AA1566" s="2" t="s">
        <v>33</v>
      </c>
    </row>
    <row r="1567">
      <c r="A1567" s="2">
        <v>3387.0</v>
      </c>
      <c r="B1567" s="2" t="s">
        <v>4617</v>
      </c>
      <c r="C1567" s="2" t="s">
        <v>7</v>
      </c>
      <c r="D1567" s="2" t="s">
        <v>4618</v>
      </c>
      <c r="E1567" s="2" t="s">
        <v>4619</v>
      </c>
      <c r="F1567" s="6">
        <v>45922.62847222222</v>
      </c>
      <c r="G1567" s="2">
        <v>50441.0</v>
      </c>
      <c r="H1567" s="2">
        <v>50441.0</v>
      </c>
      <c r="I1567" s="2">
        <v>42201.0</v>
      </c>
      <c r="J1567" s="2">
        <v>304.0</v>
      </c>
      <c r="K1567" s="2">
        <v>243.0</v>
      </c>
      <c r="L1567" s="2">
        <v>4.0</v>
      </c>
      <c r="M1567" s="4">
        <v>12600.0</v>
      </c>
      <c r="N1567" s="2" t="s">
        <v>36</v>
      </c>
      <c r="O1567" s="2">
        <v>71.0</v>
      </c>
      <c r="P1567" s="2" t="s">
        <v>189</v>
      </c>
      <c r="Q1567" s="2" t="s">
        <v>32</v>
      </c>
      <c r="R1567" s="2">
        <v>35.0</v>
      </c>
      <c r="U1567" s="2" t="b">
        <v>1</v>
      </c>
      <c r="V1567" s="5">
        <v>0.0058</v>
      </c>
      <c r="W1567" s="5">
        <v>0.0165</v>
      </c>
      <c r="X1567" s="5">
        <v>9.5E-5</v>
      </c>
      <c r="Y1567" s="2">
        <v>51.85185185</v>
      </c>
      <c r="AA1567" s="2" t="s">
        <v>33</v>
      </c>
    </row>
    <row r="1568">
      <c r="A1568" s="2">
        <v>3388.0</v>
      </c>
      <c r="B1568" s="2" t="s">
        <v>4620</v>
      </c>
      <c r="C1568" s="2" t="s">
        <v>7</v>
      </c>
      <c r="D1568" s="2" t="s">
        <v>4621</v>
      </c>
      <c r="E1568" s="2" t="s">
        <v>4622</v>
      </c>
      <c r="F1568" s="6">
        <v>45922.76666666667</v>
      </c>
      <c r="G1568" s="2">
        <v>66064.0</v>
      </c>
      <c r="H1568" s="2">
        <v>66064.0</v>
      </c>
      <c r="I1568" s="2">
        <v>56683.0</v>
      </c>
      <c r="J1568" s="2">
        <v>306.0</v>
      </c>
      <c r="K1568" s="2">
        <v>249.0</v>
      </c>
      <c r="L1568" s="2">
        <v>4.0</v>
      </c>
      <c r="M1568" s="4">
        <v>10446.0</v>
      </c>
      <c r="N1568" s="2" t="s">
        <v>30</v>
      </c>
      <c r="O1568" s="2">
        <v>70.0</v>
      </c>
      <c r="P1568" s="2" t="s">
        <v>189</v>
      </c>
      <c r="Q1568" s="2" t="s">
        <v>32</v>
      </c>
      <c r="R1568" s="2">
        <v>22.0</v>
      </c>
      <c r="T1568" s="2" t="s">
        <v>47</v>
      </c>
      <c r="U1568" s="2" t="b">
        <v>0</v>
      </c>
      <c r="V1568" s="5">
        <v>0.0044</v>
      </c>
      <c r="W1568" s="5">
        <v>0.0161</v>
      </c>
      <c r="X1568" s="5">
        <v>7.1E-5</v>
      </c>
      <c r="Y1568" s="2">
        <v>41.95180723</v>
      </c>
      <c r="Z1568" s="2">
        <v>4798.0</v>
      </c>
      <c r="AA1568" s="2" t="s">
        <v>33</v>
      </c>
    </row>
    <row r="1569">
      <c r="A1569" s="2">
        <v>3389.0</v>
      </c>
      <c r="B1569" s="2" t="s">
        <v>4623</v>
      </c>
      <c r="C1569" s="2" t="s">
        <v>7</v>
      </c>
      <c r="D1569" s="2" t="s">
        <v>4624</v>
      </c>
      <c r="E1569" s="2" t="s">
        <v>4625</v>
      </c>
      <c r="F1569" s="6">
        <v>45922.768055555556</v>
      </c>
      <c r="G1569" s="2">
        <v>50371.0</v>
      </c>
      <c r="H1569" s="2">
        <v>50371.0</v>
      </c>
      <c r="I1569" s="2">
        <v>42205.0</v>
      </c>
      <c r="J1569" s="2">
        <v>272.0</v>
      </c>
      <c r="K1569" s="2">
        <v>204.0</v>
      </c>
      <c r="L1569" s="2">
        <v>5.0</v>
      </c>
      <c r="M1569" s="4">
        <v>6094.0</v>
      </c>
      <c r="N1569" s="2" t="s">
        <v>36</v>
      </c>
      <c r="O1569" s="2">
        <v>71.0</v>
      </c>
      <c r="P1569" s="2" t="s">
        <v>189</v>
      </c>
      <c r="Q1569" s="2" t="s">
        <v>32</v>
      </c>
      <c r="R1569" s="2">
        <v>30.0</v>
      </c>
      <c r="T1569" s="2" t="s">
        <v>47</v>
      </c>
      <c r="U1569" s="2" t="b">
        <v>0</v>
      </c>
      <c r="V1569" s="5">
        <v>0.0048</v>
      </c>
      <c r="W1569" s="5">
        <v>0.0245</v>
      </c>
      <c r="X1569" s="5">
        <v>1.18E-4</v>
      </c>
      <c r="Y1569" s="2">
        <v>29.87254902</v>
      </c>
      <c r="AA1569" s="2" t="s">
        <v>33</v>
      </c>
    </row>
    <row r="1570">
      <c r="A1570" s="2">
        <v>3391.0</v>
      </c>
      <c r="B1570" s="2" t="s">
        <v>4626</v>
      </c>
      <c r="C1570" s="2" t="s">
        <v>7</v>
      </c>
      <c r="D1570" s="2" t="s">
        <v>4627</v>
      </c>
      <c r="E1570" s="2" t="s">
        <v>4628</v>
      </c>
      <c r="F1570" s="6">
        <v>45922.875</v>
      </c>
      <c r="G1570" s="2">
        <v>50350.0</v>
      </c>
      <c r="H1570" s="2">
        <v>50350.0</v>
      </c>
      <c r="I1570" s="2">
        <v>42185.0</v>
      </c>
      <c r="J1570" s="2">
        <v>413.0</v>
      </c>
      <c r="K1570" s="2">
        <v>322.0</v>
      </c>
      <c r="L1570" s="2">
        <v>11.0</v>
      </c>
      <c r="M1570" s="4">
        <v>18936.0</v>
      </c>
      <c r="N1570" s="2" t="s">
        <v>36</v>
      </c>
      <c r="O1570" s="2">
        <v>71.0</v>
      </c>
      <c r="P1570" s="2" t="s">
        <v>189</v>
      </c>
      <c r="Q1570" s="2" t="s">
        <v>32</v>
      </c>
      <c r="R1570" s="2">
        <v>36.0</v>
      </c>
      <c r="U1570" s="2" t="b">
        <v>1</v>
      </c>
      <c r="V1570" s="5">
        <v>0.0076</v>
      </c>
      <c r="W1570" s="5">
        <v>0.0342</v>
      </c>
      <c r="X1570" s="5">
        <v>2.61E-4</v>
      </c>
      <c r="Y1570" s="2">
        <v>58.80745342</v>
      </c>
      <c r="AA1570" s="2" t="s">
        <v>33</v>
      </c>
    </row>
    <row r="1571">
      <c r="A1571" s="2">
        <v>3390.0</v>
      </c>
      <c r="B1571" s="2" t="s">
        <v>4629</v>
      </c>
      <c r="C1571" s="2" t="s">
        <v>7</v>
      </c>
      <c r="D1571" s="2" t="s">
        <v>4630</v>
      </c>
      <c r="E1571" s="2" t="s">
        <v>4631</v>
      </c>
      <c r="F1571" s="6">
        <v>45922.875</v>
      </c>
      <c r="G1571" s="2">
        <v>66067.0</v>
      </c>
      <c r="H1571" s="2">
        <v>66067.0</v>
      </c>
      <c r="I1571" s="2">
        <v>56666.0</v>
      </c>
      <c r="J1571" s="2">
        <v>476.0</v>
      </c>
      <c r="K1571" s="2">
        <v>389.0</v>
      </c>
      <c r="L1571" s="2">
        <v>7.0</v>
      </c>
      <c r="M1571" s="4">
        <v>13281.0</v>
      </c>
      <c r="N1571" s="2" t="s">
        <v>30</v>
      </c>
      <c r="O1571" s="2">
        <v>70.0</v>
      </c>
      <c r="P1571" s="2" t="s">
        <v>189</v>
      </c>
      <c r="Q1571" s="2" t="s">
        <v>32</v>
      </c>
      <c r="R1571" s="2">
        <v>36.0</v>
      </c>
      <c r="T1571" s="2" t="s">
        <v>405</v>
      </c>
      <c r="U1571" s="2" t="b">
        <v>0</v>
      </c>
      <c r="V1571" s="5">
        <v>0.0069</v>
      </c>
      <c r="W1571" s="5">
        <v>0.018</v>
      </c>
      <c r="X1571" s="5">
        <v>1.24E-4</v>
      </c>
      <c r="Y1571" s="2">
        <v>34.14138817</v>
      </c>
      <c r="Z1571" s="2">
        <v>2749.0</v>
      </c>
      <c r="AA1571" s="2" t="s">
        <v>33</v>
      </c>
    </row>
    <row r="1572">
      <c r="A1572" s="2">
        <v>3393.0</v>
      </c>
      <c r="B1572" s="2" t="s">
        <v>4632</v>
      </c>
      <c r="C1572" s="2" t="s">
        <v>7</v>
      </c>
      <c r="D1572" s="2" t="s">
        <v>4633</v>
      </c>
      <c r="E1572" s="2" t="s">
        <v>4634</v>
      </c>
      <c r="F1572" s="6">
        <v>45923.48333333333</v>
      </c>
      <c r="G1572" s="2">
        <v>50338.0</v>
      </c>
      <c r="H1572" s="2">
        <v>50338.0</v>
      </c>
      <c r="I1572" s="2">
        <v>41887.0</v>
      </c>
      <c r="J1572" s="2">
        <v>229.0</v>
      </c>
      <c r="K1572" s="2">
        <v>177.0</v>
      </c>
      <c r="L1572" s="2">
        <v>3.0</v>
      </c>
      <c r="M1572" s="4">
        <v>2498.0</v>
      </c>
      <c r="N1572" s="2" t="s">
        <v>36</v>
      </c>
      <c r="O1572" s="2">
        <v>71.0</v>
      </c>
      <c r="P1572" s="2" t="s">
        <v>189</v>
      </c>
      <c r="Q1572" s="2" t="s">
        <v>32</v>
      </c>
      <c r="R1572" s="2">
        <v>42.0</v>
      </c>
      <c r="U1572" s="2" t="b">
        <v>0</v>
      </c>
      <c r="V1572" s="5">
        <v>0.0042</v>
      </c>
      <c r="W1572" s="5">
        <v>0.0169</v>
      </c>
      <c r="X1572" s="5">
        <v>7.2E-5</v>
      </c>
      <c r="Y1572" s="2">
        <v>14.11299435</v>
      </c>
      <c r="AA1572" s="2" t="s">
        <v>33</v>
      </c>
    </row>
    <row r="1573">
      <c r="A1573" s="2">
        <v>3392.0</v>
      </c>
      <c r="B1573" s="2" t="s">
        <v>4635</v>
      </c>
      <c r="C1573" s="2" t="s">
        <v>7</v>
      </c>
      <c r="D1573" s="2" t="s">
        <v>4636</v>
      </c>
      <c r="E1573" s="2" t="s">
        <v>4637</v>
      </c>
      <c r="F1573" s="6">
        <v>45923.48333333333</v>
      </c>
      <c r="G1573" s="2">
        <v>66063.0</v>
      </c>
      <c r="H1573" s="2">
        <v>66063.0</v>
      </c>
      <c r="I1573" s="2">
        <v>56517.0</v>
      </c>
      <c r="J1573" s="2">
        <v>257.0</v>
      </c>
      <c r="K1573" s="2">
        <v>200.0</v>
      </c>
      <c r="L1573" s="2">
        <v>2.0</v>
      </c>
      <c r="M1573" s="4">
        <v>6459.0</v>
      </c>
      <c r="N1573" s="2" t="s">
        <v>30</v>
      </c>
      <c r="O1573" s="2">
        <v>70.0</v>
      </c>
      <c r="P1573" s="2" t="s">
        <v>189</v>
      </c>
      <c r="Q1573" s="2" t="s">
        <v>32</v>
      </c>
      <c r="R1573" s="2">
        <v>30.0</v>
      </c>
      <c r="T1573" s="7" t="str">
        <f>IFERROR(__xludf.DUMMYFUNCTION("AI(""has offer Come X Pay X"",D671)"),"🥂 Find Your Happy Moment with Copper Buffethas offer Come X Pay X")</f>
        <v>🥂 Find Your Happy Moment with Copper Buffethas offer Come X Pay X</v>
      </c>
      <c r="U1573" s="2" t="b">
        <v>0</v>
      </c>
      <c r="V1573" s="5">
        <v>0.0035</v>
      </c>
      <c r="W1573" s="5">
        <v>0.01</v>
      </c>
      <c r="X1573" s="5">
        <v>3.5E-5</v>
      </c>
      <c r="Y1573" s="2">
        <v>32.295</v>
      </c>
      <c r="Z1573" s="2">
        <v>2382.0</v>
      </c>
      <c r="AA1573" s="2" t="s">
        <v>33</v>
      </c>
    </row>
    <row r="1574">
      <c r="A1574" s="2">
        <v>3395.0</v>
      </c>
      <c r="B1574" s="2" t="s">
        <v>4638</v>
      </c>
      <c r="C1574" s="2" t="s">
        <v>7</v>
      </c>
      <c r="D1574" s="2" t="s">
        <v>4639</v>
      </c>
      <c r="E1574" s="2" t="s">
        <v>4640</v>
      </c>
      <c r="F1574" s="6">
        <v>45923.625</v>
      </c>
      <c r="G1574" s="2">
        <v>50322.0</v>
      </c>
      <c r="H1574" s="2">
        <v>50322.0</v>
      </c>
      <c r="I1574" s="2">
        <v>42111.0</v>
      </c>
      <c r="J1574" s="2">
        <v>309.0</v>
      </c>
      <c r="K1574" s="2">
        <v>231.0</v>
      </c>
      <c r="L1574" s="2">
        <v>5.0</v>
      </c>
      <c r="M1574" s="4">
        <v>15602.0</v>
      </c>
      <c r="N1574" s="2" t="s">
        <v>36</v>
      </c>
      <c r="O1574" s="2">
        <v>71.0</v>
      </c>
      <c r="P1574" s="2" t="s">
        <v>189</v>
      </c>
      <c r="Q1574" s="2" t="s">
        <v>32</v>
      </c>
      <c r="R1574" s="2">
        <v>40.0</v>
      </c>
      <c r="T1574" s="2" t="s">
        <v>58</v>
      </c>
      <c r="U1574" s="2" t="b">
        <v>1</v>
      </c>
      <c r="V1574" s="5">
        <v>0.0055</v>
      </c>
      <c r="W1574" s="5">
        <v>0.0216</v>
      </c>
      <c r="X1574" s="5">
        <v>1.19E-4</v>
      </c>
      <c r="Y1574" s="2">
        <v>67.54112554</v>
      </c>
      <c r="AA1574" s="2" t="s">
        <v>33</v>
      </c>
    </row>
    <row r="1575">
      <c r="A1575" s="2">
        <v>3394.0</v>
      </c>
      <c r="B1575" s="2" t="s">
        <v>4641</v>
      </c>
      <c r="C1575" s="2" t="s">
        <v>7</v>
      </c>
      <c r="D1575" s="2" t="s">
        <v>4642</v>
      </c>
      <c r="E1575" s="2" t="s">
        <v>4643</v>
      </c>
      <c r="F1575" s="6">
        <v>45923.625</v>
      </c>
      <c r="G1575" s="2">
        <v>66053.0</v>
      </c>
      <c r="H1575" s="2">
        <v>66053.0</v>
      </c>
      <c r="I1575" s="2">
        <v>56580.0</v>
      </c>
      <c r="J1575" s="2">
        <v>335.0</v>
      </c>
      <c r="K1575" s="2">
        <v>272.0</v>
      </c>
      <c r="L1575" s="2">
        <v>3.0</v>
      </c>
      <c r="M1575" s="4">
        <v>7145.0</v>
      </c>
      <c r="N1575" s="2" t="s">
        <v>30</v>
      </c>
      <c r="O1575" s="2">
        <v>70.0</v>
      </c>
      <c r="P1575" s="2" t="s">
        <v>189</v>
      </c>
      <c r="Q1575" s="2" t="s">
        <v>32</v>
      </c>
      <c r="R1575" s="2">
        <v>40.0</v>
      </c>
      <c r="T1575" s="2" t="s">
        <v>143</v>
      </c>
      <c r="U1575" s="2" t="b">
        <v>0</v>
      </c>
      <c r="V1575" s="5">
        <v>0.0048</v>
      </c>
      <c r="W1575" s="5">
        <v>0.011</v>
      </c>
      <c r="X1575" s="5">
        <v>5.3E-5</v>
      </c>
      <c r="Y1575" s="2">
        <v>26.26838235</v>
      </c>
      <c r="AA1575" s="2" t="s">
        <v>33</v>
      </c>
    </row>
    <row r="1576">
      <c r="A1576" s="2">
        <v>3397.0</v>
      </c>
      <c r="B1576" s="2" t="s">
        <v>4644</v>
      </c>
      <c r="C1576" s="2" t="s">
        <v>7</v>
      </c>
      <c r="D1576" s="2" t="s">
        <v>4645</v>
      </c>
      <c r="E1576" s="2" t="s">
        <v>4646</v>
      </c>
      <c r="F1576" s="6">
        <v>45923.708333333336</v>
      </c>
      <c r="G1576" s="2">
        <v>50300.0</v>
      </c>
      <c r="H1576" s="2">
        <v>50300.0</v>
      </c>
      <c r="I1576" s="2">
        <v>42029.0</v>
      </c>
      <c r="J1576" s="2">
        <v>290.0</v>
      </c>
      <c r="K1576" s="2">
        <v>237.0</v>
      </c>
      <c r="L1576" s="2">
        <v>5.0</v>
      </c>
      <c r="M1576" s="4">
        <v>9262.0</v>
      </c>
      <c r="N1576" s="2" t="s">
        <v>36</v>
      </c>
      <c r="O1576" s="2">
        <v>71.0</v>
      </c>
      <c r="P1576" s="2" t="s">
        <v>31</v>
      </c>
      <c r="Q1576" s="2" t="s">
        <v>32</v>
      </c>
      <c r="R1576" s="2">
        <v>32.0</v>
      </c>
      <c r="T1576" s="2" t="s">
        <v>58</v>
      </c>
      <c r="U1576" s="2" t="b">
        <v>1</v>
      </c>
      <c r="V1576" s="5">
        <v>0.0056</v>
      </c>
      <c r="W1576" s="5">
        <v>0.0211</v>
      </c>
      <c r="X1576" s="5">
        <v>1.19E-4</v>
      </c>
      <c r="Y1576" s="2">
        <v>39.08016878</v>
      </c>
      <c r="AA1576" s="2" t="s">
        <v>33</v>
      </c>
    </row>
    <row r="1577">
      <c r="A1577" s="2">
        <v>3396.0</v>
      </c>
      <c r="B1577" s="2" t="s">
        <v>4647</v>
      </c>
      <c r="C1577" s="2" t="s">
        <v>7</v>
      </c>
      <c r="D1577" s="2" t="s">
        <v>4648</v>
      </c>
      <c r="E1577" s="2" t="s">
        <v>4649</v>
      </c>
      <c r="F1577" s="6">
        <v>45923.708333333336</v>
      </c>
      <c r="G1577" s="2">
        <v>66056.0</v>
      </c>
      <c r="H1577" s="2">
        <v>66056.0</v>
      </c>
      <c r="I1577" s="2">
        <v>56510.0</v>
      </c>
      <c r="J1577" s="2">
        <v>372.0</v>
      </c>
      <c r="K1577" s="2">
        <v>300.0</v>
      </c>
      <c r="L1577" s="2">
        <v>3.0</v>
      </c>
      <c r="M1577" s="4">
        <v>6825.0</v>
      </c>
      <c r="N1577" s="2" t="s">
        <v>30</v>
      </c>
      <c r="O1577" s="2">
        <v>70.0</v>
      </c>
      <c r="P1577" s="2" t="s">
        <v>189</v>
      </c>
      <c r="Q1577" s="2" t="s">
        <v>32</v>
      </c>
      <c r="R1577" s="2">
        <v>32.0</v>
      </c>
      <c r="T1577" s="2" t="s">
        <v>58</v>
      </c>
      <c r="U1577" s="2" t="b">
        <v>0</v>
      </c>
      <c r="V1577" s="5">
        <v>0.0053</v>
      </c>
      <c r="W1577" s="5">
        <v>0.01</v>
      </c>
      <c r="X1577" s="5">
        <v>5.3E-5</v>
      </c>
      <c r="Y1577" s="2">
        <v>22.75</v>
      </c>
      <c r="Z1577" s="2">
        <v>4254.0</v>
      </c>
      <c r="AA1577" s="2" t="s">
        <v>33</v>
      </c>
    </row>
    <row r="1578">
      <c r="A1578" s="2">
        <v>3399.0</v>
      </c>
      <c r="B1578" s="2" t="s">
        <v>4650</v>
      </c>
      <c r="C1578" s="2" t="s">
        <v>7</v>
      </c>
      <c r="D1578" s="2" t="s">
        <v>3333</v>
      </c>
      <c r="E1578" s="2" t="s">
        <v>3334</v>
      </c>
      <c r="F1578" s="6">
        <v>45924.458333333336</v>
      </c>
      <c r="G1578" s="2">
        <v>50352.0</v>
      </c>
      <c r="H1578" s="2">
        <v>50352.0</v>
      </c>
      <c r="I1578" s="2">
        <v>41776.0</v>
      </c>
      <c r="J1578" s="2">
        <v>240.0</v>
      </c>
      <c r="K1578" s="2">
        <v>188.0</v>
      </c>
      <c r="L1578" s="2">
        <v>3.0</v>
      </c>
      <c r="M1578" s="4">
        <v>15089.0</v>
      </c>
      <c r="N1578" s="2" t="s">
        <v>36</v>
      </c>
      <c r="O1578" s="2">
        <v>71.0</v>
      </c>
      <c r="P1578" s="2" t="s">
        <v>189</v>
      </c>
      <c r="Q1578" s="2" t="s">
        <v>32</v>
      </c>
      <c r="R1578" s="2">
        <v>43.0</v>
      </c>
      <c r="U1578" s="2" t="b">
        <v>0</v>
      </c>
      <c r="V1578" s="5">
        <v>0.0045</v>
      </c>
      <c r="W1578" s="5">
        <v>0.016</v>
      </c>
      <c r="X1578" s="5">
        <v>7.2E-5</v>
      </c>
      <c r="Y1578" s="2">
        <v>80.2606383</v>
      </c>
      <c r="AA1578" s="2" t="s">
        <v>33</v>
      </c>
    </row>
    <row r="1579">
      <c r="A1579" s="2">
        <v>3398.0</v>
      </c>
      <c r="B1579" s="2" t="s">
        <v>4651</v>
      </c>
      <c r="C1579" s="2" t="s">
        <v>7</v>
      </c>
      <c r="D1579" s="2" t="s">
        <v>3908</v>
      </c>
      <c r="E1579" s="2" t="s">
        <v>3337</v>
      </c>
      <c r="F1579" s="6">
        <v>45924.458333333336</v>
      </c>
      <c r="G1579" s="2">
        <v>66070.0</v>
      </c>
      <c r="H1579" s="2">
        <v>66070.0</v>
      </c>
      <c r="I1579" s="2">
        <v>56256.0</v>
      </c>
      <c r="J1579" s="2">
        <v>296.0</v>
      </c>
      <c r="K1579" s="2">
        <v>240.0</v>
      </c>
      <c r="L1579" s="2">
        <v>9.0</v>
      </c>
      <c r="M1579" s="4">
        <v>22530.0</v>
      </c>
      <c r="N1579" s="2" t="s">
        <v>30</v>
      </c>
      <c r="O1579" s="2">
        <v>70.0</v>
      </c>
      <c r="P1579" s="2" t="s">
        <v>189</v>
      </c>
      <c r="Q1579" s="2" t="s">
        <v>32</v>
      </c>
      <c r="R1579" s="2">
        <v>31.0</v>
      </c>
      <c r="T1579" s="7" t="str">
        <f>IFERROR(__xludf.DUMMYFUNCTION("AI(""has offer Come X Pay X"",D1579)"),"Has Offer - Come Pay X")</f>
        <v>Has Offer - Come Pay X</v>
      </c>
      <c r="U1579" s="2" t="b">
        <v>0</v>
      </c>
      <c r="V1579" s="5">
        <v>0.0043</v>
      </c>
      <c r="W1579" s="5">
        <v>0.0375</v>
      </c>
      <c r="X1579" s="5">
        <v>1.6E-4</v>
      </c>
      <c r="Y1579" s="2">
        <v>93.875</v>
      </c>
      <c r="AA1579" s="2" t="s">
        <v>33</v>
      </c>
    </row>
    <row r="1580">
      <c r="A1580" s="2">
        <v>3401.0</v>
      </c>
      <c r="B1580" s="2" t="s">
        <v>4652</v>
      </c>
      <c r="C1580" s="2" t="s">
        <v>7</v>
      </c>
      <c r="D1580" s="2" t="s">
        <v>4653</v>
      </c>
      <c r="E1580" s="2" t="s">
        <v>4654</v>
      </c>
      <c r="F1580" s="6">
        <v>45924.625</v>
      </c>
      <c r="G1580" s="2">
        <v>50360.0</v>
      </c>
      <c r="H1580" s="2">
        <v>50360.0</v>
      </c>
      <c r="I1580" s="2">
        <v>42056.0</v>
      </c>
      <c r="J1580" s="2">
        <v>298.0</v>
      </c>
      <c r="K1580" s="2">
        <v>229.0</v>
      </c>
      <c r="L1580" s="2">
        <v>1.0</v>
      </c>
      <c r="M1580" s="4">
        <v>2277.0</v>
      </c>
      <c r="N1580" s="2" t="s">
        <v>36</v>
      </c>
      <c r="O1580" s="2">
        <v>71.0</v>
      </c>
      <c r="P1580" s="2" t="s">
        <v>189</v>
      </c>
      <c r="Q1580" s="2" t="s">
        <v>32</v>
      </c>
      <c r="R1580" s="2">
        <v>30.0</v>
      </c>
      <c r="T1580" s="2" t="s">
        <v>58</v>
      </c>
      <c r="U1580" s="2" t="b">
        <v>1</v>
      </c>
      <c r="V1580" s="5">
        <v>0.0054</v>
      </c>
      <c r="W1580" s="5">
        <v>0.0044</v>
      </c>
      <c r="X1580" s="5">
        <v>2.4E-5</v>
      </c>
      <c r="Y1580" s="2">
        <v>9.943231441</v>
      </c>
      <c r="AA1580" s="2" t="s">
        <v>33</v>
      </c>
    </row>
    <row r="1581">
      <c r="A1581" s="2">
        <v>3400.0</v>
      </c>
      <c r="B1581" s="2" t="s">
        <v>4655</v>
      </c>
      <c r="C1581" s="2" t="s">
        <v>7</v>
      </c>
      <c r="D1581" s="2" t="s">
        <v>4656</v>
      </c>
      <c r="E1581" s="2" t="s">
        <v>4657</v>
      </c>
      <c r="F1581" s="6">
        <v>45924.625</v>
      </c>
      <c r="G1581" s="2">
        <v>66068.0</v>
      </c>
      <c r="H1581" s="2">
        <v>66068.0</v>
      </c>
      <c r="I1581" s="2">
        <v>56462.0</v>
      </c>
      <c r="J1581" s="2">
        <v>424.0</v>
      </c>
      <c r="K1581" s="2">
        <v>351.0</v>
      </c>
      <c r="L1581" s="2">
        <v>7.0</v>
      </c>
      <c r="M1581" s="4">
        <v>17704.0</v>
      </c>
      <c r="N1581" s="2" t="s">
        <v>30</v>
      </c>
      <c r="O1581" s="2">
        <v>70.0</v>
      </c>
      <c r="P1581" s="2" t="s">
        <v>189</v>
      </c>
      <c r="Q1581" s="2" t="s">
        <v>32</v>
      </c>
      <c r="R1581" s="2">
        <v>27.0</v>
      </c>
      <c r="T1581" s="2" t="s">
        <v>1185</v>
      </c>
      <c r="U1581" s="2" t="b">
        <v>0</v>
      </c>
      <c r="V1581" s="5">
        <v>0.0062</v>
      </c>
      <c r="W1581" s="5">
        <v>0.0199</v>
      </c>
      <c r="X1581" s="5">
        <v>1.24E-4</v>
      </c>
      <c r="Y1581" s="2">
        <v>50.43874644</v>
      </c>
      <c r="Z1581" s="2" t="s">
        <v>3110</v>
      </c>
      <c r="AA1581" s="2" t="s">
        <v>33</v>
      </c>
    </row>
    <row r="1582">
      <c r="A1582" s="2">
        <v>3403.0</v>
      </c>
      <c r="B1582" s="2" t="s">
        <v>4658</v>
      </c>
      <c r="C1582" s="2" t="s">
        <v>7</v>
      </c>
      <c r="D1582" s="2" t="s">
        <v>4659</v>
      </c>
      <c r="E1582" s="2" t="s">
        <v>4660</v>
      </c>
      <c r="F1582" s="6">
        <v>45924.708333333336</v>
      </c>
      <c r="G1582" s="2">
        <v>50301.0</v>
      </c>
      <c r="H1582" s="2">
        <v>50301.0</v>
      </c>
      <c r="I1582" s="2">
        <v>41939.0</v>
      </c>
      <c r="J1582" s="2">
        <v>439.0</v>
      </c>
      <c r="K1582" s="2">
        <v>338.0</v>
      </c>
      <c r="L1582" s="2">
        <v>6.0</v>
      </c>
      <c r="M1582" s="4">
        <v>8086.0</v>
      </c>
      <c r="N1582" s="2" t="s">
        <v>36</v>
      </c>
      <c r="O1582" s="2">
        <v>71.0</v>
      </c>
      <c r="P1582" s="2" t="s">
        <v>31</v>
      </c>
      <c r="Q1582" s="2" t="s">
        <v>32</v>
      </c>
      <c r="R1582" s="2">
        <v>37.0</v>
      </c>
      <c r="T1582" s="2" t="s">
        <v>58</v>
      </c>
      <c r="U1582" s="2" t="b">
        <v>0</v>
      </c>
      <c r="V1582" s="5">
        <v>0.0081</v>
      </c>
      <c r="W1582" s="5">
        <v>0.0178</v>
      </c>
      <c r="X1582" s="5">
        <v>1.43E-4</v>
      </c>
      <c r="Y1582" s="2">
        <v>23.92307692</v>
      </c>
      <c r="AA1582" s="2" t="s">
        <v>33</v>
      </c>
    </row>
    <row r="1583">
      <c r="A1583" s="2">
        <v>3402.0</v>
      </c>
      <c r="B1583" s="2" t="s">
        <v>4661</v>
      </c>
      <c r="C1583" s="2" t="s">
        <v>7</v>
      </c>
      <c r="D1583" s="2" t="s">
        <v>4662</v>
      </c>
      <c r="E1583" s="2" t="s">
        <v>4663</v>
      </c>
      <c r="F1583" s="6">
        <v>45924.708333333336</v>
      </c>
      <c r="G1583" s="2">
        <v>66009.0</v>
      </c>
      <c r="H1583" s="2">
        <v>66009.0</v>
      </c>
      <c r="I1583" s="2">
        <v>56403.0</v>
      </c>
      <c r="J1583" s="2">
        <v>569.0</v>
      </c>
      <c r="K1583" s="2">
        <v>431.0</v>
      </c>
      <c r="L1583" s="2">
        <v>12.0</v>
      </c>
      <c r="M1583" s="4">
        <v>20008.0</v>
      </c>
      <c r="N1583" s="2" t="s">
        <v>30</v>
      </c>
      <c r="O1583" s="2">
        <v>70.0</v>
      </c>
      <c r="P1583" s="2" t="s">
        <v>31</v>
      </c>
      <c r="Q1583" s="2" t="s">
        <v>32</v>
      </c>
      <c r="R1583" s="2">
        <v>31.0</v>
      </c>
      <c r="T1583" s="2" t="s">
        <v>405</v>
      </c>
      <c r="U1583" s="2" t="b">
        <v>0</v>
      </c>
      <c r="V1583" s="5">
        <v>0.0076</v>
      </c>
      <c r="W1583" s="5">
        <v>0.0278</v>
      </c>
      <c r="X1583" s="5">
        <v>2.13E-4</v>
      </c>
      <c r="Y1583" s="2">
        <v>46.42227378</v>
      </c>
      <c r="Z1583" s="2">
        <v>3167.0</v>
      </c>
      <c r="AA1583" s="2" t="s">
        <v>33</v>
      </c>
    </row>
    <row r="1584">
      <c r="A1584" s="2">
        <v>3405.0</v>
      </c>
      <c r="B1584" s="2" t="s">
        <v>4664</v>
      </c>
      <c r="C1584" s="2" t="s">
        <v>7</v>
      </c>
      <c r="D1584" s="2" t="s">
        <v>4665</v>
      </c>
      <c r="E1584" s="2" t="s">
        <v>4666</v>
      </c>
      <c r="F1584" s="6">
        <v>45925.458333333336</v>
      </c>
      <c r="G1584" s="2">
        <v>50295.0</v>
      </c>
      <c r="H1584" s="2">
        <v>50295.0</v>
      </c>
      <c r="I1584" s="2">
        <v>41650.0</v>
      </c>
      <c r="J1584" s="2">
        <v>392.0</v>
      </c>
      <c r="K1584" s="2">
        <v>304.0</v>
      </c>
      <c r="L1584" s="2">
        <v>6.0</v>
      </c>
      <c r="M1584" s="4">
        <v>12428.0</v>
      </c>
      <c r="N1584" s="2" t="s">
        <v>36</v>
      </c>
      <c r="O1584" s="2">
        <v>71.0</v>
      </c>
      <c r="P1584" s="2" t="s">
        <v>189</v>
      </c>
      <c r="Q1584" s="2" t="s">
        <v>32</v>
      </c>
      <c r="R1584" s="2">
        <v>44.0</v>
      </c>
      <c r="T1584" s="2" t="s">
        <v>58</v>
      </c>
      <c r="U1584" s="2" t="b">
        <v>1</v>
      </c>
      <c r="V1584" s="5">
        <v>0.0073</v>
      </c>
      <c r="W1584" s="5">
        <v>0.0197</v>
      </c>
      <c r="X1584" s="5">
        <v>1.44E-4</v>
      </c>
      <c r="Y1584" s="2">
        <v>40.88157895</v>
      </c>
      <c r="AA1584" s="2" t="s">
        <v>33</v>
      </c>
    </row>
    <row r="1585">
      <c r="A1585" s="2">
        <v>3404.0</v>
      </c>
      <c r="B1585" s="2" t="s">
        <v>4667</v>
      </c>
      <c r="C1585" s="2" t="s">
        <v>7</v>
      </c>
      <c r="D1585" s="2" t="s">
        <v>4668</v>
      </c>
      <c r="E1585" s="2" t="s">
        <v>4669</v>
      </c>
      <c r="F1585" s="6">
        <v>45925.458333333336</v>
      </c>
      <c r="G1585" s="2">
        <v>65992.0</v>
      </c>
      <c r="H1585" s="2">
        <v>65992.0</v>
      </c>
      <c r="I1585" s="2">
        <v>56110.0</v>
      </c>
      <c r="J1585" s="2">
        <v>448.0</v>
      </c>
      <c r="K1585" s="2">
        <v>364.0</v>
      </c>
      <c r="L1585" s="2">
        <v>10.0</v>
      </c>
      <c r="M1585" s="4">
        <v>23818.0</v>
      </c>
      <c r="N1585" s="2" t="s">
        <v>30</v>
      </c>
      <c r="O1585" s="2">
        <v>70.0</v>
      </c>
      <c r="P1585" s="2" t="s">
        <v>189</v>
      </c>
      <c r="Q1585" s="2" t="s">
        <v>32</v>
      </c>
      <c r="R1585" s="2">
        <v>43.0</v>
      </c>
      <c r="T1585" s="2" t="s">
        <v>405</v>
      </c>
      <c r="U1585" s="2" t="b">
        <v>0</v>
      </c>
      <c r="V1585" s="5">
        <v>0.0065</v>
      </c>
      <c r="W1585" s="5">
        <v>0.0275</v>
      </c>
      <c r="X1585" s="5">
        <v>1.78E-4</v>
      </c>
      <c r="Y1585" s="2">
        <v>65.43406593</v>
      </c>
      <c r="AA1585" s="2" t="s">
        <v>33</v>
      </c>
    </row>
    <row r="1586">
      <c r="A1586" s="2">
        <v>3407.0</v>
      </c>
      <c r="B1586" s="2" t="s">
        <v>4670</v>
      </c>
      <c r="C1586" s="2" t="s">
        <v>7</v>
      </c>
      <c r="D1586" s="2" t="s">
        <v>4671</v>
      </c>
      <c r="E1586" s="2" t="s">
        <v>4672</v>
      </c>
      <c r="F1586" s="6">
        <v>45925.625</v>
      </c>
      <c r="G1586" s="2">
        <v>50307.0</v>
      </c>
      <c r="H1586" s="2">
        <v>50307.0</v>
      </c>
      <c r="I1586" s="2">
        <v>41877.0</v>
      </c>
      <c r="J1586" s="2">
        <v>332.0</v>
      </c>
      <c r="K1586" s="2">
        <v>256.0</v>
      </c>
      <c r="L1586" s="2">
        <v>4.0</v>
      </c>
      <c r="M1586" s="4">
        <v>16973.0</v>
      </c>
      <c r="N1586" s="2" t="s">
        <v>36</v>
      </c>
      <c r="O1586" s="2">
        <v>71.0</v>
      </c>
      <c r="P1586" s="2" t="s">
        <v>189</v>
      </c>
      <c r="Q1586" s="2" t="s">
        <v>32</v>
      </c>
      <c r="R1586" s="2">
        <v>48.0</v>
      </c>
      <c r="T1586" s="2" t="s">
        <v>58</v>
      </c>
      <c r="U1586" s="2" t="b">
        <v>1</v>
      </c>
      <c r="V1586" s="5">
        <v>0.0061</v>
      </c>
      <c r="W1586" s="5">
        <v>0.0156</v>
      </c>
      <c r="X1586" s="5">
        <v>9.6E-5</v>
      </c>
      <c r="Y1586" s="2">
        <v>66.30078125</v>
      </c>
      <c r="AA1586" s="2" t="s">
        <v>33</v>
      </c>
    </row>
    <row r="1587">
      <c r="A1587" s="2">
        <v>3406.0</v>
      </c>
      <c r="B1587" s="2" t="s">
        <v>4673</v>
      </c>
      <c r="C1587" s="2" t="s">
        <v>7</v>
      </c>
      <c r="D1587" s="2" t="s">
        <v>4674</v>
      </c>
      <c r="E1587" s="2" t="s">
        <v>4675</v>
      </c>
      <c r="F1587" s="6">
        <v>45925.625</v>
      </c>
      <c r="G1587" s="2">
        <v>65994.0</v>
      </c>
      <c r="H1587" s="2">
        <v>65994.0</v>
      </c>
      <c r="I1587" s="2">
        <v>56230.0</v>
      </c>
      <c r="J1587" s="2">
        <v>503.0</v>
      </c>
      <c r="K1587" s="2">
        <v>401.0</v>
      </c>
      <c r="L1587" s="2">
        <v>8.0</v>
      </c>
      <c r="M1587" s="4">
        <v>17575.0</v>
      </c>
      <c r="N1587" s="2" t="s">
        <v>30</v>
      </c>
      <c r="O1587" s="2">
        <v>70.0</v>
      </c>
      <c r="P1587" s="2" t="s">
        <v>189</v>
      </c>
      <c r="Q1587" s="2" t="s">
        <v>32</v>
      </c>
      <c r="R1587" s="2">
        <v>43.0</v>
      </c>
      <c r="T1587" s="2" t="s">
        <v>58</v>
      </c>
      <c r="U1587" s="2" t="b">
        <v>0</v>
      </c>
      <c r="V1587" s="5">
        <v>0.0071</v>
      </c>
      <c r="W1587" s="5">
        <v>0.02</v>
      </c>
      <c r="X1587" s="5">
        <v>1.42E-4</v>
      </c>
      <c r="Y1587" s="2">
        <v>43.82793017</v>
      </c>
      <c r="AA1587" s="2" t="s">
        <v>33</v>
      </c>
    </row>
    <row r="1588">
      <c r="A1588" s="2">
        <v>3409.0</v>
      </c>
      <c r="B1588" s="2" t="s">
        <v>4676</v>
      </c>
      <c r="C1588" s="2" t="s">
        <v>7</v>
      </c>
      <c r="D1588" s="2" t="s">
        <v>4677</v>
      </c>
      <c r="E1588" s="2" t="s">
        <v>4678</v>
      </c>
      <c r="F1588" s="6">
        <v>45925.708333333336</v>
      </c>
      <c r="G1588" s="2">
        <v>50215.0</v>
      </c>
      <c r="H1588" s="2">
        <v>50215.0</v>
      </c>
      <c r="I1588" s="2">
        <v>41753.0</v>
      </c>
      <c r="J1588" s="2">
        <v>324.0</v>
      </c>
      <c r="K1588" s="2">
        <v>260.0</v>
      </c>
      <c r="L1588" s="2">
        <v>2.0</v>
      </c>
      <c r="M1588" s="4">
        <v>2626.0</v>
      </c>
      <c r="N1588" s="2" t="s">
        <v>36</v>
      </c>
      <c r="O1588" s="2">
        <v>71.0</v>
      </c>
      <c r="P1588" s="2" t="s">
        <v>31</v>
      </c>
      <c r="Q1588" s="2" t="s">
        <v>32</v>
      </c>
      <c r="R1588" s="2">
        <v>39.0</v>
      </c>
      <c r="U1588" s="2" t="b">
        <v>0</v>
      </c>
      <c r="V1588" s="5">
        <v>0.0062</v>
      </c>
      <c r="W1588" s="5">
        <v>0.0077</v>
      </c>
      <c r="X1588" s="5">
        <v>4.8E-5</v>
      </c>
      <c r="Y1588" s="2">
        <v>10.1</v>
      </c>
      <c r="AA1588" s="2" t="s">
        <v>33</v>
      </c>
    </row>
    <row r="1589">
      <c r="A1589" s="2">
        <v>3408.0</v>
      </c>
      <c r="B1589" s="2" t="s">
        <v>4679</v>
      </c>
      <c r="C1589" s="2" t="s">
        <v>7</v>
      </c>
      <c r="D1589" s="2" t="s">
        <v>4680</v>
      </c>
      <c r="E1589" s="2" t="s">
        <v>4681</v>
      </c>
      <c r="F1589" s="6">
        <v>45925.708333333336</v>
      </c>
      <c r="G1589" s="2">
        <v>65951.0</v>
      </c>
      <c r="H1589" s="2">
        <v>65951.0</v>
      </c>
      <c r="I1589" s="2">
        <v>56244.0</v>
      </c>
      <c r="J1589" s="2">
        <v>370.0</v>
      </c>
      <c r="K1589" s="2">
        <v>308.0</v>
      </c>
      <c r="L1589" s="2">
        <v>5.0</v>
      </c>
      <c r="M1589" s="4">
        <v>6953.0</v>
      </c>
      <c r="N1589" s="2" t="s">
        <v>30</v>
      </c>
      <c r="O1589" s="2">
        <v>70.0</v>
      </c>
      <c r="P1589" s="2" t="s">
        <v>31</v>
      </c>
      <c r="Q1589" s="2" t="s">
        <v>32</v>
      </c>
      <c r="R1589" s="2">
        <v>35.0</v>
      </c>
      <c r="T1589" s="2" t="s">
        <v>47</v>
      </c>
      <c r="U1589" s="2" t="b">
        <v>0</v>
      </c>
      <c r="V1589" s="5">
        <v>0.0055</v>
      </c>
      <c r="W1589" s="5">
        <v>0.0162</v>
      </c>
      <c r="X1589" s="5">
        <v>8.9E-5</v>
      </c>
      <c r="Y1589" s="2">
        <v>22.57467532</v>
      </c>
      <c r="Z1589" s="2">
        <v>5083.0</v>
      </c>
      <c r="AA1589" s="2" t="s">
        <v>33</v>
      </c>
    </row>
    <row r="1590">
      <c r="A1590" s="2">
        <v>3411.0</v>
      </c>
      <c r="B1590" s="2" t="s">
        <v>4682</v>
      </c>
      <c r="C1590" s="2" t="s">
        <v>7</v>
      </c>
      <c r="D1590" s="2" t="s">
        <v>4683</v>
      </c>
      <c r="E1590" s="2" t="s">
        <v>4684</v>
      </c>
      <c r="F1590" s="6">
        <v>45926.458333333336</v>
      </c>
      <c r="G1590" s="2">
        <v>50274.0</v>
      </c>
      <c r="H1590" s="2">
        <v>50274.0</v>
      </c>
      <c r="I1590" s="2">
        <v>41585.0</v>
      </c>
      <c r="J1590" s="2">
        <v>250.0</v>
      </c>
      <c r="K1590" s="2">
        <v>193.0</v>
      </c>
      <c r="L1590" s="2">
        <v>4.0</v>
      </c>
      <c r="M1590" s="4">
        <v>7067.0</v>
      </c>
      <c r="N1590" s="2" t="s">
        <v>36</v>
      </c>
      <c r="O1590" s="2">
        <v>71.0</v>
      </c>
      <c r="P1590" s="2" t="s">
        <v>189</v>
      </c>
      <c r="Q1590" s="2" t="s">
        <v>32</v>
      </c>
      <c r="R1590" s="2">
        <v>30.0</v>
      </c>
      <c r="T1590" s="2" t="s">
        <v>4685</v>
      </c>
      <c r="U1590" s="2" t="b">
        <v>0</v>
      </c>
      <c r="V1590" s="5">
        <v>0.0046</v>
      </c>
      <c r="W1590" s="5">
        <v>0.0207</v>
      </c>
      <c r="X1590" s="5">
        <v>9.6E-5</v>
      </c>
      <c r="Y1590" s="2">
        <v>36.61658031</v>
      </c>
      <c r="AA1590" s="2" t="s">
        <v>33</v>
      </c>
    </row>
    <row r="1591">
      <c r="A1591" s="2">
        <v>3410.0</v>
      </c>
      <c r="B1591" s="2" t="s">
        <v>4686</v>
      </c>
      <c r="C1591" s="2" t="s">
        <v>7</v>
      </c>
      <c r="D1591" s="2" t="s">
        <v>4687</v>
      </c>
      <c r="E1591" s="2" t="s">
        <v>4688</v>
      </c>
      <c r="F1591" s="6">
        <v>45926.458333333336</v>
      </c>
      <c r="G1591" s="2">
        <v>65964.0</v>
      </c>
      <c r="H1591" s="2">
        <v>65964.0</v>
      </c>
      <c r="I1591" s="2">
        <v>55983.0</v>
      </c>
      <c r="J1591" s="2">
        <v>303.0</v>
      </c>
      <c r="K1591" s="2">
        <v>240.0</v>
      </c>
      <c r="L1591" s="2">
        <v>6.0</v>
      </c>
      <c r="M1591" s="4">
        <v>13514.0</v>
      </c>
      <c r="N1591" s="2" t="s">
        <v>30</v>
      </c>
      <c r="O1591" s="2">
        <v>70.0</v>
      </c>
      <c r="P1591" s="2" t="s">
        <v>189</v>
      </c>
      <c r="Q1591" s="2" t="s">
        <v>32</v>
      </c>
      <c r="R1591" s="2">
        <v>28.0</v>
      </c>
      <c r="T1591" s="2" t="s">
        <v>47</v>
      </c>
      <c r="U1591" s="2" t="b">
        <v>0</v>
      </c>
      <c r="V1591" s="5">
        <v>0.0043</v>
      </c>
      <c r="W1591" s="5">
        <v>0.025</v>
      </c>
      <c r="X1591" s="5">
        <v>1.07E-4</v>
      </c>
      <c r="Y1591" s="2">
        <v>56.30833333</v>
      </c>
      <c r="Z1591" s="2">
        <v>4138.0</v>
      </c>
      <c r="AA1591" s="2" t="s">
        <v>33</v>
      </c>
    </row>
    <row r="1592">
      <c r="A1592" s="2">
        <v>3413.0</v>
      </c>
      <c r="B1592" s="2" t="s">
        <v>4689</v>
      </c>
      <c r="C1592" s="2" t="s">
        <v>7</v>
      </c>
      <c r="D1592" s="2" t="s">
        <v>4690</v>
      </c>
      <c r="E1592" s="2" t="s">
        <v>4691</v>
      </c>
      <c r="F1592" s="6">
        <v>45926.625</v>
      </c>
      <c r="G1592" s="2">
        <v>50301.0</v>
      </c>
      <c r="H1592" s="2">
        <v>50301.0</v>
      </c>
      <c r="I1592" s="2">
        <v>41787.0</v>
      </c>
      <c r="J1592" s="2">
        <v>292.0</v>
      </c>
      <c r="K1592" s="2">
        <v>223.0</v>
      </c>
      <c r="L1592" s="2">
        <v>3.0</v>
      </c>
      <c r="M1592" s="4">
        <v>11466.0</v>
      </c>
      <c r="N1592" s="2" t="s">
        <v>36</v>
      </c>
      <c r="O1592" s="2">
        <v>71.0</v>
      </c>
      <c r="P1592" s="2" t="s">
        <v>189</v>
      </c>
      <c r="Q1592" s="2" t="s">
        <v>32</v>
      </c>
      <c r="R1592" s="2">
        <v>33.0</v>
      </c>
      <c r="T1592" s="2" t="s">
        <v>58</v>
      </c>
      <c r="U1592" s="2" t="b">
        <v>1</v>
      </c>
      <c r="V1592" s="5">
        <v>0.0053</v>
      </c>
      <c r="W1592" s="5">
        <v>0.0135</v>
      </c>
      <c r="X1592" s="5">
        <v>7.2E-5</v>
      </c>
      <c r="Y1592" s="2">
        <v>51.41704036</v>
      </c>
      <c r="AA1592" s="2" t="s">
        <v>33</v>
      </c>
    </row>
    <row r="1593">
      <c r="A1593" s="2">
        <v>3412.0</v>
      </c>
      <c r="B1593" s="2" t="s">
        <v>4692</v>
      </c>
      <c r="C1593" s="2" t="s">
        <v>7</v>
      </c>
      <c r="D1593" s="2" t="s">
        <v>4693</v>
      </c>
      <c r="E1593" s="2" t="s">
        <v>4694</v>
      </c>
      <c r="F1593" s="6">
        <v>45926.625</v>
      </c>
      <c r="G1593" s="2">
        <v>65989.0</v>
      </c>
      <c r="H1593" s="2">
        <v>65989.0</v>
      </c>
      <c r="I1593" s="2">
        <v>56188.0</v>
      </c>
      <c r="J1593" s="2">
        <v>342.0</v>
      </c>
      <c r="K1593" s="2">
        <v>274.0</v>
      </c>
      <c r="L1593" s="2">
        <v>6.0</v>
      </c>
      <c r="M1593" s="4">
        <v>27897.0</v>
      </c>
      <c r="N1593" s="2" t="s">
        <v>30</v>
      </c>
      <c r="O1593" s="2">
        <v>70.0</v>
      </c>
      <c r="P1593" s="2" t="s">
        <v>189</v>
      </c>
      <c r="Q1593" s="2" t="s">
        <v>32</v>
      </c>
      <c r="R1593" s="2">
        <v>33.0</v>
      </c>
      <c r="T1593" s="2" t="s">
        <v>143</v>
      </c>
      <c r="U1593" s="2" t="b">
        <v>0</v>
      </c>
      <c r="V1593" s="5">
        <v>0.0049</v>
      </c>
      <c r="W1593" s="5">
        <v>0.0219</v>
      </c>
      <c r="X1593" s="5">
        <v>1.07E-4</v>
      </c>
      <c r="Y1593" s="2">
        <v>101.8138686</v>
      </c>
      <c r="Z1593" s="2">
        <v>5756.0</v>
      </c>
      <c r="AA1593" s="2" t="s">
        <v>33</v>
      </c>
    </row>
    <row r="1594">
      <c r="A1594" s="2">
        <v>3415.0</v>
      </c>
      <c r="B1594" s="2" t="s">
        <v>4695</v>
      </c>
      <c r="C1594" s="2" t="s">
        <v>7</v>
      </c>
      <c r="D1594" s="2" t="s">
        <v>4696</v>
      </c>
      <c r="E1594" s="2" t="s">
        <v>4697</v>
      </c>
      <c r="F1594" s="6">
        <v>45926.708333333336</v>
      </c>
      <c r="G1594" s="2">
        <v>50234.0</v>
      </c>
      <c r="H1594" s="2">
        <v>50234.0</v>
      </c>
      <c r="I1594" s="2">
        <v>41817.0</v>
      </c>
      <c r="J1594" s="2">
        <v>272.0</v>
      </c>
      <c r="K1594" s="2">
        <v>217.0</v>
      </c>
      <c r="L1594" s="2">
        <v>1.0</v>
      </c>
      <c r="M1594" s="4">
        <v>11200.0</v>
      </c>
      <c r="N1594" s="2" t="s">
        <v>36</v>
      </c>
      <c r="O1594" s="2">
        <v>71.0</v>
      </c>
      <c r="P1594" s="2" t="s">
        <v>31</v>
      </c>
      <c r="Q1594" s="2" t="s">
        <v>32</v>
      </c>
      <c r="R1594" s="2">
        <v>35.0</v>
      </c>
      <c r="T1594" s="2" t="s">
        <v>58</v>
      </c>
      <c r="U1594" s="2" t="b">
        <v>1</v>
      </c>
      <c r="V1594" s="5">
        <v>0.0052</v>
      </c>
      <c r="W1594" s="5">
        <v>0.0046</v>
      </c>
      <c r="X1594" s="5">
        <v>2.4E-5</v>
      </c>
      <c r="Y1594" s="2">
        <v>51.61290323</v>
      </c>
      <c r="AA1594" s="2" t="s">
        <v>33</v>
      </c>
    </row>
    <row r="1595">
      <c r="A1595" s="2">
        <v>3414.0</v>
      </c>
      <c r="B1595" s="2" t="s">
        <v>4698</v>
      </c>
      <c r="C1595" s="2" t="s">
        <v>7</v>
      </c>
      <c r="D1595" s="2" t="s">
        <v>4699</v>
      </c>
      <c r="E1595" s="2" t="s">
        <v>4700</v>
      </c>
      <c r="F1595" s="6">
        <v>45926.708333333336</v>
      </c>
      <c r="G1595" s="2">
        <v>65986.0</v>
      </c>
      <c r="H1595" s="2">
        <v>65986.0</v>
      </c>
      <c r="I1595" s="2">
        <v>56229.0</v>
      </c>
      <c r="J1595" s="2">
        <v>376.0</v>
      </c>
      <c r="K1595" s="2">
        <v>292.0</v>
      </c>
      <c r="L1595" s="2">
        <v>5.0</v>
      </c>
      <c r="M1595" s="4">
        <v>8158.0</v>
      </c>
      <c r="N1595" s="2" t="s">
        <v>30</v>
      </c>
      <c r="O1595" s="2">
        <v>70.0</v>
      </c>
      <c r="P1595" s="2" t="s">
        <v>189</v>
      </c>
      <c r="Q1595" s="2" t="s">
        <v>32</v>
      </c>
      <c r="R1595" s="2">
        <v>29.0</v>
      </c>
      <c r="U1595" s="2" t="b">
        <v>0</v>
      </c>
      <c r="V1595" s="5">
        <v>0.0052</v>
      </c>
      <c r="W1595" s="5">
        <v>0.0171</v>
      </c>
      <c r="X1595" s="5">
        <v>8.9E-5</v>
      </c>
      <c r="Y1595" s="2">
        <v>27.93835616</v>
      </c>
      <c r="Z1595" s="2">
        <v>3122.0</v>
      </c>
      <c r="AA1595" s="2" t="s">
        <v>33</v>
      </c>
    </row>
    <row r="1596">
      <c r="A1596" s="2">
        <v>3417.0</v>
      </c>
      <c r="B1596" s="2" t="s">
        <v>4701</v>
      </c>
      <c r="C1596" s="2" t="s">
        <v>7</v>
      </c>
      <c r="D1596" s="2" t="s">
        <v>4702</v>
      </c>
      <c r="E1596" s="2" t="s">
        <v>4703</v>
      </c>
      <c r="F1596" s="6">
        <v>45927.458333333336</v>
      </c>
      <c r="G1596" s="2">
        <v>50315.0</v>
      </c>
      <c r="H1596" s="2">
        <v>50315.0</v>
      </c>
      <c r="I1596" s="2">
        <v>41408.0</v>
      </c>
      <c r="J1596" s="2">
        <v>242.0</v>
      </c>
      <c r="K1596" s="2">
        <v>200.0</v>
      </c>
      <c r="L1596" s="2">
        <v>4.0</v>
      </c>
      <c r="M1596" s="4">
        <v>11494.0</v>
      </c>
      <c r="N1596" s="2" t="s">
        <v>36</v>
      </c>
      <c r="O1596" s="2">
        <v>71.0</v>
      </c>
      <c r="P1596" s="2" t="s">
        <v>189</v>
      </c>
      <c r="Q1596" s="2" t="s">
        <v>32</v>
      </c>
      <c r="R1596" s="2">
        <v>42.0</v>
      </c>
      <c r="T1596" s="7" t="str">
        <f>IFERROR(__xludf.DUMMYFUNCTION("AI(""has offer Come X Pay X"",D673)"),"has offer Come X Pay X")</f>
        <v>has offer Come X Pay X</v>
      </c>
      <c r="U1596" s="2" t="b">
        <v>0</v>
      </c>
      <c r="V1596" s="5">
        <v>0.0048</v>
      </c>
      <c r="W1596" s="5">
        <v>0.02</v>
      </c>
      <c r="X1596" s="5">
        <v>9.7E-5</v>
      </c>
      <c r="Y1596" s="2">
        <v>57.47</v>
      </c>
      <c r="AA1596" s="2" t="s">
        <v>33</v>
      </c>
    </row>
    <row r="1597">
      <c r="A1597" s="2">
        <v>3416.0</v>
      </c>
      <c r="B1597" s="2" t="s">
        <v>4704</v>
      </c>
      <c r="C1597" s="2" t="s">
        <v>7</v>
      </c>
      <c r="D1597" s="2" t="s">
        <v>4705</v>
      </c>
      <c r="E1597" s="2" t="s">
        <v>4706</v>
      </c>
      <c r="F1597" s="6">
        <v>45927.458333333336</v>
      </c>
      <c r="G1597" s="2">
        <v>65939.0</v>
      </c>
      <c r="H1597" s="2">
        <v>65939.0</v>
      </c>
      <c r="I1597" s="2">
        <v>55734.0</v>
      </c>
      <c r="J1597" s="2">
        <v>265.0</v>
      </c>
      <c r="K1597" s="2">
        <v>221.0</v>
      </c>
      <c r="L1597" s="2">
        <v>2.0</v>
      </c>
      <c r="M1597" s="4">
        <v>1898.0</v>
      </c>
      <c r="N1597" s="2" t="s">
        <v>30</v>
      </c>
      <c r="O1597" s="2">
        <v>70.0</v>
      </c>
      <c r="P1597" s="2" t="s">
        <v>189</v>
      </c>
      <c r="Q1597" s="2" t="s">
        <v>32</v>
      </c>
      <c r="R1597" s="2">
        <v>38.0</v>
      </c>
      <c r="T1597" s="2" t="s">
        <v>47</v>
      </c>
      <c r="U1597" s="2" t="b">
        <v>0</v>
      </c>
      <c r="V1597" s="5">
        <v>0.004</v>
      </c>
      <c r="W1597" s="5">
        <v>0.009</v>
      </c>
      <c r="X1597" s="5">
        <v>3.6E-5</v>
      </c>
      <c r="Y1597" s="2">
        <v>8.588235294</v>
      </c>
      <c r="Z1597" s="2" t="s">
        <v>307</v>
      </c>
      <c r="AA1597" s="2" t="s">
        <v>33</v>
      </c>
    </row>
    <row r="1598">
      <c r="A1598" s="2">
        <v>3419.0</v>
      </c>
      <c r="B1598" s="2" t="s">
        <v>4707</v>
      </c>
      <c r="C1598" s="2" t="s">
        <v>7</v>
      </c>
      <c r="D1598" s="2" t="s">
        <v>4708</v>
      </c>
      <c r="E1598" s="2" t="s">
        <v>4709</v>
      </c>
      <c r="F1598" s="6">
        <v>45927.625</v>
      </c>
      <c r="G1598" s="2">
        <v>50318.0</v>
      </c>
      <c r="H1598" s="2">
        <v>50318.0</v>
      </c>
      <c r="I1598" s="2">
        <v>41756.0</v>
      </c>
      <c r="J1598" s="2">
        <v>316.0</v>
      </c>
      <c r="K1598" s="2">
        <v>242.0</v>
      </c>
      <c r="L1598" s="2">
        <v>2.0</v>
      </c>
      <c r="M1598" s="4">
        <v>15230.0</v>
      </c>
      <c r="N1598" s="2" t="s">
        <v>36</v>
      </c>
      <c r="O1598" s="2">
        <v>71.0</v>
      </c>
      <c r="P1598" s="2" t="s">
        <v>189</v>
      </c>
      <c r="Q1598" s="2" t="s">
        <v>32</v>
      </c>
      <c r="R1598" s="2">
        <v>34.0</v>
      </c>
      <c r="U1598" s="2" t="b">
        <v>1</v>
      </c>
      <c r="V1598" s="5">
        <v>0.0058</v>
      </c>
      <c r="W1598" s="5">
        <v>0.0083</v>
      </c>
      <c r="X1598" s="5">
        <v>4.8E-5</v>
      </c>
      <c r="Y1598" s="2">
        <v>62.9338843</v>
      </c>
      <c r="AA1598" s="2" t="s">
        <v>33</v>
      </c>
    </row>
    <row r="1599">
      <c r="A1599" s="2">
        <v>3418.0</v>
      </c>
      <c r="B1599" s="2" t="s">
        <v>4710</v>
      </c>
      <c r="C1599" s="2" t="s">
        <v>7</v>
      </c>
      <c r="D1599" s="2" t="s">
        <v>4711</v>
      </c>
      <c r="E1599" s="2" t="s">
        <v>4712</v>
      </c>
      <c r="F1599" s="6">
        <v>45927.625</v>
      </c>
      <c r="G1599" s="2">
        <v>65975.0</v>
      </c>
      <c r="H1599" s="2">
        <v>65975.0</v>
      </c>
      <c r="I1599" s="2">
        <v>56064.0</v>
      </c>
      <c r="J1599" s="2">
        <v>431.0</v>
      </c>
      <c r="K1599" s="2">
        <v>345.0</v>
      </c>
      <c r="L1599" s="2">
        <v>6.0</v>
      </c>
      <c r="M1599" s="4">
        <v>13411.0</v>
      </c>
      <c r="N1599" s="2" t="s">
        <v>30</v>
      </c>
      <c r="O1599" s="2">
        <v>70.0</v>
      </c>
      <c r="P1599" s="2" t="s">
        <v>189</v>
      </c>
      <c r="Q1599" s="2" t="s">
        <v>32</v>
      </c>
      <c r="R1599" s="2">
        <v>31.0</v>
      </c>
      <c r="U1599" s="2" t="b">
        <v>0</v>
      </c>
      <c r="V1599" s="5">
        <v>0.0062</v>
      </c>
      <c r="W1599" s="5">
        <v>0.0174</v>
      </c>
      <c r="X1599" s="5">
        <v>1.07E-4</v>
      </c>
      <c r="Y1599" s="2">
        <v>38.87246377</v>
      </c>
      <c r="Z1599" s="2">
        <v>5830.0</v>
      </c>
      <c r="AA1599" s="2" t="s">
        <v>33</v>
      </c>
    </row>
    <row r="1600">
      <c r="A1600" s="2">
        <v>3422.0</v>
      </c>
      <c r="B1600" s="2" t="s">
        <v>4713</v>
      </c>
      <c r="C1600" s="2" t="s">
        <v>7</v>
      </c>
      <c r="D1600" s="2" t="s">
        <v>4714</v>
      </c>
      <c r="E1600" s="2" t="s">
        <v>4715</v>
      </c>
      <c r="F1600" s="6">
        <v>45927.708333333336</v>
      </c>
      <c r="G1600" s="2">
        <v>50295.0</v>
      </c>
      <c r="H1600" s="2">
        <v>50295.0</v>
      </c>
      <c r="I1600" s="2">
        <v>41736.0</v>
      </c>
      <c r="J1600" s="2">
        <v>312.0</v>
      </c>
      <c r="K1600" s="2">
        <v>249.0</v>
      </c>
      <c r="L1600" s="2">
        <v>4.0</v>
      </c>
      <c r="M1600" s="4">
        <v>12569.0</v>
      </c>
      <c r="N1600" s="2" t="s">
        <v>36</v>
      </c>
      <c r="O1600" s="2">
        <v>71.0</v>
      </c>
      <c r="P1600" s="2" t="s">
        <v>189</v>
      </c>
      <c r="Q1600" s="2" t="s">
        <v>32</v>
      </c>
      <c r="R1600" s="2">
        <v>34.0</v>
      </c>
      <c r="T1600" s="2" t="s">
        <v>58</v>
      </c>
      <c r="U1600" s="2" t="b">
        <v>1</v>
      </c>
      <c r="V1600" s="5">
        <v>0.006</v>
      </c>
      <c r="W1600" s="5">
        <v>0.0161</v>
      </c>
      <c r="X1600" s="5">
        <v>9.6E-5</v>
      </c>
      <c r="Y1600" s="2">
        <v>50.47791165</v>
      </c>
      <c r="AA1600" s="2" t="s">
        <v>33</v>
      </c>
    </row>
    <row r="1601">
      <c r="A1601" s="2">
        <v>3421.0</v>
      </c>
      <c r="B1601" s="2" t="s">
        <v>4716</v>
      </c>
      <c r="C1601" s="2" t="s">
        <v>7</v>
      </c>
      <c r="D1601" s="2" t="s">
        <v>4717</v>
      </c>
      <c r="E1601" s="2" t="s">
        <v>4718</v>
      </c>
      <c r="F1601" s="6">
        <v>45927.708333333336</v>
      </c>
      <c r="G1601" s="2">
        <v>65921.0</v>
      </c>
      <c r="H1601" s="2">
        <v>65921.0</v>
      </c>
      <c r="I1601" s="2">
        <v>56094.0</v>
      </c>
      <c r="J1601" s="2">
        <v>405.0</v>
      </c>
      <c r="K1601" s="2">
        <v>338.0</v>
      </c>
      <c r="L1601" s="2">
        <v>2.0</v>
      </c>
      <c r="M1601" s="4">
        <v>4747.0</v>
      </c>
      <c r="N1601" s="2" t="s">
        <v>30</v>
      </c>
      <c r="O1601" s="2">
        <v>70.0</v>
      </c>
      <c r="P1601" s="2" t="s">
        <v>31</v>
      </c>
      <c r="Q1601" s="2" t="s">
        <v>32</v>
      </c>
      <c r="R1601" s="2">
        <v>34.0</v>
      </c>
      <c r="U1601" s="2" t="b">
        <v>0</v>
      </c>
      <c r="V1601" s="5">
        <v>0.006</v>
      </c>
      <c r="W1601" s="5">
        <v>0.0059</v>
      </c>
      <c r="X1601" s="5">
        <v>3.6E-5</v>
      </c>
      <c r="Y1601" s="2">
        <v>14.0443787</v>
      </c>
      <c r="Z1601" s="2">
        <v>1768.0</v>
      </c>
      <c r="AA1601" s="2" t="s">
        <v>33</v>
      </c>
    </row>
    <row r="1602">
      <c r="A1602" s="2">
        <v>3424.0</v>
      </c>
      <c r="B1602" s="2" t="s">
        <v>4719</v>
      </c>
      <c r="C1602" s="2" t="s">
        <v>7</v>
      </c>
      <c r="D1602" s="2" t="s">
        <v>4720</v>
      </c>
      <c r="E1602" s="2" t="s">
        <v>4721</v>
      </c>
      <c r="F1602" s="6">
        <v>45928.458333333336</v>
      </c>
      <c r="G1602" s="2">
        <v>50341.0</v>
      </c>
      <c r="H1602" s="2">
        <v>50341.0</v>
      </c>
      <c r="I1602" s="2">
        <v>41339.0</v>
      </c>
      <c r="J1602" s="2">
        <v>312.0</v>
      </c>
      <c r="K1602" s="2">
        <v>241.0</v>
      </c>
      <c r="L1602" s="2">
        <v>4.0</v>
      </c>
      <c r="M1602" s="4">
        <v>12400.0</v>
      </c>
      <c r="N1602" s="2" t="s">
        <v>36</v>
      </c>
      <c r="O1602" s="2">
        <v>71.0</v>
      </c>
      <c r="P1602" s="2" t="s">
        <v>189</v>
      </c>
      <c r="Q1602" s="2" t="s">
        <v>32</v>
      </c>
      <c r="R1602" s="2">
        <v>45.0</v>
      </c>
      <c r="U1602" s="2" t="b">
        <v>1</v>
      </c>
      <c r="V1602" s="5">
        <v>0.0058</v>
      </c>
      <c r="W1602" s="5">
        <v>0.0166</v>
      </c>
      <c r="X1602" s="5">
        <v>9.7E-5</v>
      </c>
      <c r="Y1602" s="2">
        <v>51.45228216</v>
      </c>
      <c r="AA1602" s="2" t="s">
        <v>33</v>
      </c>
    </row>
    <row r="1603">
      <c r="A1603" s="2">
        <v>3423.0</v>
      </c>
      <c r="B1603" s="2" t="s">
        <v>4722</v>
      </c>
      <c r="C1603" s="2" t="s">
        <v>7</v>
      </c>
      <c r="D1603" s="2" t="s">
        <v>4723</v>
      </c>
      <c r="E1603" s="2" t="s">
        <v>4724</v>
      </c>
      <c r="F1603" s="6">
        <v>45928.458333333336</v>
      </c>
      <c r="G1603" s="2">
        <v>65965.0</v>
      </c>
      <c r="H1603" s="2">
        <v>65965.0</v>
      </c>
      <c r="I1603" s="2">
        <v>55552.0</v>
      </c>
      <c r="J1603" s="2">
        <v>313.0</v>
      </c>
      <c r="K1603" s="2">
        <v>245.0</v>
      </c>
      <c r="L1603" s="2">
        <v>4.0</v>
      </c>
      <c r="M1603" s="4">
        <v>7121.0</v>
      </c>
      <c r="N1603" s="2" t="s">
        <v>30</v>
      </c>
      <c r="O1603" s="2">
        <v>70.0</v>
      </c>
      <c r="P1603" s="2" t="s">
        <v>189</v>
      </c>
      <c r="Q1603" s="2" t="s">
        <v>32</v>
      </c>
      <c r="R1603" s="2">
        <v>37.0</v>
      </c>
      <c r="T1603" s="2" t="s">
        <v>47</v>
      </c>
      <c r="U1603" s="2" t="b">
        <v>0</v>
      </c>
      <c r="V1603" s="5">
        <v>0.0044</v>
      </c>
      <c r="W1603" s="5">
        <v>0.0163</v>
      </c>
      <c r="X1603" s="5">
        <v>7.2E-5</v>
      </c>
      <c r="Y1603" s="2">
        <v>29.06530612</v>
      </c>
      <c r="AA1603" s="2" t="s">
        <v>33</v>
      </c>
    </row>
    <row r="1604">
      <c r="A1604" s="2">
        <v>3426.0</v>
      </c>
      <c r="B1604" s="2" t="s">
        <v>4725</v>
      </c>
      <c r="C1604" s="2" t="s">
        <v>7</v>
      </c>
      <c r="D1604" s="2" t="s">
        <v>4726</v>
      </c>
      <c r="E1604" s="2" t="s">
        <v>4727</v>
      </c>
      <c r="F1604" s="6">
        <v>45928.625</v>
      </c>
      <c r="G1604" s="2">
        <v>50299.0</v>
      </c>
      <c r="H1604" s="2">
        <v>50299.0</v>
      </c>
      <c r="I1604" s="2">
        <v>41688.0</v>
      </c>
      <c r="J1604" s="2">
        <v>358.0</v>
      </c>
      <c r="K1604" s="2">
        <v>279.0</v>
      </c>
      <c r="L1604" s="2">
        <v>8.0</v>
      </c>
      <c r="M1604" s="4">
        <v>23700.0</v>
      </c>
      <c r="N1604" s="2" t="s">
        <v>36</v>
      </c>
      <c r="O1604" s="2">
        <v>71.0</v>
      </c>
      <c r="P1604" s="2" t="s">
        <v>189</v>
      </c>
      <c r="Q1604" s="2" t="s">
        <v>32</v>
      </c>
      <c r="R1604" s="2">
        <v>52.0</v>
      </c>
      <c r="U1604" s="2" t="b">
        <v>0</v>
      </c>
      <c r="V1604" s="5">
        <v>0.0067</v>
      </c>
      <c r="W1604" s="5">
        <v>0.0287</v>
      </c>
      <c r="X1604" s="5">
        <v>1.92E-4</v>
      </c>
      <c r="Y1604" s="2">
        <v>84.94623656</v>
      </c>
      <c r="AA1604" s="2" t="s">
        <v>33</v>
      </c>
    </row>
    <row r="1605">
      <c r="A1605" s="2">
        <v>3425.0</v>
      </c>
      <c r="B1605" s="2" t="s">
        <v>4728</v>
      </c>
      <c r="C1605" s="2" t="s">
        <v>7</v>
      </c>
      <c r="D1605" s="2" t="s">
        <v>4489</v>
      </c>
      <c r="E1605" s="2" t="s">
        <v>4729</v>
      </c>
      <c r="F1605" s="6">
        <v>45928.625</v>
      </c>
      <c r="G1605" s="2">
        <v>66006.0</v>
      </c>
      <c r="H1605" s="2">
        <v>66006.0</v>
      </c>
      <c r="I1605" s="2">
        <v>55870.0</v>
      </c>
      <c r="J1605" s="2">
        <v>267.0</v>
      </c>
      <c r="K1605" s="2">
        <v>222.0</v>
      </c>
      <c r="L1605" s="2">
        <v>6.0</v>
      </c>
      <c r="M1605" s="4">
        <v>8234.0</v>
      </c>
      <c r="N1605" s="2" t="s">
        <v>30</v>
      </c>
      <c r="O1605" s="2">
        <v>70.0</v>
      </c>
      <c r="P1605" s="2" t="s">
        <v>189</v>
      </c>
      <c r="Q1605" s="2" t="s">
        <v>32</v>
      </c>
      <c r="R1605" s="2">
        <v>45.0</v>
      </c>
      <c r="T1605" s="2" t="s">
        <v>47</v>
      </c>
      <c r="U1605" s="2" t="b">
        <v>0</v>
      </c>
      <c r="V1605" s="5">
        <v>0.004</v>
      </c>
      <c r="W1605" s="5">
        <v>0.027</v>
      </c>
      <c r="X1605" s="5">
        <v>1.07E-4</v>
      </c>
      <c r="Y1605" s="2">
        <v>37.09009009</v>
      </c>
      <c r="AA1605" s="2" t="s">
        <v>33</v>
      </c>
    </row>
    <row r="1606">
      <c r="A1606" s="2">
        <v>3428.0</v>
      </c>
      <c r="B1606" s="2" t="s">
        <v>4730</v>
      </c>
      <c r="C1606" s="2" t="s">
        <v>7</v>
      </c>
      <c r="D1606" s="2" t="s">
        <v>4731</v>
      </c>
      <c r="E1606" s="2" t="s">
        <v>4732</v>
      </c>
      <c r="F1606" s="6">
        <v>45928.708333333336</v>
      </c>
      <c r="G1606" s="2">
        <v>50304.0</v>
      </c>
      <c r="H1606" s="2">
        <v>50304.0</v>
      </c>
      <c r="I1606" s="2">
        <v>41747.0</v>
      </c>
      <c r="J1606" s="2">
        <v>218.0</v>
      </c>
      <c r="K1606" s="2">
        <v>172.0</v>
      </c>
      <c r="L1606" s="2">
        <v>3.0</v>
      </c>
      <c r="M1606" s="4">
        <v>12565.0</v>
      </c>
      <c r="N1606" s="2" t="s">
        <v>36</v>
      </c>
      <c r="O1606" s="2">
        <v>71.0</v>
      </c>
      <c r="P1606" s="2" t="s">
        <v>189</v>
      </c>
      <c r="Q1606" s="2" t="s">
        <v>32</v>
      </c>
      <c r="R1606" s="2">
        <v>27.0</v>
      </c>
      <c r="T1606" s="7" t="str">
        <f>IFERROR(__xludf.DUMMYFUNCTION("AI(""has offer Come X Pay X"",D1606)"),"Yes.")</f>
        <v>Yes.</v>
      </c>
      <c r="U1606" s="2" t="b">
        <v>0</v>
      </c>
      <c r="V1606" s="5">
        <v>0.0041</v>
      </c>
      <c r="W1606" s="5">
        <v>0.0174</v>
      </c>
      <c r="X1606" s="5">
        <v>7.2E-5</v>
      </c>
      <c r="Y1606" s="2">
        <v>73.05232558</v>
      </c>
      <c r="AA1606" s="2" t="s">
        <v>33</v>
      </c>
    </row>
    <row r="1607">
      <c r="A1607" s="2">
        <v>3427.0</v>
      </c>
      <c r="B1607" s="2" t="s">
        <v>4733</v>
      </c>
      <c r="C1607" s="2" t="s">
        <v>7</v>
      </c>
      <c r="D1607" s="2" t="s">
        <v>4734</v>
      </c>
      <c r="E1607" s="2" t="s">
        <v>4735</v>
      </c>
      <c r="F1607" s="6">
        <v>45928.708333333336</v>
      </c>
      <c r="G1607" s="2">
        <v>66001.0</v>
      </c>
      <c r="H1607" s="2">
        <v>66001.0</v>
      </c>
      <c r="I1607" s="2">
        <v>55953.0</v>
      </c>
      <c r="J1607" s="2">
        <v>337.0</v>
      </c>
      <c r="K1607" s="2">
        <v>272.0</v>
      </c>
      <c r="L1607" s="2">
        <v>1.0</v>
      </c>
      <c r="M1607" s="4">
        <v>1794.0</v>
      </c>
      <c r="N1607" s="2" t="s">
        <v>30</v>
      </c>
      <c r="O1607" s="2">
        <v>70.0</v>
      </c>
      <c r="P1607" s="2" t="s">
        <v>189</v>
      </c>
      <c r="Q1607" s="2" t="s">
        <v>32</v>
      </c>
      <c r="R1607" s="2">
        <v>23.0</v>
      </c>
      <c r="T1607" s="7" t="str">
        <f>IFERROR(__xludf.DUMMYFUNCTION("AI(""has offer Come X Pay X"",D670)"),"Yes")</f>
        <v>Yes</v>
      </c>
      <c r="U1607" s="2" t="b">
        <v>0</v>
      </c>
      <c r="V1607" s="5">
        <v>0.0049</v>
      </c>
      <c r="W1607" s="5">
        <v>0.0037</v>
      </c>
      <c r="X1607" s="5">
        <v>1.8E-5</v>
      </c>
      <c r="Y1607" s="2">
        <v>6.595588235</v>
      </c>
      <c r="AA1607" s="2" t="s">
        <v>33</v>
      </c>
    </row>
    <row r="1608">
      <c r="A1608" s="2">
        <v>3429.0</v>
      </c>
      <c r="B1608" s="2" t="s">
        <v>4736</v>
      </c>
      <c r="C1608" s="2" t="s">
        <v>7</v>
      </c>
      <c r="D1608" s="2" t="s">
        <v>4737</v>
      </c>
      <c r="E1608" s="2" t="s">
        <v>4738</v>
      </c>
      <c r="F1608" s="6">
        <v>45929.49444444444</v>
      </c>
      <c r="G1608" s="2">
        <v>66060.0</v>
      </c>
      <c r="H1608" s="2">
        <v>66060.0</v>
      </c>
      <c r="I1608" s="2">
        <v>55815.0</v>
      </c>
      <c r="J1608" s="2">
        <v>300.0</v>
      </c>
      <c r="K1608" s="2">
        <v>235.0</v>
      </c>
      <c r="L1608" s="2">
        <v>6.0</v>
      </c>
      <c r="M1608" s="4">
        <v>16399.0</v>
      </c>
      <c r="N1608" s="2" t="s">
        <v>30</v>
      </c>
      <c r="O1608" s="2">
        <v>70.0</v>
      </c>
      <c r="P1608" s="2" t="s">
        <v>189</v>
      </c>
      <c r="Q1608" s="2" t="s">
        <v>32</v>
      </c>
      <c r="R1608" s="2">
        <v>32.0</v>
      </c>
      <c r="U1608" s="2" t="b">
        <v>0</v>
      </c>
      <c r="V1608" s="5">
        <v>0.0042</v>
      </c>
      <c r="W1608" s="5">
        <v>0.0255</v>
      </c>
      <c r="X1608" s="5">
        <v>1.07E-4</v>
      </c>
      <c r="Y1608" s="2">
        <v>69.78297872</v>
      </c>
      <c r="AA1608" s="2" t="s">
        <v>33</v>
      </c>
    </row>
    <row r="1609">
      <c r="A1609" s="2">
        <v>3430.0</v>
      </c>
      <c r="B1609" s="2" t="s">
        <v>4739</v>
      </c>
      <c r="C1609" s="2" t="s">
        <v>7</v>
      </c>
      <c r="D1609" s="2" t="s">
        <v>4740</v>
      </c>
      <c r="E1609" s="2" t="s">
        <v>4741</v>
      </c>
      <c r="F1609" s="6">
        <v>45929.49652777778</v>
      </c>
      <c r="G1609" s="2">
        <v>50347.0</v>
      </c>
      <c r="H1609" s="2">
        <v>50347.0</v>
      </c>
      <c r="I1609" s="2">
        <v>41609.0</v>
      </c>
      <c r="J1609" s="2">
        <v>225.0</v>
      </c>
      <c r="K1609" s="2">
        <v>163.0</v>
      </c>
      <c r="L1609" s="2">
        <v>5.0</v>
      </c>
      <c r="M1609" s="4">
        <v>15096.0</v>
      </c>
      <c r="N1609" s="2" t="s">
        <v>36</v>
      </c>
      <c r="O1609" s="2">
        <v>71.0</v>
      </c>
      <c r="P1609" s="2" t="s">
        <v>189</v>
      </c>
      <c r="Q1609" s="2" t="s">
        <v>32</v>
      </c>
      <c r="R1609" s="2">
        <v>33.0</v>
      </c>
      <c r="T1609" s="2" t="s">
        <v>47</v>
      </c>
      <c r="U1609" s="2" t="b">
        <v>0</v>
      </c>
      <c r="V1609" s="5">
        <v>0.0039</v>
      </c>
      <c r="W1609" s="5">
        <v>0.0307</v>
      </c>
      <c r="X1609" s="5">
        <v>1.2E-4</v>
      </c>
      <c r="Y1609" s="2">
        <v>92.61349693</v>
      </c>
      <c r="AA1609" s="2" t="s">
        <v>33</v>
      </c>
    </row>
    <row r="1610">
      <c r="A1610" s="2">
        <v>3432.0</v>
      </c>
      <c r="B1610" s="2" t="s">
        <v>4742</v>
      </c>
      <c r="C1610" s="2" t="s">
        <v>7</v>
      </c>
      <c r="D1610" s="2" t="s">
        <v>4743</v>
      </c>
      <c r="E1610" s="2" t="s">
        <v>4744</v>
      </c>
      <c r="F1610" s="6">
        <v>45929.625</v>
      </c>
      <c r="G1610" s="2">
        <v>50334.0</v>
      </c>
      <c r="H1610" s="2">
        <v>50334.0</v>
      </c>
      <c r="I1610" s="2">
        <v>41750.0</v>
      </c>
      <c r="J1610" s="2">
        <v>297.0</v>
      </c>
      <c r="K1610" s="2">
        <v>245.0</v>
      </c>
      <c r="L1610" s="2">
        <v>7.0</v>
      </c>
      <c r="M1610" s="4">
        <v>25512.0</v>
      </c>
      <c r="N1610" s="2" t="s">
        <v>36</v>
      </c>
      <c r="O1610" s="2">
        <v>71.0</v>
      </c>
      <c r="P1610" s="2" t="s">
        <v>189</v>
      </c>
      <c r="Q1610" s="2" t="s">
        <v>32</v>
      </c>
      <c r="R1610" s="2">
        <v>34.0</v>
      </c>
      <c r="T1610" s="2" t="s">
        <v>47</v>
      </c>
      <c r="U1610" s="2" t="b">
        <v>0</v>
      </c>
      <c r="V1610" s="5">
        <v>0.0059</v>
      </c>
      <c r="W1610" s="5">
        <v>0.0286</v>
      </c>
      <c r="X1610" s="5">
        <v>1.68E-4</v>
      </c>
      <c r="Y1610" s="2">
        <v>104.1306122</v>
      </c>
      <c r="AA1610" s="2" t="s">
        <v>33</v>
      </c>
    </row>
    <row r="1611">
      <c r="A1611" s="2">
        <v>3431.0</v>
      </c>
      <c r="B1611" s="2" t="s">
        <v>4745</v>
      </c>
      <c r="C1611" s="2" t="s">
        <v>7</v>
      </c>
      <c r="D1611" s="2" t="s">
        <v>4746</v>
      </c>
      <c r="E1611" s="2" t="s">
        <v>4747</v>
      </c>
      <c r="F1611" s="6">
        <v>45929.625</v>
      </c>
      <c r="G1611" s="2">
        <v>66038.0</v>
      </c>
      <c r="H1611" s="2">
        <v>66038.0</v>
      </c>
      <c r="I1611" s="2">
        <v>55987.0</v>
      </c>
      <c r="J1611" s="2">
        <v>379.0</v>
      </c>
      <c r="K1611" s="2">
        <v>306.0</v>
      </c>
      <c r="L1611" s="2">
        <v>1.0</v>
      </c>
      <c r="M1611" s="4">
        <v>1998.0</v>
      </c>
      <c r="N1611" s="2" t="s">
        <v>30</v>
      </c>
      <c r="O1611" s="2">
        <v>70.0</v>
      </c>
      <c r="P1611" s="2" t="s">
        <v>189</v>
      </c>
      <c r="Q1611" s="2" t="s">
        <v>32</v>
      </c>
      <c r="R1611" s="2">
        <v>29.0</v>
      </c>
      <c r="T1611" s="7" t="str">
        <f>IFERROR(__xludf.DUMMYFUNCTION("AI(""has offer Come X Pay X"",D1611)"),"Yes")</f>
        <v>Yes</v>
      </c>
      <c r="U1611" s="2" t="b">
        <v>0</v>
      </c>
      <c r="V1611" s="5">
        <v>0.0055</v>
      </c>
      <c r="W1611" s="5">
        <v>0.0033</v>
      </c>
      <c r="X1611" s="5">
        <v>1.8E-5</v>
      </c>
      <c r="Y1611" s="2">
        <v>6.529411765</v>
      </c>
      <c r="Z1611" s="2">
        <v>5718.0</v>
      </c>
      <c r="AA1611" s="2" t="s">
        <v>33</v>
      </c>
    </row>
    <row r="1612">
      <c r="A1612" s="2">
        <v>3434.0</v>
      </c>
      <c r="B1612" s="2" t="s">
        <v>4748</v>
      </c>
      <c r="C1612" s="2" t="s">
        <v>7</v>
      </c>
      <c r="D1612" s="2" t="s">
        <v>4749</v>
      </c>
      <c r="E1612" s="2" t="s">
        <v>4750</v>
      </c>
      <c r="F1612" s="6">
        <v>45929.708333333336</v>
      </c>
      <c r="G1612" s="2">
        <v>50342.0</v>
      </c>
      <c r="H1612" s="2">
        <v>50342.0</v>
      </c>
      <c r="I1612" s="2">
        <v>41642.0</v>
      </c>
      <c r="J1612" s="2">
        <v>257.0</v>
      </c>
      <c r="K1612" s="2">
        <v>201.0</v>
      </c>
      <c r="L1612" s="2">
        <v>1.0</v>
      </c>
      <c r="M1612" s="4">
        <v>3070.0</v>
      </c>
      <c r="N1612" s="2" t="s">
        <v>36</v>
      </c>
      <c r="O1612" s="2">
        <v>71.0</v>
      </c>
      <c r="P1612" s="2" t="s">
        <v>189</v>
      </c>
      <c r="Q1612" s="2" t="s">
        <v>32</v>
      </c>
      <c r="R1612" s="2">
        <v>39.0</v>
      </c>
      <c r="T1612" s="2" t="s">
        <v>47</v>
      </c>
      <c r="U1612" s="2" t="b">
        <v>0</v>
      </c>
      <c r="V1612" s="5">
        <v>0.0048</v>
      </c>
      <c r="W1612" s="5">
        <v>0.005</v>
      </c>
      <c r="X1612" s="5">
        <v>2.4E-5</v>
      </c>
      <c r="Y1612" s="2">
        <v>15.27363184</v>
      </c>
      <c r="AA1612" s="2" t="s">
        <v>33</v>
      </c>
    </row>
    <row r="1613">
      <c r="A1613" s="2">
        <v>3433.0</v>
      </c>
      <c r="B1613" s="2" t="s">
        <v>4751</v>
      </c>
      <c r="C1613" s="2" t="s">
        <v>7</v>
      </c>
      <c r="D1613" s="2" t="s">
        <v>4752</v>
      </c>
      <c r="E1613" s="2" t="s">
        <v>4753</v>
      </c>
      <c r="F1613" s="6">
        <v>45929.708333333336</v>
      </c>
      <c r="G1613" s="2">
        <v>66086.0</v>
      </c>
      <c r="H1613" s="2">
        <v>66086.0</v>
      </c>
      <c r="I1613" s="2">
        <v>55858.0</v>
      </c>
      <c r="J1613" s="2">
        <v>243.0</v>
      </c>
      <c r="K1613" s="2">
        <v>200.0</v>
      </c>
      <c r="L1613" s="2">
        <v>4.0</v>
      </c>
      <c r="M1613" s="4">
        <v>8750.0</v>
      </c>
      <c r="N1613" s="2" t="s">
        <v>30</v>
      </c>
      <c r="O1613" s="2">
        <v>70.0</v>
      </c>
      <c r="P1613" s="2" t="s">
        <v>189</v>
      </c>
      <c r="Q1613" s="2" t="s">
        <v>32</v>
      </c>
      <c r="R1613" s="2">
        <v>33.0</v>
      </c>
      <c r="U1613" s="2" t="b">
        <v>0</v>
      </c>
      <c r="V1613" s="5">
        <v>0.0036</v>
      </c>
      <c r="W1613" s="5">
        <v>0.02</v>
      </c>
      <c r="X1613" s="5">
        <v>7.2E-5</v>
      </c>
      <c r="Y1613" s="2">
        <v>43.75</v>
      </c>
      <c r="AA1613" s="2" t="s">
        <v>33</v>
      </c>
    </row>
    <row r="1614">
      <c r="A1614" s="2">
        <v>3435.0</v>
      </c>
      <c r="B1614" s="2" t="s">
        <v>4754</v>
      </c>
      <c r="C1614" s="2" t="s">
        <v>7</v>
      </c>
      <c r="D1614" s="2" t="s">
        <v>4755</v>
      </c>
      <c r="E1614" s="2" t="s">
        <v>4756</v>
      </c>
      <c r="F1614" s="6">
        <v>45930.47777777778</v>
      </c>
      <c r="G1614" s="2">
        <v>66161.0</v>
      </c>
      <c r="H1614" s="2">
        <v>66161.0</v>
      </c>
      <c r="I1614" s="2">
        <v>55682.0</v>
      </c>
      <c r="J1614" s="2">
        <v>264.0</v>
      </c>
      <c r="K1614" s="2">
        <v>224.0</v>
      </c>
      <c r="L1614" s="2">
        <v>2.0</v>
      </c>
      <c r="M1614" s="4">
        <v>4448.0</v>
      </c>
      <c r="N1614" s="2" t="s">
        <v>30</v>
      </c>
      <c r="O1614" s="2">
        <v>70.0</v>
      </c>
      <c r="P1614" s="2" t="s">
        <v>31</v>
      </c>
      <c r="Q1614" s="2" t="s">
        <v>32</v>
      </c>
      <c r="R1614" s="2">
        <v>37.0</v>
      </c>
      <c r="U1614" s="2" t="b">
        <v>0</v>
      </c>
      <c r="V1614" s="5">
        <v>0.004</v>
      </c>
      <c r="W1614" s="5">
        <v>0.0089</v>
      </c>
      <c r="X1614" s="5">
        <v>3.6E-5</v>
      </c>
      <c r="Y1614" s="2">
        <v>19.85714286</v>
      </c>
      <c r="Z1614" s="2" t="s">
        <v>307</v>
      </c>
      <c r="AA1614" s="2" t="s">
        <v>33</v>
      </c>
    </row>
    <row r="1615">
      <c r="A1615" s="2">
        <v>3436.0</v>
      </c>
      <c r="B1615" s="2" t="s">
        <v>4757</v>
      </c>
      <c r="C1615" s="2" t="s">
        <v>7</v>
      </c>
      <c r="D1615" s="2" t="s">
        <v>4758</v>
      </c>
      <c r="E1615" s="2" t="s">
        <v>4759</v>
      </c>
      <c r="F1615" s="6">
        <v>45930.47986111111</v>
      </c>
      <c r="G1615" s="2">
        <v>50394.0</v>
      </c>
      <c r="H1615" s="2">
        <v>50394.0</v>
      </c>
      <c r="I1615" s="2">
        <v>41437.0</v>
      </c>
      <c r="J1615" s="2">
        <v>214.0</v>
      </c>
      <c r="K1615" s="2">
        <v>169.0</v>
      </c>
      <c r="L1615" s="2">
        <v>2.0</v>
      </c>
      <c r="M1615" s="4">
        <v>7306.0</v>
      </c>
      <c r="N1615" s="2" t="s">
        <v>36</v>
      </c>
      <c r="O1615" s="2">
        <v>71.0</v>
      </c>
      <c r="P1615" s="2" t="s">
        <v>189</v>
      </c>
      <c r="Q1615" s="2" t="s">
        <v>32</v>
      </c>
      <c r="R1615" s="2">
        <v>38.0</v>
      </c>
      <c r="U1615" s="2" t="b">
        <v>0</v>
      </c>
      <c r="V1615" s="5">
        <v>0.0041</v>
      </c>
      <c r="W1615" s="5">
        <v>0.0118</v>
      </c>
      <c r="X1615" s="5">
        <v>4.8E-5</v>
      </c>
      <c r="Y1615" s="2">
        <v>43.23076923</v>
      </c>
      <c r="AA1615" s="2" t="s">
        <v>33</v>
      </c>
    </row>
    <row r="1616">
      <c r="A1616" s="2">
        <v>3438.0</v>
      </c>
      <c r="B1616" s="2" t="s">
        <v>4760</v>
      </c>
      <c r="C1616" s="2" t="s">
        <v>7</v>
      </c>
      <c r="D1616" s="2" t="s">
        <v>4761</v>
      </c>
      <c r="E1616" s="2" t="s">
        <v>4762</v>
      </c>
      <c r="F1616" s="6">
        <v>45930.625</v>
      </c>
      <c r="G1616" s="2">
        <v>50316.0</v>
      </c>
      <c r="H1616" s="2">
        <v>50316.0</v>
      </c>
      <c r="I1616" s="2">
        <v>41699.0</v>
      </c>
      <c r="J1616" s="2">
        <v>234.0</v>
      </c>
      <c r="K1616" s="2">
        <v>175.0</v>
      </c>
      <c r="L1616" s="2">
        <v>2.0</v>
      </c>
      <c r="M1616" s="4">
        <v>11456.0</v>
      </c>
      <c r="N1616" s="2" t="s">
        <v>36</v>
      </c>
      <c r="O1616" s="2">
        <v>71.0</v>
      </c>
      <c r="P1616" s="2" t="s">
        <v>189</v>
      </c>
      <c r="Q1616" s="2" t="s">
        <v>32</v>
      </c>
      <c r="R1616" s="2">
        <v>32.0</v>
      </c>
      <c r="T1616" s="2" t="s">
        <v>58</v>
      </c>
      <c r="U1616" s="2" t="b">
        <v>1</v>
      </c>
      <c r="V1616" s="5">
        <v>0.0042</v>
      </c>
      <c r="W1616" s="5">
        <v>0.0114</v>
      </c>
      <c r="X1616" s="5">
        <v>4.8E-5</v>
      </c>
      <c r="Y1616" s="2">
        <v>65.46285714</v>
      </c>
      <c r="AA1616" s="2" t="s">
        <v>33</v>
      </c>
    </row>
    <row r="1617">
      <c r="A1617" s="2">
        <v>3437.0</v>
      </c>
      <c r="B1617" s="2" t="s">
        <v>4763</v>
      </c>
      <c r="C1617" s="2" t="s">
        <v>7</v>
      </c>
      <c r="D1617" s="2" t="s">
        <v>4764</v>
      </c>
      <c r="E1617" s="2" t="s">
        <v>4765</v>
      </c>
      <c r="F1617" s="6">
        <v>45930.625</v>
      </c>
      <c r="G1617" s="2">
        <v>66074.0</v>
      </c>
      <c r="H1617" s="2">
        <v>66074.0</v>
      </c>
      <c r="I1617" s="2">
        <v>55805.0</v>
      </c>
      <c r="J1617" s="2">
        <v>282.0</v>
      </c>
      <c r="K1617" s="2">
        <v>223.0</v>
      </c>
      <c r="L1617" s="2">
        <v>5.0</v>
      </c>
      <c r="M1617" s="4">
        <v>9078.0</v>
      </c>
      <c r="N1617" s="2" t="s">
        <v>30</v>
      </c>
      <c r="O1617" s="2">
        <v>70.0</v>
      </c>
      <c r="P1617" s="2" t="s">
        <v>189</v>
      </c>
      <c r="Q1617" s="2" t="s">
        <v>32</v>
      </c>
      <c r="R1617" s="2">
        <v>30.0</v>
      </c>
      <c r="T1617" s="2" t="s">
        <v>143</v>
      </c>
      <c r="U1617" s="2" t="b">
        <v>0</v>
      </c>
      <c r="V1617" s="5">
        <v>0.004</v>
      </c>
      <c r="W1617" s="5">
        <v>0.0224</v>
      </c>
      <c r="X1617" s="5">
        <v>9.0E-5</v>
      </c>
      <c r="Y1617" s="2">
        <v>40.70852018</v>
      </c>
      <c r="AA1617" s="2" t="s">
        <v>33</v>
      </c>
    </row>
    <row r="1618">
      <c r="A1618" s="2">
        <v>3440.0</v>
      </c>
      <c r="B1618" s="2" t="s">
        <v>4766</v>
      </c>
      <c r="C1618" s="2" t="s">
        <v>7</v>
      </c>
      <c r="D1618" s="2" t="s">
        <v>4767</v>
      </c>
      <c r="E1618" s="2" t="s">
        <v>4768</v>
      </c>
      <c r="F1618" s="6">
        <v>45930.708333333336</v>
      </c>
      <c r="G1618" s="2">
        <v>50248.0</v>
      </c>
      <c r="H1618" s="2">
        <v>50248.0</v>
      </c>
      <c r="I1618" s="2">
        <v>41623.0</v>
      </c>
      <c r="J1618" s="2">
        <v>281.0</v>
      </c>
      <c r="K1618" s="2">
        <v>208.0</v>
      </c>
      <c r="L1618" s="2">
        <v>2.0</v>
      </c>
      <c r="M1618" s="4">
        <v>4778.0</v>
      </c>
      <c r="N1618" s="2" t="s">
        <v>36</v>
      </c>
      <c r="O1618" s="2">
        <v>71.0</v>
      </c>
      <c r="P1618" s="2" t="s">
        <v>189</v>
      </c>
      <c r="Q1618" s="2" t="s">
        <v>32</v>
      </c>
      <c r="R1618" s="2">
        <v>37.0</v>
      </c>
      <c r="T1618" s="2" t="s">
        <v>143</v>
      </c>
      <c r="U1618" s="2" t="b">
        <v>1</v>
      </c>
      <c r="V1618" s="5">
        <v>0.005</v>
      </c>
      <c r="W1618" s="5">
        <v>0.0096</v>
      </c>
      <c r="X1618" s="5">
        <v>4.8E-5</v>
      </c>
      <c r="Y1618" s="2">
        <v>22.97115385</v>
      </c>
      <c r="AA1618" s="2" t="s">
        <v>33</v>
      </c>
    </row>
    <row r="1619">
      <c r="A1619" s="2">
        <v>3439.0</v>
      </c>
      <c r="B1619" s="2" t="s">
        <v>4769</v>
      </c>
      <c r="C1619" s="2" t="s">
        <v>7</v>
      </c>
      <c r="D1619" s="2" t="s">
        <v>4770</v>
      </c>
      <c r="E1619" s="2" t="s">
        <v>4771</v>
      </c>
      <c r="F1619" s="6">
        <v>45930.708333333336</v>
      </c>
      <c r="G1619" s="2">
        <v>66006.0</v>
      </c>
      <c r="H1619" s="2">
        <v>66006.0</v>
      </c>
      <c r="I1619" s="2">
        <v>55846.0</v>
      </c>
      <c r="J1619" s="2">
        <v>363.0</v>
      </c>
      <c r="K1619" s="2">
        <v>284.0</v>
      </c>
      <c r="L1619" s="2">
        <v>1.0</v>
      </c>
      <c r="M1619" s="4">
        <v>2228.0</v>
      </c>
      <c r="N1619" s="2" t="s">
        <v>30</v>
      </c>
      <c r="O1619" s="2">
        <v>70.0</v>
      </c>
      <c r="P1619" s="2" t="s">
        <v>189</v>
      </c>
      <c r="Q1619" s="2" t="s">
        <v>32</v>
      </c>
      <c r="R1619" s="2">
        <v>33.0</v>
      </c>
      <c r="T1619" s="2" t="s">
        <v>143</v>
      </c>
      <c r="U1619" s="2" t="b">
        <v>0</v>
      </c>
      <c r="V1619" s="5">
        <v>0.0051</v>
      </c>
      <c r="W1619" s="5">
        <v>0.0035</v>
      </c>
      <c r="X1619" s="5">
        <v>1.8E-5</v>
      </c>
      <c r="Y1619" s="2">
        <v>7.845070423</v>
      </c>
      <c r="Z1619" s="2">
        <v>6462.0</v>
      </c>
      <c r="AA1619" s="2" t="s">
        <v>33</v>
      </c>
    </row>
    <row r="1620">
      <c r="A1620" s="2">
        <v>3442.0</v>
      </c>
      <c r="B1620" s="2" t="s">
        <v>4772</v>
      </c>
      <c r="C1620" s="2" t="s">
        <v>7</v>
      </c>
      <c r="D1620" s="2" t="s">
        <v>4773</v>
      </c>
      <c r="E1620" s="2" t="s">
        <v>4774</v>
      </c>
      <c r="F1620" s="6">
        <v>45931.458333333336</v>
      </c>
      <c r="G1620" s="2">
        <v>50301.0</v>
      </c>
      <c r="H1620" s="2">
        <v>50301.0</v>
      </c>
      <c r="I1620" s="2">
        <v>41244.0</v>
      </c>
      <c r="J1620" s="2">
        <v>252.0</v>
      </c>
      <c r="K1620" s="2">
        <v>201.0</v>
      </c>
      <c r="L1620" s="2">
        <v>2.0</v>
      </c>
      <c r="M1620" s="4">
        <v>37738.0</v>
      </c>
      <c r="N1620" s="2" t="s">
        <v>36</v>
      </c>
      <c r="O1620" s="2">
        <v>71.0</v>
      </c>
      <c r="P1620" s="2" t="s">
        <v>31</v>
      </c>
      <c r="Q1620" s="2" t="s">
        <v>32</v>
      </c>
      <c r="R1620" s="2">
        <v>37.0</v>
      </c>
      <c r="T1620" s="7" t="str">
        <f>IFERROR(__xludf.DUMMYFUNCTION("AI(""has offer Come X Pay X"",D1620)"),"has offer:  - Unlimited mimosas, fruit juices, and coffee are included with the new Chefs de France breakfast buffet
  - Disney Visa Cardmembers save 10% on select merchandise and at certain restaurants like Le Cellier and Rose &amp; Crown
  - Concert Series "&amp;"Dining Packages include a guaranteed seat at an Eat to the Beat concert with the purchase of a meal
    Come:
  - The EPCOT International Food &amp; Wine Festival runs from late August through late November 2025
  - Activities include 35+ Global Marketplaces,"&amp;" the Eat to the Beat Concert Series, Emile's Fromage Montage, and Remy's Ratatouille Hide &amp; Squeak
  - The Chefs de France breakfast buffet is offered on Fridays and Saturdays from 9:00 a.m. to 10:30 a.m.
  - Reservations for the breakfast buffet open on "&amp;"August 12th; Concert Series Dining Package reservations open on July 16th
    Pay:
  - The Chefs de France breakfast buffet costs $64.95 per person
  - Prices for Concert Series Dining Packages vary by restaurant and mealtime")</f>
        <v>has offer:  - Unlimited mimosas, fruit juices, and coffee are included with the new Chefs de France breakfast buffet
  - Disney Visa Cardmembers save 10% on select merchandise and at certain restaurants like Le Cellier and Rose &amp; Crown
  - Concert Series Dining Packages include a guaranteed seat at an Eat to the Beat concert with the purchase of a meal
    Come:
  - The EPCOT International Food &amp; Wine Festival runs from late August through late November 2025
  - Activities include 35+ Global Marketplaces, the Eat to the Beat Concert Series, Emile's Fromage Montage, and Remy's Ratatouille Hide &amp; Squeak
  - The Chefs de France breakfast buffet is offered on Fridays and Saturdays from 9:00 a.m. to 10:30 a.m.
  - Reservations for the breakfast buffet open on August 12th; Concert Series Dining Package reservations open on July 16th
    Pay:
  - The Chefs de France breakfast buffet costs $64.95 per person
  - Prices for Concert Series Dining Packages vary by restaurant and mealtime</v>
      </c>
      <c r="U1620" s="2" t="b">
        <v>0</v>
      </c>
      <c r="V1620" s="5">
        <v>0.0049</v>
      </c>
      <c r="W1620" s="5">
        <v>0.01</v>
      </c>
      <c r="X1620" s="5">
        <v>4.8E-5</v>
      </c>
      <c r="Y1620" s="2">
        <v>187.7512438</v>
      </c>
      <c r="AA1620" s="2" t="s">
        <v>33</v>
      </c>
    </row>
    <row r="1621">
      <c r="A1621" s="2">
        <v>3441.0</v>
      </c>
      <c r="B1621" s="2" t="s">
        <v>4775</v>
      </c>
      <c r="C1621" s="2" t="s">
        <v>7</v>
      </c>
      <c r="D1621" s="2" t="s">
        <v>4776</v>
      </c>
      <c r="E1621" s="2" t="s">
        <v>4777</v>
      </c>
      <c r="F1621" s="6">
        <v>45931.458333333336</v>
      </c>
      <c r="G1621" s="2">
        <v>65986.0</v>
      </c>
      <c r="H1621" s="2">
        <v>65986.0</v>
      </c>
      <c r="I1621" s="2">
        <v>55478.0</v>
      </c>
      <c r="J1621" s="2">
        <v>351.0</v>
      </c>
      <c r="K1621" s="2">
        <v>277.0</v>
      </c>
      <c r="L1621" s="2">
        <v>10.0</v>
      </c>
      <c r="M1621" s="4">
        <v>18340.0</v>
      </c>
      <c r="N1621" s="2" t="s">
        <v>30</v>
      </c>
      <c r="O1621" s="2">
        <v>70.0</v>
      </c>
      <c r="P1621" s="2" t="s">
        <v>31</v>
      </c>
      <c r="Q1621" s="2" t="s">
        <v>32</v>
      </c>
      <c r="R1621" s="2">
        <v>44.0</v>
      </c>
      <c r="T1621" s="2" t="s">
        <v>47</v>
      </c>
      <c r="U1621" s="2" t="b">
        <v>0</v>
      </c>
      <c r="V1621" s="5">
        <v>0.005</v>
      </c>
      <c r="W1621" s="5">
        <v>0.0361</v>
      </c>
      <c r="X1621" s="5">
        <v>1.8E-4</v>
      </c>
      <c r="Y1621" s="2">
        <v>66.20938628</v>
      </c>
      <c r="AA1621" s="2" t="s">
        <v>33</v>
      </c>
    </row>
    <row r="1622">
      <c r="A1622" s="2">
        <v>3444.0</v>
      </c>
      <c r="B1622" s="2" t="s">
        <v>4778</v>
      </c>
      <c r="C1622" s="2" t="s">
        <v>7</v>
      </c>
      <c r="D1622" s="2" t="s">
        <v>4779</v>
      </c>
      <c r="E1622" s="2" t="s">
        <v>4780</v>
      </c>
      <c r="F1622" s="6">
        <v>45931.625</v>
      </c>
      <c r="G1622" s="2">
        <v>50231.0</v>
      </c>
      <c r="H1622" s="2">
        <v>50231.0</v>
      </c>
      <c r="I1622" s="2">
        <v>41595.0</v>
      </c>
      <c r="J1622" s="2">
        <v>267.0</v>
      </c>
      <c r="K1622" s="2">
        <v>201.0</v>
      </c>
      <c r="L1622" s="2">
        <v>3.0</v>
      </c>
      <c r="M1622" s="4">
        <v>12551.0</v>
      </c>
      <c r="N1622" s="2" t="s">
        <v>36</v>
      </c>
      <c r="O1622" s="2">
        <v>71.0</v>
      </c>
      <c r="P1622" s="2" t="s">
        <v>189</v>
      </c>
      <c r="Q1622" s="2" t="s">
        <v>32</v>
      </c>
      <c r="R1622" s="2">
        <v>48.0</v>
      </c>
      <c r="U1622" s="2" t="b">
        <v>0</v>
      </c>
      <c r="V1622" s="5">
        <v>0.0048</v>
      </c>
      <c r="W1622" s="5">
        <v>0.0149</v>
      </c>
      <c r="X1622" s="5">
        <v>7.2E-5</v>
      </c>
      <c r="Y1622" s="2">
        <v>62.44278607</v>
      </c>
      <c r="AA1622" s="2" t="s">
        <v>33</v>
      </c>
    </row>
    <row r="1623">
      <c r="A1623" s="2">
        <v>3443.0</v>
      </c>
      <c r="B1623" s="2" t="s">
        <v>4781</v>
      </c>
      <c r="C1623" s="2" t="s">
        <v>7</v>
      </c>
      <c r="D1623" s="2" t="s">
        <v>4782</v>
      </c>
      <c r="E1623" s="2" t="s">
        <v>4783</v>
      </c>
      <c r="F1623" s="6">
        <v>45931.625</v>
      </c>
      <c r="G1623" s="2">
        <v>65881.0</v>
      </c>
      <c r="H1623" s="2">
        <v>65881.0</v>
      </c>
      <c r="I1623" s="2">
        <v>55701.0</v>
      </c>
      <c r="J1623" s="2">
        <v>249.0</v>
      </c>
      <c r="K1623" s="2">
        <v>205.0</v>
      </c>
      <c r="L1623" s="2">
        <v>4.0</v>
      </c>
      <c r="M1623" s="4">
        <v>22842.0</v>
      </c>
      <c r="N1623" s="2" t="s">
        <v>30</v>
      </c>
      <c r="O1623" s="2">
        <v>70.0</v>
      </c>
      <c r="P1623" s="2" t="s">
        <v>189</v>
      </c>
      <c r="Q1623" s="2" t="s">
        <v>32</v>
      </c>
      <c r="R1623" s="2">
        <v>33.0</v>
      </c>
      <c r="T1623" s="7" t="str">
        <f>IFERROR(__xludf.DUMMYFUNCTION("AI(""has offer Come X Pay X"",D1623)"),"This subject line is effective and follows several email best practices:  - It is concise at 20 characters, aligning with the recommendation to keep subject lines short (ideally under 50 characters) to avoid truncation on mobile devices.
  - It uses a sin"&amp;"gle emoji (🟢) for visual appeal, which is advised when used sparingly.
  - It is timely and value-oriented by referencing a specific day (""First Wednesday of October"") and highlighting a benefit (""lots of new shops/restaurants"").
  - It avoids excess"&amp;"ive capitalization or punctuation, which can trigger spam filters.")</f>
        <v>This subject line is effective and follows several email best practices:  - It is concise at 20 characters, aligning with the recommendation to keep subject lines short (ideally under 50 characters) to avoid truncation on mobile devices.
  - It uses a single emoji (🟢) for visual appeal, which is advised when used sparingly.
  - It is timely and value-oriented by referencing a specific day ("First Wednesday of October") and highlighting a benefit ("lots of new shops/restaurants").
  - It avoids excessive capitalization or punctuation, which can trigger spam filters.</v>
      </c>
      <c r="U1623" s="2" t="b">
        <v>0</v>
      </c>
      <c r="V1623" s="5">
        <v>0.0037</v>
      </c>
      <c r="W1623" s="5">
        <v>0.0195</v>
      </c>
      <c r="X1623" s="5">
        <v>7.2E-5</v>
      </c>
      <c r="Y1623" s="2">
        <v>111.4243902</v>
      </c>
      <c r="AA1623" s="2" t="s">
        <v>33</v>
      </c>
    </row>
    <row r="1624">
      <c r="A1624" s="2">
        <v>3445.0</v>
      </c>
      <c r="B1624" s="2" t="s">
        <v>4784</v>
      </c>
      <c r="C1624" s="2" t="s">
        <v>7</v>
      </c>
      <c r="D1624" s="2" t="s">
        <v>4785</v>
      </c>
      <c r="E1624" s="2" t="s">
        <v>4786</v>
      </c>
      <c r="F1624" s="6">
        <v>45931.708333333336</v>
      </c>
      <c r="G1624" s="2">
        <v>50227.0</v>
      </c>
      <c r="H1624" s="2">
        <v>50227.0</v>
      </c>
      <c r="I1624" s="2">
        <v>41447.0</v>
      </c>
      <c r="J1624" s="2">
        <v>345.0</v>
      </c>
      <c r="K1624" s="2">
        <v>264.0</v>
      </c>
      <c r="L1624" s="2">
        <v>5.0</v>
      </c>
      <c r="M1624" s="4">
        <v>13850.0</v>
      </c>
      <c r="N1624" s="2" t="s">
        <v>36</v>
      </c>
      <c r="O1624" s="2">
        <v>71.0</v>
      </c>
      <c r="P1624" s="2" t="s">
        <v>189</v>
      </c>
      <c r="Q1624" s="2" t="s">
        <v>32</v>
      </c>
      <c r="R1624" s="2">
        <v>25.0</v>
      </c>
      <c r="U1624" s="2" t="b">
        <v>0</v>
      </c>
      <c r="V1624" s="5">
        <v>0.0064</v>
      </c>
      <c r="W1624" s="5">
        <v>0.0189</v>
      </c>
      <c r="X1624" s="5">
        <v>1.21E-4</v>
      </c>
      <c r="Y1624" s="2">
        <v>52.46212121</v>
      </c>
      <c r="Z1624" s="2">
        <v>5149.0</v>
      </c>
      <c r="AA1624" s="2" t="s">
        <v>33</v>
      </c>
    </row>
    <row r="1625">
      <c r="A1625" s="2">
        <v>3446.0</v>
      </c>
      <c r="B1625" s="2" t="s">
        <v>4787</v>
      </c>
      <c r="C1625" s="2" t="s">
        <v>7</v>
      </c>
      <c r="D1625" s="2" t="s">
        <v>4788</v>
      </c>
      <c r="E1625" s="2" t="s">
        <v>4789</v>
      </c>
      <c r="F1625" s="6">
        <v>45931.708333333336</v>
      </c>
      <c r="G1625" s="2">
        <v>65905.0</v>
      </c>
      <c r="H1625" s="2">
        <v>65905.0</v>
      </c>
      <c r="I1625" s="2">
        <v>55365.0</v>
      </c>
      <c r="J1625" s="2">
        <v>419.0</v>
      </c>
      <c r="K1625" s="2">
        <v>337.0</v>
      </c>
      <c r="L1625" s="2">
        <v>8.0</v>
      </c>
      <c r="M1625" s="4">
        <v>17015.0</v>
      </c>
      <c r="N1625" s="2" t="s">
        <v>30</v>
      </c>
      <c r="O1625" s="2">
        <v>70.0</v>
      </c>
      <c r="P1625" s="2" t="s">
        <v>189</v>
      </c>
      <c r="Q1625" s="2" t="s">
        <v>32</v>
      </c>
      <c r="R1625" s="2">
        <v>34.0</v>
      </c>
      <c r="U1625" s="2" t="b">
        <v>0</v>
      </c>
      <c r="V1625" s="5">
        <v>0.0061</v>
      </c>
      <c r="W1625" s="5">
        <v>0.0237</v>
      </c>
      <c r="X1625" s="5">
        <v>1.44E-4</v>
      </c>
      <c r="Y1625" s="2">
        <v>50.48961424</v>
      </c>
      <c r="Z1625" s="2">
        <v>5149.0</v>
      </c>
      <c r="AA1625" s="2" t="s">
        <v>33</v>
      </c>
    </row>
    <row r="1626">
      <c r="A1626" s="2">
        <v>3447.0</v>
      </c>
      <c r="B1626" s="2" t="s">
        <v>4790</v>
      </c>
      <c r="C1626" s="2" t="s">
        <v>7</v>
      </c>
      <c r="D1626" s="2" t="s">
        <v>4791</v>
      </c>
      <c r="E1626" s="2" t="s">
        <v>4792</v>
      </c>
      <c r="F1626" s="6">
        <v>45932.461805555555</v>
      </c>
      <c r="G1626" s="2">
        <v>65945.0</v>
      </c>
      <c r="H1626" s="2">
        <v>65945.0</v>
      </c>
      <c r="I1626" s="2">
        <v>55437.0</v>
      </c>
      <c r="J1626" s="2">
        <v>296.0</v>
      </c>
      <c r="K1626" s="2">
        <v>247.0</v>
      </c>
      <c r="L1626" s="2">
        <v>1.0</v>
      </c>
      <c r="M1626" s="4">
        <v>1390.0</v>
      </c>
      <c r="N1626" s="2" t="s">
        <v>30</v>
      </c>
      <c r="O1626" s="2">
        <v>70.0</v>
      </c>
      <c r="P1626" s="2" t="s">
        <v>189</v>
      </c>
      <c r="Q1626" s="2" t="s">
        <v>32</v>
      </c>
      <c r="R1626" s="2">
        <v>44.0</v>
      </c>
      <c r="U1626" s="2" t="b">
        <v>0</v>
      </c>
      <c r="V1626" s="5">
        <v>0.0045</v>
      </c>
      <c r="W1626" s="5">
        <v>0.004</v>
      </c>
      <c r="X1626" s="5">
        <v>1.8E-5</v>
      </c>
      <c r="Y1626" s="2">
        <v>5.627530364</v>
      </c>
      <c r="AA1626" s="2" t="s">
        <v>33</v>
      </c>
    </row>
    <row r="1627">
      <c r="A1627" s="2">
        <v>3448.0</v>
      </c>
      <c r="B1627" s="2" t="s">
        <v>4793</v>
      </c>
      <c r="C1627" s="2" t="s">
        <v>7</v>
      </c>
      <c r="D1627" s="2" t="s">
        <v>4794</v>
      </c>
      <c r="E1627" s="2" t="s">
        <v>4795</v>
      </c>
      <c r="F1627" s="6">
        <v>45932.46527777778</v>
      </c>
      <c r="G1627" s="2">
        <v>50281.0</v>
      </c>
      <c r="H1627" s="2">
        <v>50281.0</v>
      </c>
      <c r="I1627" s="2">
        <v>41266.0</v>
      </c>
      <c r="J1627" s="2">
        <v>216.0</v>
      </c>
      <c r="K1627" s="2">
        <v>176.0</v>
      </c>
      <c r="L1627" s="2">
        <v>3.0</v>
      </c>
      <c r="M1627" s="4">
        <v>5832.0</v>
      </c>
      <c r="N1627" s="2" t="s">
        <v>36</v>
      </c>
      <c r="O1627" s="2">
        <v>71.0</v>
      </c>
      <c r="P1627" s="2" t="s">
        <v>189</v>
      </c>
      <c r="Q1627" s="2" t="s">
        <v>32</v>
      </c>
      <c r="R1627" s="2">
        <v>42.0</v>
      </c>
      <c r="T1627" s="2" t="s">
        <v>58</v>
      </c>
      <c r="U1627" s="2" t="b">
        <v>0</v>
      </c>
      <c r="V1627" s="5">
        <v>0.0043</v>
      </c>
      <c r="W1627" s="5">
        <v>0.017</v>
      </c>
      <c r="X1627" s="5">
        <v>7.3E-5</v>
      </c>
      <c r="Y1627" s="2">
        <v>33.13636364</v>
      </c>
      <c r="AA1627" s="2" t="s">
        <v>33</v>
      </c>
    </row>
    <row r="1628">
      <c r="A1628" s="2">
        <v>3450.0</v>
      </c>
      <c r="B1628" s="2" t="s">
        <v>4796</v>
      </c>
      <c r="C1628" s="2" t="s">
        <v>7</v>
      </c>
      <c r="D1628" s="2" t="s">
        <v>4797</v>
      </c>
      <c r="E1628" s="2" t="s">
        <v>4798</v>
      </c>
      <c r="F1628" s="6">
        <v>45932.625</v>
      </c>
      <c r="G1628" s="2">
        <v>50173.0</v>
      </c>
      <c r="H1628" s="2">
        <v>50173.0</v>
      </c>
      <c r="I1628" s="2">
        <v>41468.0</v>
      </c>
      <c r="J1628" s="2">
        <v>337.0</v>
      </c>
      <c r="K1628" s="2">
        <v>270.0</v>
      </c>
      <c r="L1628" s="2">
        <v>5.0</v>
      </c>
      <c r="M1628" s="4">
        <v>10270.0</v>
      </c>
      <c r="N1628" s="2" t="s">
        <v>36</v>
      </c>
      <c r="O1628" s="2">
        <v>71.0</v>
      </c>
      <c r="P1628" s="2" t="s">
        <v>189</v>
      </c>
      <c r="Q1628" s="2" t="s">
        <v>32</v>
      </c>
      <c r="R1628" s="2">
        <v>40.0</v>
      </c>
      <c r="T1628" s="7" t="str">
        <f>IFERROR(__xludf.DUMMYFUNCTION("AI(""has offer Come X Pay X"",D1628)"),"Several offers are available including 10-30% discounts for members or credit card holders at Raffles Jakarta, and free flow beer and soft drinks with The Berkeley Hotel's Platinum Seafood Buffet Dinner.")</f>
        <v>Several offers are available including 10-30% discounts for members or credit card holders at Raffles Jakarta, and free flow beer and soft drinks with The Berkeley Hotel's Platinum Seafood Buffet Dinner.</v>
      </c>
      <c r="U1628" s="2" t="b">
        <v>0</v>
      </c>
      <c r="V1628" s="5">
        <v>0.0065</v>
      </c>
      <c r="W1628" s="5">
        <v>0.0185</v>
      </c>
      <c r="X1628" s="5">
        <v>1.21E-4</v>
      </c>
      <c r="Y1628" s="2">
        <v>38.03703704</v>
      </c>
      <c r="AA1628" s="2" t="s">
        <v>33</v>
      </c>
    </row>
    <row r="1629">
      <c r="A1629" s="2">
        <v>3449.0</v>
      </c>
      <c r="B1629" s="2" t="s">
        <v>4799</v>
      </c>
      <c r="C1629" s="2" t="s">
        <v>7</v>
      </c>
      <c r="D1629" s="2" t="s">
        <v>4800</v>
      </c>
      <c r="E1629" s="2" t="s">
        <v>4801</v>
      </c>
      <c r="F1629" s="6">
        <v>45932.625</v>
      </c>
      <c r="G1629" s="2">
        <v>65905.0</v>
      </c>
      <c r="H1629" s="2">
        <v>65905.0</v>
      </c>
      <c r="I1629" s="2">
        <v>55586.0</v>
      </c>
      <c r="J1629" s="2">
        <v>345.0</v>
      </c>
      <c r="K1629" s="2">
        <v>277.0</v>
      </c>
      <c r="L1629" s="2">
        <v>8.0</v>
      </c>
      <c r="M1629" s="4">
        <v>22859.0</v>
      </c>
      <c r="N1629" s="2" t="s">
        <v>30</v>
      </c>
      <c r="O1629" s="2">
        <v>70.0</v>
      </c>
      <c r="P1629" s="2" t="s">
        <v>189</v>
      </c>
      <c r="Q1629" s="2" t="s">
        <v>32</v>
      </c>
      <c r="R1629" s="2">
        <v>51.0</v>
      </c>
      <c r="U1629" s="2" t="b">
        <v>0</v>
      </c>
      <c r="V1629" s="5">
        <v>0.005</v>
      </c>
      <c r="W1629" s="5">
        <v>0.0289</v>
      </c>
      <c r="X1629" s="5">
        <v>1.44E-4</v>
      </c>
      <c r="Y1629" s="2">
        <v>82.5234657</v>
      </c>
      <c r="AA1629" s="2" t="s">
        <v>33</v>
      </c>
    </row>
    <row r="1630">
      <c r="A1630" s="2">
        <v>3452.0</v>
      </c>
      <c r="B1630" s="2" t="s">
        <v>4802</v>
      </c>
      <c r="C1630" s="2" t="s">
        <v>7</v>
      </c>
      <c r="D1630" s="2" t="s">
        <v>4803</v>
      </c>
      <c r="E1630" s="2" t="s">
        <v>4804</v>
      </c>
      <c r="F1630" s="6">
        <v>45932.708333333336</v>
      </c>
      <c r="G1630" s="2">
        <v>50186.0</v>
      </c>
      <c r="H1630" s="2">
        <v>50186.0</v>
      </c>
      <c r="I1630" s="2">
        <v>41396.0</v>
      </c>
      <c r="J1630" s="2">
        <v>342.0</v>
      </c>
      <c r="K1630" s="2">
        <v>273.0</v>
      </c>
      <c r="L1630" s="2">
        <v>6.0</v>
      </c>
      <c r="M1630" s="4">
        <v>16273.0</v>
      </c>
      <c r="N1630" s="2" t="s">
        <v>36</v>
      </c>
      <c r="O1630" s="2">
        <v>71.0</v>
      </c>
      <c r="P1630" s="2" t="s">
        <v>189</v>
      </c>
      <c r="Q1630" s="2" t="s">
        <v>32</v>
      </c>
      <c r="R1630" s="2">
        <v>38.0</v>
      </c>
      <c r="T1630" s="2" t="s">
        <v>47</v>
      </c>
      <c r="U1630" s="2" t="b">
        <v>0</v>
      </c>
      <c r="V1630" s="5">
        <v>0.0066</v>
      </c>
      <c r="W1630" s="5">
        <v>0.022</v>
      </c>
      <c r="X1630" s="5">
        <v>1.45E-4</v>
      </c>
      <c r="Y1630" s="2">
        <v>59.60805861</v>
      </c>
      <c r="AA1630" s="2" t="s">
        <v>33</v>
      </c>
    </row>
    <row r="1631">
      <c r="A1631" s="2">
        <v>3451.0</v>
      </c>
      <c r="B1631" s="2" t="s">
        <v>4805</v>
      </c>
      <c r="C1631" s="2" t="s">
        <v>7</v>
      </c>
      <c r="D1631" s="2" t="s">
        <v>4806</v>
      </c>
      <c r="E1631" s="2" t="s">
        <v>4807</v>
      </c>
      <c r="F1631" s="6">
        <v>45932.708333333336</v>
      </c>
      <c r="G1631" s="2">
        <v>65936.0</v>
      </c>
      <c r="H1631" s="2">
        <v>65936.0</v>
      </c>
      <c r="I1631" s="2">
        <v>55533.0</v>
      </c>
      <c r="J1631" s="2">
        <v>329.0</v>
      </c>
      <c r="K1631" s="2">
        <v>257.0</v>
      </c>
      <c r="L1631" s="2">
        <v>9.0</v>
      </c>
      <c r="M1631" s="4">
        <v>30163.0</v>
      </c>
      <c r="N1631" s="2" t="s">
        <v>30</v>
      </c>
      <c r="O1631" s="2">
        <v>70.0</v>
      </c>
      <c r="P1631" s="2" t="s">
        <v>189</v>
      </c>
      <c r="Q1631" s="2" t="s">
        <v>32</v>
      </c>
      <c r="R1631" s="2">
        <v>35.0</v>
      </c>
      <c r="T1631" s="7" t="str">
        <f>IFERROR(__xludf.DUMMYFUNCTION("AI(""has offer Come X Pay X"",D1631)"),"Promotional Offer")</f>
        <v>Promotional Offer</v>
      </c>
      <c r="U1631" s="2" t="b">
        <v>0</v>
      </c>
      <c r="V1631" s="5">
        <v>0.0046</v>
      </c>
      <c r="W1631" s="5">
        <v>0.035</v>
      </c>
      <c r="X1631" s="5">
        <v>1.62E-4</v>
      </c>
      <c r="Y1631" s="2">
        <v>117.3657588</v>
      </c>
      <c r="Z1631" s="2">
        <v>5939.0</v>
      </c>
      <c r="AA1631" s="2" t="s">
        <v>33</v>
      </c>
    </row>
    <row r="1632">
      <c r="A1632" s="2">
        <v>3454.0</v>
      </c>
      <c r="B1632" s="2" t="s">
        <v>4808</v>
      </c>
      <c r="C1632" s="2" t="s">
        <v>7</v>
      </c>
      <c r="D1632" s="2" t="s">
        <v>4809</v>
      </c>
      <c r="E1632" s="2" t="s">
        <v>4810</v>
      </c>
      <c r="F1632" s="6">
        <v>45933.458333333336</v>
      </c>
      <c r="G1632" s="2">
        <v>50222.0</v>
      </c>
      <c r="H1632" s="2">
        <v>50222.0</v>
      </c>
      <c r="I1632" s="2">
        <v>41026.0</v>
      </c>
      <c r="J1632" s="2">
        <v>299.0</v>
      </c>
      <c r="K1632" s="2">
        <v>230.0</v>
      </c>
      <c r="L1632" s="2">
        <v>1.0</v>
      </c>
      <c r="M1632" s="4">
        <v>1490.0</v>
      </c>
      <c r="N1632" s="2" t="s">
        <v>36</v>
      </c>
      <c r="O1632" s="2">
        <v>71.0</v>
      </c>
      <c r="P1632" s="2" t="s">
        <v>31</v>
      </c>
      <c r="Q1632" s="2" t="s">
        <v>32</v>
      </c>
      <c r="R1632" s="2">
        <v>35.0</v>
      </c>
      <c r="U1632" s="2" t="b">
        <v>1</v>
      </c>
      <c r="V1632" s="5">
        <v>0.0056</v>
      </c>
      <c r="W1632" s="5">
        <v>0.0043</v>
      </c>
      <c r="X1632" s="5">
        <v>2.4E-5</v>
      </c>
      <c r="Y1632" s="2">
        <v>6.47826087</v>
      </c>
      <c r="AA1632" s="2" t="s">
        <v>33</v>
      </c>
    </row>
    <row r="1633">
      <c r="A1633" s="2">
        <v>3453.0</v>
      </c>
      <c r="B1633" s="2" t="s">
        <v>4811</v>
      </c>
      <c r="C1633" s="2" t="s">
        <v>7</v>
      </c>
      <c r="D1633" s="2" t="s">
        <v>4812</v>
      </c>
      <c r="E1633" s="2" t="s">
        <v>4813</v>
      </c>
      <c r="F1633" s="6">
        <v>45933.458333333336</v>
      </c>
      <c r="G1633" s="2">
        <v>65936.0</v>
      </c>
      <c r="H1633" s="2">
        <v>65936.0</v>
      </c>
      <c r="I1633" s="2">
        <v>55142.0</v>
      </c>
      <c r="J1633" s="2">
        <v>462.0</v>
      </c>
      <c r="K1633" s="2">
        <v>386.0</v>
      </c>
      <c r="L1633" s="2">
        <v>6.0</v>
      </c>
      <c r="M1633" s="4">
        <v>17217.0</v>
      </c>
      <c r="N1633" s="2" t="s">
        <v>30</v>
      </c>
      <c r="O1633" s="2">
        <v>70.0</v>
      </c>
      <c r="P1633" s="2" t="s">
        <v>189</v>
      </c>
      <c r="Q1633" s="2" t="s">
        <v>32</v>
      </c>
      <c r="R1633" s="2">
        <v>38.0</v>
      </c>
      <c r="U1633" s="2" t="b">
        <v>0</v>
      </c>
      <c r="V1633" s="5">
        <v>0.007</v>
      </c>
      <c r="W1633" s="5">
        <v>0.0155</v>
      </c>
      <c r="X1633" s="5">
        <v>1.09E-4</v>
      </c>
      <c r="Y1633" s="2">
        <v>44.60362694</v>
      </c>
      <c r="AA1633" s="2" t="s">
        <v>33</v>
      </c>
    </row>
    <row r="1634">
      <c r="A1634" s="2">
        <v>3456.0</v>
      </c>
      <c r="B1634" s="2" t="s">
        <v>4814</v>
      </c>
      <c r="C1634" s="2" t="s">
        <v>7</v>
      </c>
      <c r="D1634" s="2" t="s">
        <v>4815</v>
      </c>
      <c r="E1634" s="2" t="s">
        <v>4816</v>
      </c>
      <c r="F1634" s="6">
        <v>45933.625</v>
      </c>
      <c r="G1634" s="2">
        <v>50127.0</v>
      </c>
      <c r="H1634" s="2">
        <v>50127.0</v>
      </c>
      <c r="I1634" s="2">
        <v>41278.0</v>
      </c>
      <c r="J1634" s="2">
        <v>253.0</v>
      </c>
      <c r="K1634" s="2">
        <v>198.0</v>
      </c>
      <c r="L1634" s="2">
        <v>6.0</v>
      </c>
      <c r="M1634" s="4">
        <v>15330.0</v>
      </c>
      <c r="N1634" s="2" t="s">
        <v>36</v>
      </c>
      <c r="O1634" s="2">
        <v>71.0</v>
      </c>
      <c r="P1634" s="2" t="s">
        <v>189</v>
      </c>
      <c r="Q1634" s="2" t="s">
        <v>32</v>
      </c>
      <c r="R1634" s="2">
        <v>33.0</v>
      </c>
      <c r="U1634" s="2" t="b">
        <v>0</v>
      </c>
      <c r="V1634" s="5">
        <v>0.0048</v>
      </c>
      <c r="W1634" s="5">
        <v>0.0303</v>
      </c>
      <c r="X1634" s="5">
        <v>1.45E-4</v>
      </c>
      <c r="Y1634" s="2">
        <v>77.42424242</v>
      </c>
      <c r="AA1634" s="2" t="s">
        <v>33</v>
      </c>
    </row>
    <row r="1635">
      <c r="A1635" s="2">
        <v>3455.0</v>
      </c>
      <c r="B1635" s="2" t="s">
        <v>4817</v>
      </c>
      <c r="C1635" s="2" t="s">
        <v>7</v>
      </c>
      <c r="D1635" s="2" t="s">
        <v>4818</v>
      </c>
      <c r="E1635" s="2" t="s">
        <v>4819</v>
      </c>
      <c r="F1635" s="6">
        <v>45933.625</v>
      </c>
      <c r="G1635" s="2">
        <v>65856.0</v>
      </c>
      <c r="H1635" s="2">
        <v>65856.0</v>
      </c>
      <c r="I1635" s="2">
        <v>55425.0</v>
      </c>
      <c r="J1635" s="2">
        <v>382.0</v>
      </c>
      <c r="K1635" s="2">
        <v>320.0</v>
      </c>
      <c r="L1635" s="2">
        <v>10.0</v>
      </c>
      <c r="M1635" s="4">
        <v>31666.0</v>
      </c>
      <c r="N1635" s="2" t="s">
        <v>30</v>
      </c>
      <c r="O1635" s="2">
        <v>70.0</v>
      </c>
      <c r="P1635" s="2" t="s">
        <v>189</v>
      </c>
      <c r="Q1635" s="2" t="s">
        <v>32</v>
      </c>
      <c r="R1635" s="2">
        <v>34.0</v>
      </c>
      <c r="T1635" s="2" t="s">
        <v>47</v>
      </c>
      <c r="U1635" s="2" t="b">
        <v>0</v>
      </c>
      <c r="V1635" s="5">
        <v>0.0058</v>
      </c>
      <c r="W1635" s="5">
        <v>0.0313</v>
      </c>
      <c r="X1635" s="5">
        <v>1.8E-4</v>
      </c>
      <c r="Y1635" s="2">
        <v>98.95625</v>
      </c>
      <c r="Z1635" s="2" t="s">
        <v>1939</v>
      </c>
      <c r="AA1635" s="2" t="s">
        <v>33</v>
      </c>
    </row>
    <row r="1636">
      <c r="A1636" s="2">
        <v>3458.0</v>
      </c>
      <c r="B1636" s="2" t="s">
        <v>4820</v>
      </c>
      <c r="C1636" s="2" t="s">
        <v>7</v>
      </c>
      <c r="D1636" s="2" t="s">
        <v>4821</v>
      </c>
      <c r="E1636" s="2" t="s">
        <v>4822</v>
      </c>
      <c r="F1636" s="6">
        <v>45933.708333333336</v>
      </c>
      <c r="G1636" s="2">
        <v>50142.0</v>
      </c>
      <c r="H1636" s="2">
        <v>50142.0</v>
      </c>
      <c r="I1636" s="2">
        <v>41259.0</v>
      </c>
      <c r="J1636" s="2">
        <v>281.0</v>
      </c>
      <c r="K1636" s="2">
        <v>222.0</v>
      </c>
      <c r="L1636" s="2">
        <v>4.0</v>
      </c>
      <c r="M1636" s="4">
        <v>5582.0</v>
      </c>
      <c r="N1636" s="2" t="s">
        <v>36</v>
      </c>
      <c r="O1636" s="2">
        <v>71.0</v>
      </c>
      <c r="P1636" s="2" t="s">
        <v>189</v>
      </c>
      <c r="Q1636" s="2" t="s">
        <v>32</v>
      </c>
      <c r="R1636" s="2">
        <v>28.0</v>
      </c>
      <c r="U1636" s="2" t="b">
        <v>0</v>
      </c>
      <c r="V1636" s="5">
        <v>0.0054</v>
      </c>
      <c r="W1636" s="5">
        <v>0.018</v>
      </c>
      <c r="X1636" s="5">
        <v>9.7E-5</v>
      </c>
      <c r="Y1636" s="2">
        <v>25.14414414</v>
      </c>
      <c r="AA1636" s="2" t="s">
        <v>33</v>
      </c>
    </row>
    <row r="1637">
      <c r="A1637" s="2">
        <v>3457.0</v>
      </c>
      <c r="B1637" s="2" t="s">
        <v>4823</v>
      </c>
      <c r="C1637" s="2" t="s">
        <v>7</v>
      </c>
      <c r="D1637" s="2" t="s">
        <v>4824</v>
      </c>
      <c r="E1637" s="2" t="s">
        <v>4825</v>
      </c>
      <c r="F1637" s="6">
        <v>45933.708333333336</v>
      </c>
      <c r="G1637" s="2">
        <v>65822.0</v>
      </c>
      <c r="H1637" s="2">
        <v>65822.0</v>
      </c>
      <c r="I1637" s="2">
        <v>55326.0</v>
      </c>
      <c r="J1637" s="2">
        <v>252.0</v>
      </c>
      <c r="K1637" s="2">
        <v>203.0</v>
      </c>
      <c r="L1637" s="2">
        <v>5.0</v>
      </c>
      <c r="M1637" s="4">
        <v>22932.0</v>
      </c>
      <c r="N1637" s="2" t="s">
        <v>30</v>
      </c>
      <c r="O1637" s="2">
        <v>70.0</v>
      </c>
      <c r="P1637" s="2" t="s">
        <v>189</v>
      </c>
      <c r="Q1637" s="2" t="s">
        <v>32</v>
      </c>
      <c r="R1637" s="2">
        <v>28.0</v>
      </c>
      <c r="U1637" s="2" t="b">
        <v>0</v>
      </c>
      <c r="V1637" s="5">
        <v>0.0037</v>
      </c>
      <c r="W1637" s="5">
        <v>0.0246</v>
      </c>
      <c r="X1637" s="5">
        <v>9.0E-5</v>
      </c>
      <c r="Y1637" s="2">
        <v>112.9655172</v>
      </c>
      <c r="Z1637" s="2">
        <v>5945.0</v>
      </c>
      <c r="AA1637" s="2" t="s">
        <v>33</v>
      </c>
    </row>
    <row r="1638">
      <c r="A1638" s="2">
        <v>3460.0</v>
      </c>
      <c r="B1638" s="2" t="s">
        <v>4826</v>
      </c>
      <c r="C1638" s="2" t="s">
        <v>7</v>
      </c>
      <c r="D1638" s="2" t="s">
        <v>4827</v>
      </c>
      <c r="E1638" s="2" t="s">
        <v>4828</v>
      </c>
      <c r="F1638" s="6">
        <v>45934.458333333336</v>
      </c>
      <c r="G1638" s="2">
        <v>50170.0</v>
      </c>
      <c r="H1638" s="2">
        <v>50170.0</v>
      </c>
      <c r="I1638" s="2">
        <v>40907.0</v>
      </c>
      <c r="J1638" s="2">
        <v>389.0</v>
      </c>
      <c r="K1638" s="2">
        <v>306.0</v>
      </c>
      <c r="L1638" s="2">
        <v>10.0</v>
      </c>
      <c r="M1638" s="4">
        <v>33253.0</v>
      </c>
      <c r="N1638" s="2" t="s">
        <v>36</v>
      </c>
      <c r="O1638" s="2">
        <v>71.0</v>
      </c>
      <c r="P1638" s="2" t="s">
        <v>31</v>
      </c>
      <c r="Q1638" s="2" t="s">
        <v>32</v>
      </c>
      <c r="R1638" s="2">
        <v>47.0</v>
      </c>
      <c r="T1638" s="7" t="str">
        <f>IFERROR(__xludf.DUMMYFUNCTION("AI(""has offer Come X Pay X"",D1638)"),"The ""Come X Pay X"" promotion is not explicitly listed for the Baiyoke Buffet in the available data.")</f>
        <v>The "Come X Pay X" promotion is not explicitly listed for the Baiyoke Buffet in the available data.</v>
      </c>
      <c r="U1638" s="2" t="b">
        <v>0</v>
      </c>
      <c r="V1638" s="5">
        <v>0.0075</v>
      </c>
      <c r="W1638" s="5">
        <v>0.0327</v>
      </c>
      <c r="X1638" s="5">
        <v>2.44E-4</v>
      </c>
      <c r="Y1638" s="2">
        <v>108.6699346</v>
      </c>
      <c r="AA1638" s="2" t="s">
        <v>33</v>
      </c>
    </row>
    <row r="1639">
      <c r="A1639" s="2">
        <v>3459.0</v>
      </c>
      <c r="B1639" s="2" t="s">
        <v>4829</v>
      </c>
      <c r="C1639" s="2" t="s">
        <v>7</v>
      </c>
      <c r="D1639" s="2" t="s">
        <v>4830</v>
      </c>
      <c r="E1639" s="2" t="s">
        <v>4831</v>
      </c>
      <c r="F1639" s="6">
        <v>45934.458333333336</v>
      </c>
      <c r="G1639" s="2">
        <v>65904.0</v>
      </c>
      <c r="H1639" s="2">
        <v>65904.0</v>
      </c>
      <c r="I1639" s="2">
        <v>54907.0</v>
      </c>
      <c r="J1639" s="2">
        <v>425.0</v>
      </c>
      <c r="K1639" s="2">
        <v>354.0</v>
      </c>
      <c r="L1639" s="2">
        <v>3.0</v>
      </c>
      <c r="M1639" s="4">
        <v>2877.0</v>
      </c>
      <c r="N1639" s="2" t="s">
        <v>30</v>
      </c>
      <c r="O1639" s="2">
        <v>70.0</v>
      </c>
      <c r="P1639" s="2" t="s">
        <v>189</v>
      </c>
      <c r="Q1639" s="2" t="s">
        <v>32</v>
      </c>
      <c r="R1639" s="2">
        <v>36.0</v>
      </c>
      <c r="U1639" s="2" t="b">
        <v>0</v>
      </c>
      <c r="V1639" s="5">
        <v>0.0064</v>
      </c>
      <c r="W1639" s="5">
        <v>0.0085</v>
      </c>
      <c r="X1639" s="5">
        <v>5.5E-5</v>
      </c>
      <c r="Y1639" s="2">
        <v>8.127118644</v>
      </c>
      <c r="Z1639" s="2" t="s">
        <v>4832</v>
      </c>
      <c r="AA1639" s="2" t="s">
        <v>33</v>
      </c>
    </row>
    <row r="1640">
      <c r="A1640" s="2">
        <v>3462.0</v>
      </c>
      <c r="B1640" s="2" t="s">
        <v>4833</v>
      </c>
      <c r="C1640" s="2" t="s">
        <v>7</v>
      </c>
      <c r="D1640" s="2" t="s">
        <v>4834</v>
      </c>
      <c r="E1640" s="2" t="s">
        <v>4835</v>
      </c>
      <c r="F1640" s="6">
        <v>45934.625</v>
      </c>
      <c r="G1640" s="2">
        <v>50131.0</v>
      </c>
      <c r="H1640" s="2">
        <v>50131.0</v>
      </c>
      <c r="I1640" s="2">
        <v>41229.0</v>
      </c>
      <c r="J1640" s="2">
        <v>281.0</v>
      </c>
      <c r="K1640" s="2">
        <v>219.0</v>
      </c>
      <c r="L1640" s="2">
        <v>2.0</v>
      </c>
      <c r="M1640" s="4">
        <v>2761.0</v>
      </c>
      <c r="N1640" s="2" t="s">
        <v>36</v>
      </c>
      <c r="O1640" s="2">
        <v>71.0</v>
      </c>
      <c r="P1640" s="2" t="s">
        <v>189</v>
      </c>
      <c r="Q1640" s="2" t="s">
        <v>32</v>
      </c>
      <c r="R1640" s="2">
        <v>37.0</v>
      </c>
      <c r="U1640" s="2" t="b">
        <v>1</v>
      </c>
      <c r="V1640" s="5">
        <v>0.0053</v>
      </c>
      <c r="W1640" s="5">
        <v>0.0091</v>
      </c>
      <c r="X1640" s="5">
        <v>4.9E-5</v>
      </c>
      <c r="Y1640" s="2">
        <v>12.60730594</v>
      </c>
      <c r="AA1640" s="2" t="s">
        <v>33</v>
      </c>
    </row>
    <row r="1641">
      <c r="A1641" s="2">
        <v>3461.0</v>
      </c>
      <c r="B1641" s="2" t="s">
        <v>4836</v>
      </c>
      <c r="C1641" s="2" t="s">
        <v>7</v>
      </c>
      <c r="D1641" s="2" t="s">
        <v>4837</v>
      </c>
      <c r="E1641" s="2" t="s">
        <v>4838</v>
      </c>
      <c r="F1641" s="6">
        <v>45934.625</v>
      </c>
      <c r="G1641" s="2">
        <v>65879.0</v>
      </c>
      <c r="H1641" s="2">
        <v>65879.0</v>
      </c>
      <c r="I1641" s="2">
        <v>55196.0</v>
      </c>
      <c r="J1641" s="2">
        <v>393.0</v>
      </c>
      <c r="K1641" s="2">
        <v>312.0</v>
      </c>
      <c r="L1641" s="2">
        <v>8.0</v>
      </c>
      <c r="M1641" s="4">
        <v>22925.0</v>
      </c>
      <c r="N1641" s="2" t="s">
        <v>30</v>
      </c>
      <c r="O1641" s="2">
        <v>70.0</v>
      </c>
      <c r="P1641" s="2" t="s">
        <v>189</v>
      </c>
      <c r="Q1641" s="2" t="s">
        <v>32</v>
      </c>
      <c r="R1641" s="2">
        <v>37.0</v>
      </c>
      <c r="T1641" s="2" t="s">
        <v>143</v>
      </c>
      <c r="U1641" s="2" t="b">
        <v>0</v>
      </c>
      <c r="V1641" s="5">
        <v>0.0057</v>
      </c>
      <c r="W1641" s="5">
        <v>0.0256</v>
      </c>
      <c r="X1641" s="5">
        <v>1.45E-4</v>
      </c>
      <c r="Y1641" s="2">
        <v>73.4775641</v>
      </c>
      <c r="AA1641" s="2" t="s">
        <v>33</v>
      </c>
    </row>
    <row r="1642">
      <c r="A1642" s="2">
        <v>3464.0</v>
      </c>
      <c r="B1642" s="2" t="s">
        <v>4839</v>
      </c>
      <c r="C1642" s="2" t="s">
        <v>7</v>
      </c>
      <c r="D1642" s="2" t="s">
        <v>4840</v>
      </c>
      <c r="E1642" s="2" t="s">
        <v>4841</v>
      </c>
      <c r="F1642" s="6">
        <v>45934.708333333336</v>
      </c>
      <c r="G1642" s="2">
        <v>50146.0</v>
      </c>
      <c r="H1642" s="2">
        <v>50146.0</v>
      </c>
      <c r="I1642" s="2">
        <v>41236.0</v>
      </c>
      <c r="J1642" s="2">
        <v>318.0</v>
      </c>
      <c r="K1642" s="2">
        <v>256.0</v>
      </c>
      <c r="L1642" s="2">
        <v>5.0</v>
      </c>
      <c r="M1642" s="4">
        <v>20920.0</v>
      </c>
      <c r="N1642" s="2" t="s">
        <v>36</v>
      </c>
      <c r="O1642" s="2">
        <v>71.0</v>
      </c>
      <c r="P1642" s="2" t="s">
        <v>189</v>
      </c>
      <c r="Q1642" s="2" t="s">
        <v>32</v>
      </c>
      <c r="R1642" s="2">
        <v>29.0</v>
      </c>
      <c r="T1642" s="2" t="s">
        <v>405</v>
      </c>
      <c r="U1642" s="2" t="b">
        <v>1</v>
      </c>
      <c r="V1642" s="5">
        <v>0.0062</v>
      </c>
      <c r="W1642" s="5">
        <v>0.0195</v>
      </c>
      <c r="X1642" s="5">
        <v>1.21E-4</v>
      </c>
      <c r="Y1642" s="2">
        <v>81.71875</v>
      </c>
      <c r="AA1642" s="2" t="s">
        <v>33</v>
      </c>
    </row>
    <row r="1643">
      <c r="A1643" s="2">
        <v>3463.0</v>
      </c>
      <c r="B1643" s="2" t="s">
        <v>4842</v>
      </c>
      <c r="C1643" s="2" t="s">
        <v>7</v>
      </c>
      <c r="D1643" s="2" t="s">
        <v>4843</v>
      </c>
      <c r="E1643" s="2" t="s">
        <v>4844</v>
      </c>
      <c r="F1643" s="6">
        <v>45934.708333333336</v>
      </c>
      <c r="G1643" s="2">
        <v>65901.0</v>
      </c>
      <c r="H1643" s="2">
        <v>65901.0</v>
      </c>
      <c r="I1643" s="2">
        <v>55132.0</v>
      </c>
      <c r="J1643" s="2">
        <v>463.0</v>
      </c>
      <c r="K1643" s="2">
        <v>364.0</v>
      </c>
      <c r="L1643" s="2">
        <v>7.0</v>
      </c>
      <c r="M1643" s="4">
        <v>12970.0</v>
      </c>
      <c r="N1643" s="2" t="s">
        <v>30</v>
      </c>
      <c r="O1643" s="2">
        <v>70.0</v>
      </c>
      <c r="P1643" s="2" t="s">
        <v>189</v>
      </c>
      <c r="Q1643" s="2" t="s">
        <v>32</v>
      </c>
      <c r="R1643" s="2">
        <v>29.0</v>
      </c>
      <c r="T1643" s="2" t="s">
        <v>405</v>
      </c>
      <c r="U1643" s="2" t="b">
        <v>0</v>
      </c>
      <c r="V1643" s="5">
        <v>0.0066</v>
      </c>
      <c r="W1643" s="5">
        <v>0.0192</v>
      </c>
      <c r="X1643" s="5">
        <v>1.27E-4</v>
      </c>
      <c r="Y1643" s="2">
        <v>35.63186813</v>
      </c>
      <c r="Z1643" s="2">
        <v>3596.0</v>
      </c>
      <c r="AA1643" s="2" t="s">
        <v>33</v>
      </c>
    </row>
    <row r="1644">
      <c r="A1644" s="2">
        <v>3466.0</v>
      </c>
      <c r="B1644" s="2" t="s">
        <v>4845</v>
      </c>
      <c r="C1644" s="2" t="s">
        <v>7</v>
      </c>
      <c r="D1644" s="2" t="s">
        <v>4846</v>
      </c>
      <c r="E1644" s="2" t="s">
        <v>4847</v>
      </c>
      <c r="F1644" s="6">
        <v>45935.458333333336</v>
      </c>
      <c r="G1644" s="2">
        <v>50177.0</v>
      </c>
      <c r="H1644" s="2">
        <v>50177.0</v>
      </c>
      <c r="I1644" s="2">
        <v>40752.0</v>
      </c>
      <c r="J1644" s="2">
        <v>263.0</v>
      </c>
      <c r="K1644" s="2">
        <v>209.0</v>
      </c>
      <c r="L1644" s="2">
        <v>4.0</v>
      </c>
      <c r="M1644" s="4">
        <v>8843.0</v>
      </c>
      <c r="N1644" s="2" t="s">
        <v>36</v>
      </c>
      <c r="O1644" s="2">
        <v>71.0</v>
      </c>
      <c r="P1644" s="2" t="s">
        <v>189</v>
      </c>
      <c r="Q1644" s="2" t="s">
        <v>32</v>
      </c>
      <c r="R1644" s="2">
        <v>29.0</v>
      </c>
      <c r="U1644" s="2" t="b">
        <v>1</v>
      </c>
      <c r="V1644" s="5">
        <v>0.0051</v>
      </c>
      <c r="W1644" s="5">
        <v>0.0191</v>
      </c>
      <c r="X1644" s="5">
        <v>9.8E-5</v>
      </c>
      <c r="Y1644" s="2">
        <v>42.31100478</v>
      </c>
      <c r="AA1644" s="2" t="s">
        <v>33</v>
      </c>
    </row>
    <row r="1645">
      <c r="A1645" s="2">
        <v>3465.0</v>
      </c>
      <c r="B1645" s="2" t="s">
        <v>4848</v>
      </c>
      <c r="C1645" s="2" t="s">
        <v>7</v>
      </c>
      <c r="D1645" s="2" t="s">
        <v>4849</v>
      </c>
      <c r="E1645" s="2" t="s">
        <v>4850</v>
      </c>
      <c r="F1645" s="6">
        <v>45935.458333333336</v>
      </c>
      <c r="G1645" s="2">
        <v>65874.0</v>
      </c>
      <c r="H1645" s="2">
        <v>65874.0</v>
      </c>
      <c r="I1645" s="2">
        <v>54730.0</v>
      </c>
      <c r="J1645" s="2">
        <v>330.0</v>
      </c>
      <c r="K1645" s="2">
        <v>272.0</v>
      </c>
      <c r="L1645" s="2">
        <v>3.0</v>
      </c>
      <c r="M1645" s="4">
        <v>7202.0</v>
      </c>
      <c r="N1645" s="2" t="s">
        <v>30</v>
      </c>
      <c r="O1645" s="2">
        <v>70.0</v>
      </c>
      <c r="P1645" s="2" t="s">
        <v>31</v>
      </c>
      <c r="Q1645" s="2" t="s">
        <v>32</v>
      </c>
      <c r="R1645" s="2">
        <v>29.0</v>
      </c>
      <c r="U1645" s="2" t="b">
        <v>0</v>
      </c>
      <c r="V1645" s="5">
        <v>0.005</v>
      </c>
      <c r="W1645" s="5">
        <v>0.011</v>
      </c>
      <c r="X1645" s="5">
        <v>5.5E-5</v>
      </c>
      <c r="Y1645" s="2">
        <v>26.47794118</v>
      </c>
      <c r="Z1645" s="2">
        <v>2429.0</v>
      </c>
      <c r="AA1645" s="2" t="s">
        <v>33</v>
      </c>
    </row>
    <row r="1646">
      <c r="A1646" s="2">
        <v>3468.0</v>
      </c>
      <c r="B1646" s="2" t="s">
        <v>4851</v>
      </c>
      <c r="C1646" s="2" t="s">
        <v>7</v>
      </c>
      <c r="D1646" s="2" t="s">
        <v>4852</v>
      </c>
      <c r="E1646" s="2" t="s">
        <v>4853</v>
      </c>
      <c r="F1646" s="6">
        <v>45935.625</v>
      </c>
      <c r="G1646" s="2">
        <v>50153.0</v>
      </c>
      <c r="H1646" s="2">
        <v>50153.0</v>
      </c>
      <c r="I1646" s="2">
        <v>41080.0</v>
      </c>
      <c r="J1646" s="2">
        <v>279.0</v>
      </c>
      <c r="K1646" s="2">
        <v>212.0</v>
      </c>
      <c r="L1646" s="2">
        <v>3.0</v>
      </c>
      <c r="M1646" s="4">
        <v>4802.0</v>
      </c>
      <c r="N1646" s="2" t="s">
        <v>36</v>
      </c>
      <c r="O1646" s="2">
        <v>71.0</v>
      </c>
      <c r="P1646" s="2" t="s">
        <v>189</v>
      </c>
      <c r="Q1646" s="2" t="s">
        <v>32</v>
      </c>
      <c r="R1646" s="2">
        <v>34.0</v>
      </c>
      <c r="T1646" s="2" t="s">
        <v>4084</v>
      </c>
      <c r="U1646" s="2" t="b">
        <v>1</v>
      </c>
      <c r="V1646" s="5">
        <v>0.0052</v>
      </c>
      <c r="W1646" s="5">
        <v>0.0142</v>
      </c>
      <c r="X1646" s="5">
        <v>7.3E-5</v>
      </c>
      <c r="Y1646" s="2">
        <v>22.6509434</v>
      </c>
      <c r="AA1646" s="2" t="s">
        <v>33</v>
      </c>
    </row>
    <row r="1647">
      <c r="A1647" s="2">
        <v>3467.0</v>
      </c>
      <c r="B1647" s="2" t="s">
        <v>4854</v>
      </c>
      <c r="C1647" s="2" t="s">
        <v>7</v>
      </c>
      <c r="D1647" s="2" t="s">
        <v>4855</v>
      </c>
      <c r="E1647" s="2" t="s">
        <v>4856</v>
      </c>
      <c r="F1647" s="6">
        <v>45935.625</v>
      </c>
      <c r="G1647" s="2">
        <v>65882.0</v>
      </c>
      <c r="H1647" s="2">
        <v>65882.0</v>
      </c>
      <c r="I1647" s="2">
        <v>55047.0</v>
      </c>
      <c r="J1647" s="2">
        <v>316.0</v>
      </c>
      <c r="K1647" s="2">
        <v>246.0</v>
      </c>
      <c r="L1647" s="2">
        <v>4.0</v>
      </c>
      <c r="M1647" s="4">
        <v>13342.0</v>
      </c>
      <c r="N1647" s="2" t="s">
        <v>30</v>
      </c>
      <c r="O1647" s="2">
        <v>70.0</v>
      </c>
      <c r="P1647" s="2" t="s">
        <v>189</v>
      </c>
      <c r="Q1647" s="2" t="s">
        <v>32</v>
      </c>
      <c r="R1647" s="2">
        <v>35.0</v>
      </c>
      <c r="U1647" s="2" t="b">
        <v>0</v>
      </c>
      <c r="V1647" s="5">
        <v>0.0045</v>
      </c>
      <c r="W1647" s="5">
        <v>0.0163</v>
      </c>
      <c r="X1647" s="5">
        <v>7.3E-5</v>
      </c>
      <c r="Y1647" s="2">
        <v>54.23577236</v>
      </c>
      <c r="Z1647" s="2">
        <v>3649.0</v>
      </c>
      <c r="AA1647" s="2" t="s">
        <v>33</v>
      </c>
    </row>
    <row r="1648">
      <c r="A1648" s="2">
        <v>3470.0</v>
      </c>
      <c r="B1648" s="2" t="s">
        <v>4857</v>
      </c>
      <c r="C1648" s="2" t="s">
        <v>7</v>
      </c>
      <c r="D1648" s="2" t="s">
        <v>4858</v>
      </c>
      <c r="E1648" s="2" t="s">
        <v>4859</v>
      </c>
      <c r="F1648" s="6">
        <v>45935.708333333336</v>
      </c>
      <c r="G1648" s="2">
        <v>50135.0</v>
      </c>
      <c r="H1648" s="2">
        <v>50135.0</v>
      </c>
      <c r="I1648" s="2">
        <v>41060.0</v>
      </c>
      <c r="J1648" s="2">
        <v>280.0</v>
      </c>
      <c r="K1648" s="2">
        <v>224.0</v>
      </c>
      <c r="L1648" s="2">
        <v>1.0</v>
      </c>
      <c r="M1648" s="4">
        <v>3915.0</v>
      </c>
      <c r="N1648" s="2" t="s">
        <v>36</v>
      </c>
      <c r="O1648" s="2">
        <v>71.0</v>
      </c>
      <c r="P1648" s="2" t="s">
        <v>189</v>
      </c>
      <c r="Q1648" s="2" t="s">
        <v>32</v>
      </c>
      <c r="R1648" s="2">
        <v>23.0</v>
      </c>
      <c r="T1648" s="2" t="s">
        <v>47</v>
      </c>
      <c r="U1648" s="2" t="b">
        <v>0</v>
      </c>
      <c r="V1648" s="5">
        <v>0.0055</v>
      </c>
      <c r="W1648" s="5">
        <v>0.0045</v>
      </c>
      <c r="X1648" s="5">
        <v>2.4E-5</v>
      </c>
      <c r="Y1648" s="2">
        <v>17.47767857</v>
      </c>
      <c r="AA1648" s="2" t="s">
        <v>33</v>
      </c>
    </row>
    <row r="1649">
      <c r="A1649" s="2">
        <v>3469.0</v>
      </c>
      <c r="B1649" s="2" t="s">
        <v>4860</v>
      </c>
      <c r="C1649" s="2" t="s">
        <v>7</v>
      </c>
      <c r="D1649" s="2" t="s">
        <v>4861</v>
      </c>
      <c r="E1649" s="2" t="s">
        <v>4862</v>
      </c>
      <c r="F1649" s="6">
        <v>45935.708333333336</v>
      </c>
      <c r="G1649" s="2">
        <v>65810.0</v>
      </c>
      <c r="H1649" s="2">
        <v>65810.0</v>
      </c>
      <c r="I1649" s="2">
        <v>55043.0</v>
      </c>
      <c r="J1649" s="2">
        <v>326.0</v>
      </c>
      <c r="K1649" s="2">
        <v>261.0</v>
      </c>
      <c r="L1649" s="2">
        <v>4.0</v>
      </c>
      <c r="M1649" s="4">
        <v>9534.0</v>
      </c>
      <c r="N1649" s="2" t="s">
        <v>30</v>
      </c>
      <c r="O1649" s="2">
        <v>70.0</v>
      </c>
      <c r="P1649" s="2" t="s">
        <v>189</v>
      </c>
      <c r="Q1649" s="2" t="s">
        <v>32</v>
      </c>
      <c r="R1649" s="2">
        <v>23.0</v>
      </c>
      <c r="U1649" s="2" t="b">
        <v>0</v>
      </c>
      <c r="V1649" s="5">
        <v>0.0047</v>
      </c>
      <c r="W1649" s="5">
        <v>0.0153</v>
      </c>
      <c r="X1649" s="5">
        <v>7.3E-5</v>
      </c>
      <c r="Y1649" s="2">
        <v>36.52873563</v>
      </c>
      <c r="AA1649" s="2" t="s">
        <v>33</v>
      </c>
    </row>
    <row r="1650">
      <c r="A1650" s="2">
        <v>3471.0</v>
      </c>
      <c r="B1650" s="2" t="s">
        <v>4863</v>
      </c>
      <c r="C1650" s="2" t="s">
        <v>7</v>
      </c>
      <c r="D1650" s="2" t="s">
        <v>4864</v>
      </c>
      <c r="E1650" s="2" t="s">
        <v>4865</v>
      </c>
      <c r="F1650" s="6">
        <v>45936.63055555556</v>
      </c>
      <c r="G1650" s="2">
        <v>65981.0</v>
      </c>
      <c r="H1650" s="2">
        <v>65981.0</v>
      </c>
      <c r="I1650" s="2">
        <v>54791.0</v>
      </c>
      <c r="J1650" s="2">
        <v>314.0</v>
      </c>
      <c r="K1650" s="2">
        <v>244.0</v>
      </c>
      <c r="L1650" s="2">
        <v>4.0</v>
      </c>
      <c r="M1650" s="4">
        <v>9306.0</v>
      </c>
      <c r="N1650" s="2" t="s">
        <v>30</v>
      </c>
      <c r="O1650" s="2">
        <v>70.0</v>
      </c>
      <c r="P1650" s="2" t="s">
        <v>189</v>
      </c>
      <c r="Q1650" s="2" t="s">
        <v>32</v>
      </c>
      <c r="R1650" s="2">
        <v>37.0</v>
      </c>
      <c r="T1650" s="2" t="s">
        <v>47</v>
      </c>
      <c r="U1650" s="2" t="b">
        <v>0</v>
      </c>
      <c r="V1650" s="5">
        <v>0.0045</v>
      </c>
      <c r="W1650" s="5">
        <v>0.0164</v>
      </c>
      <c r="X1650" s="5">
        <v>7.3E-5</v>
      </c>
      <c r="Y1650" s="2">
        <v>38.13934426</v>
      </c>
      <c r="Z1650" s="2" t="s">
        <v>510</v>
      </c>
      <c r="AA1650" s="2" t="s">
        <v>33</v>
      </c>
    </row>
    <row r="1651">
      <c r="A1651" s="2">
        <v>3472.0</v>
      </c>
      <c r="B1651" s="2" t="s">
        <v>4866</v>
      </c>
      <c r="C1651" s="2" t="s">
        <v>7</v>
      </c>
      <c r="D1651" s="2" t="s">
        <v>4867</v>
      </c>
      <c r="E1651" s="2" t="s">
        <v>4868</v>
      </c>
      <c r="F1651" s="6">
        <v>45936.63125</v>
      </c>
      <c r="G1651" s="2">
        <v>50195.0</v>
      </c>
      <c r="H1651" s="2">
        <v>50195.0</v>
      </c>
      <c r="I1651" s="2">
        <v>40855.0</v>
      </c>
      <c r="J1651" s="2">
        <v>235.0</v>
      </c>
      <c r="K1651" s="2">
        <v>194.0</v>
      </c>
      <c r="L1651" s="2">
        <v>6.0</v>
      </c>
      <c r="M1651" s="4">
        <v>13929.0</v>
      </c>
      <c r="N1651" s="2" t="s">
        <v>36</v>
      </c>
      <c r="O1651" s="2">
        <v>71.0</v>
      </c>
      <c r="P1651" s="2" t="s">
        <v>31</v>
      </c>
      <c r="Q1651" s="2" t="s">
        <v>32</v>
      </c>
      <c r="R1651" s="2">
        <v>36.0</v>
      </c>
      <c r="T1651" s="2" t="s">
        <v>4869</v>
      </c>
      <c r="U1651" s="2" t="b">
        <v>0</v>
      </c>
      <c r="V1651" s="5">
        <v>0.0047</v>
      </c>
      <c r="W1651" s="5">
        <v>0.0309</v>
      </c>
      <c r="X1651" s="5">
        <v>1.47E-4</v>
      </c>
      <c r="Y1651" s="2">
        <v>71.79896907</v>
      </c>
      <c r="AA1651" s="2" t="s">
        <v>33</v>
      </c>
    </row>
    <row r="1652">
      <c r="A1652" s="2">
        <v>3477.0</v>
      </c>
      <c r="B1652" s="2" t="s">
        <v>4870</v>
      </c>
      <c r="C1652" s="2" t="s">
        <v>4871</v>
      </c>
      <c r="D1652" s="2" t="s">
        <v>4872</v>
      </c>
      <c r="E1652" s="2" t="s">
        <v>4873</v>
      </c>
      <c r="F1652" s="6">
        <v>45936.745833333334</v>
      </c>
      <c r="G1652" s="2">
        <v>0.0</v>
      </c>
      <c r="H1652" s="2">
        <v>0.0</v>
      </c>
      <c r="I1652" s="2">
        <v>0.0</v>
      </c>
      <c r="J1652" s="2">
        <v>0.0</v>
      </c>
      <c r="K1652" s="2">
        <v>0.0</v>
      </c>
      <c r="L1652" s="2">
        <v>0.0</v>
      </c>
      <c r="M1652" s="2">
        <v>0.0</v>
      </c>
      <c r="N1652" s="2" t="s">
        <v>30</v>
      </c>
      <c r="O1652" s="2">
        <v>70.0</v>
      </c>
      <c r="P1652" s="2" t="s">
        <v>31</v>
      </c>
      <c r="Q1652" s="2" t="s">
        <v>32</v>
      </c>
      <c r="R1652" s="2">
        <v>40.0</v>
      </c>
      <c r="U1652" s="2" t="b">
        <v>0</v>
      </c>
      <c r="AA1652" s="2" t="s">
        <v>33</v>
      </c>
    </row>
    <row r="1653">
      <c r="A1653" s="2">
        <v>3478.0</v>
      </c>
      <c r="B1653" s="2" t="s">
        <v>4874</v>
      </c>
      <c r="C1653" s="2" t="s">
        <v>7</v>
      </c>
      <c r="D1653" s="2" t="s">
        <v>4875</v>
      </c>
      <c r="E1653" s="2" t="s">
        <v>4876</v>
      </c>
      <c r="F1653" s="6">
        <v>45936.75</v>
      </c>
      <c r="G1653" s="2">
        <v>50079.0</v>
      </c>
      <c r="H1653" s="2">
        <v>50079.0</v>
      </c>
      <c r="I1653" s="2">
        <v>5206.0</v>
      </c>
      <c r="J1653" s="2">
        <v>70.0</v>
      </c>
      <c r="K1653" s="2">
        <v>66.0</v>
      </c>
      <c r="L1653" s="2">
        <v>0.0</v>
      </c>
      <c r="M1653" s="2">
        <v>0.0</v>
      </c>
      <c r="N1653" s="2" t="s">
        <v>36</v>
      </c>
      <c r="O1653" s="2">
        <v>71.0</v>
      </c>
      <c r="P1653" s="2" t="s">
        <v>189</v>
      </c>
      <c r="Q1653" s="2" t="s">
        <v>32</v>
      </c>
      <c r="R1653" s="2">
        <v>31.0</v>
      </c>
      <c r="T1653" s="2" t="s">
        <v>47</v>
      </c>
      <c r="U1653" s="2" t="b">
        <v>0</v>
      </c>
      <c r="V1653" s="5">
        <v>0.0127</v>
      </c>
      <c r="W1653" s="5">
        <v>0.0</v>
      </c>
      <c r="X1653" s="5">
        <v>0.0</v>
      </c>
      <c r="Y1653" s="2">
        <v>0.0</v>
      </c>
      <c r="AA1653" s="2" t="s">
        <v>33</v>
      </c>
    </row>
    <row r="1654">
      <c r="A1654" s="2">
        <v>3476.0</v>
      </c>
      <c r="B1654" s="2" t="s">
        <v>4877</v>
      </c>
      <c r="C1654" s="2" t="s">
        <v>7</v>
      </c>
      <c r="D1654" s="2" t="s">
        <v>4878</v>
      </c>
      <c r="E1654" s="2" t="s">
        <v>4879</v>
      </c>
      <c r="F1654" s="6">
        <v>45936.791666666664</v>
      </c>
      <c r="G1654" s="2">
        <v>50034.0</v>
      </c>
      <c r="H1654" s="2">
        <v>50034.0</v>
      </c>
      <c r="I1654" s="2">
        <v>16096.0</v>
      </c>
      <c r="J1654" s="2">
        <v>132.0</v>
      </c>
      <c r="K1654" s="2">
        <v>111.0</v>
      </c>
      <c r="L1654" s="2">
        <v>2.0</v>
      </c>
      <c r="M1654" s="4">
        <v>5070.0</v>
      </c>
      <c r="N1654" s="2" t="s">
        <v>36</v>
      </c>
      <c r="O1654" s="2">
        <v>71.0</v>
      </c>
      <c r="P1654" s="2" t="s">
        <v>31</v>
      </c>
      <c r="Q1654" s="2" t="s">
        <v>32</v>
      </c>
      <c r="R1654" s="2">
        <v>41.0</v>
      </c>
      <c r="T1654" s="2" t="s">
        <v>162</v>
      </c>
      <c r="U1654" s="2" t="b">
        <v>0</v>
      </c>
      <c r="V1654" s="5">
        <v>0.0069</v>
      </c>
      <c r="W1654" s="5">
        <v>0.018</v>
      </c>
      <c r="X1654" s="5">
        <v>1.24E-4</v>
      </c>
      <c r="Y1654" s="2">
        <v>45.67567568</v>
      </c>
      <c r="AA1654" s="2" t="s">
        <v>33</v>
      </c>
    </row>
    <row r="1655">
      <c r="A1655" s="2">
        <v>3475.0</v>
      </c>
      <c r="B1655" s="2" t="s">
        <v>4880</v>
      </c>
      <c r="C1655" s="2" t="s">
        <v>7</v>
      </c>
      <c r="D1655" s="2" t="s">
        <v>4881</v>
      </c>
      <c r="E1655" s="2" t="s">
        <v>4882</v>
      </c>
      <c r="F1655" s="6">
        <v>45936.791666666664</v>
      </c>
      <c r="G1655" s="2">
        <v>65832.0</v>
      </c>
      <c r="H1655" s="2">
        <v>65832.0</v>
      </c>
      <c r="I1655" s="2">
        <v>20406.0</v>
      </c>
      <c r="J1655" s="2">
        <v>209.0</v>
      </c>
      <c r="K1655" s="2">
        <v>180.0</v>
      </c>
      <c r="L1655" s="2">
        <v>3.0</v>
      </c>
      <c r="M1655" s="4">
        <v>15440.0</v>
      </c>
      <c r="N1655" s="2" t="s">
        <v>30</v>
      </c>
      <c r="O1655" s="2">
        <v>70.0</v>
      </c>
      <c r="P1655" s="2" t="s">
        <v>31</v>
      </c>
      <c r="Q1655" s="2" t="s">
        <v>32</v>
      </c>
      <c r="R1655" s="2">
        <v>45.0</v>
      </c>
      <c r="U1655" s="2" t="b">
        <v>0</v>
      </c>
      <c r="V1655" s="5">
        <v>0.0088</v>
      </c>
      <c r="W1655" s="5">
        <v>0.0167</v>
      </c>
      <c r="X1655" s="5">
        <v>1.47E-4</v>
      </c>
      <c r="Y1655" s="2">
        <v>85.77777778</v>
      </c>
      <c r="Z1655" s="2">
        <v>5945.0</v>
      </c>
      <c r="AA1655" s="2" t="s">
        <v>33</v>
      </c>
    </row>
    <row r="1656">
      <c r="A1656" s="2">
        <v>3479.0</v>
      </c>
      <c r="B1656" s="2" t="s">
        <v>4883</v>
      </c>
      <c r="C1656" s="2" t="s">
        <v>7</v>
      </c>
      <c r="D1656" s="2" t="s">
        <v>4884</v>
      </c>
      <c r="E1656" s="2" t="s">
        <v>4885</v>
      </c>
      <c r="F1656" s="6">
        <v>45937.47083333333</v>
      </c>
      <c r="G1656" s="2">
        <v>65727.0</v>
      </c>
      <c r="H1656" s="2">
        <v>65727.0</v>
      </c>
      <c r="I1656" s="2">
        <v>54745.0</v>
      </c>
      <c r="J1656" s="2">
        <v>332.0</v>
      </c>
      <c r="K1656" s="2">
        <v>259.0</v>
      </c>
      <c r="L1656" s="2">
        <v>7.0</v>
      </c>
      <c r="M1656" s="4">
        <v>31123.0</v>
      </c>
      <c r="N1656" s="2" t="s">
        <v>30</v>
      </c>
      <c r="O1656" s="2">
        <v>70.0</v>
      </c>
      <c r="P1656" s="2" t="s">
        <v>189</v>
      </c>
      <c r="Q1656" s="2" t="s">
        <v>32</v>
      </c>
      <c r="R1656" s="2">
        <v>38.0</v>
      </c>
      <c r="T1656" s="2" t="s">
        <v>47</v>
      </c>
      <c r="U1656" s="2" t="b">
        <v>0</v>
      </c>
      <c r="V1656" s="5">
        <v>0.0047</v>
      </c>
      <c r="W1656" s="5">
        <v>0.027</v>
      </c>
      <c r="X1656" s="5">
        <v>1.28E-4</v>
      </c>
      <c r="Y1656" s="2">
        <v>120.1660232</v>
      </c>
      <c r="Z1656" s="2">
        <v>5196.0</v>
      </c>
      <c r="AA1656" s="2" t="s">
        <v>33</v>
      </c>
    </row>
    <row r="1657">
      <c r="A1657" s="2">
        <v>3480.0</v>
      </c>
      <c r="B1657" s="2" t="s">
        <v>4886</v>
      </c>
      <c r="C1657" s="2" t="s">
        <v>7</v>
      </c>
      <c r="D1657" s="2" t="s">
        <v>4887</v>
      </c>
      <c r="E1657" s="2" t="s">
        <v>4888</v>
      </c>
      <c r="F1657" s="6">
        <v>45937.47361111111</v>
      </c>
      <c r="G1657" s="2">
        <v>50049.0</v>
      </c>
      <c r="H1657" s="2">
        <v>50049.0</v>
      </c>
      <c r="I1657" s="2">
        <v>40744.0</v>
      </c>
      <c r="J1657" s="2">
        <v>271.0</v>
      </c>
      <c r="K1657" s="2">
        <v>207.0</v>
      </c>
      <c r="L1657" s="2">
        <v>4.0</v>
      </c>
      <c r="M1657" s="4">
        <v>7241.0</v>
      </c>
      <c r="N1657" s="2" t="s">
        <v>36</v>
      </c>
      <c r="O1657" s="2">
        <v>71.0</v>
      </c>
      <c r="P1657" s="2" t="s">
        <v>189</v>
      </c>
      <c r="Q1657" s="2" t="s">
        <v>32</v>
      </c>
      <c r="R1657" s="2">
        <v>37.0</v>
      </c>
      <c r="T1657" s="2" t="s">
        <v>47</v>
      </c>
      <c r="U1657" s="2" t="b">
        <v>0</v>
      </c>
      <c r="V1657" s="5">
        <v>0.0051</v>
      </c>
      <c r="W1657" s="5">
        <v>0.0193</v>
      </c>
      <c r="X1657" s="5">
        <v>9.8E-5</v>
      </c>
      <c r="Y1657" s="2">
        <v>34.98067633</v>
      </c>
      <c r="AA1657" s="2" t="s">
        <v>33</v>
      </c>
    </row>
    <row r="1658">
      <c r="A1658" s="2">
        <v>3482.0</v>
      </c>
      <c r="B1658" s="2" t="s">
        <v>4889</v>
      </c>
      <c r="C1658" s="2" t="s">
        <v>7</v>
      </c>
      <c r="D1658" s="2" t="s">
        <v>4890</v>
      </c>
      <c r="E1658" s="2" t="s">
        <v>4891</v>
      </c>
      <c r="F1658" s="6">
        <v>45937.625</v>
      </c>
      <c r="G1658" s="2">
        <v>50049.0</v>
      </c>
      <c r="H1658" s="2">
        <v>50049.0</v>
      </c>
      <c r="I1658" s="2">
        <v>40988.0</v>
      </c>
      <c r="J1658" s="2">
        <v>310.0</v>
      </c>
      <c r="K1658" s="2">
        <v>248.0</v>
      </c>
      <c r="L1658" s="2">
        <v>5.0</v>
      </c>
      <c r="M1658" s="4">
        <v>20860.0</v>
      </c>
      <c r="N1658" s="2" t="s">
        <v>36</v>
      </c>
      <c r="O1658" s="2">
        <v>71.0</v>
      </c>
      <c r="P1658" s="2" t="s">
        <v>189</v>
      </c>
      <c r="Q1658" s="2" t="s">
        <v>32</v>
      </c>
      <c r="R1658" s="2">
        <v>35.0</v>
      </c>
      <c r="T1658" s="2" t="s">
        <v>2396</v>
      </c>
      <c r="U1658" s="2" t="b">
        <v>1</v>
      </c>
      <c r="V1658" s="5">
        <v>0.0061</v>
      </c>
      <c r="W1658" s="5">
        <v>0.0202</v>
      </c>
      <c r="X1658" s="5">
        <v>1.22E-4</v>
      </c>
      <c r="Y1658" s="2">
        <v>84.11290323</v>
      </c>
      <c r="AA1658" s="2" t="s">
        <v>33</v>
      </c>
    </row>
    <row r="1659">
      <c r="A1659" s="2">
        <v>3481.0</v>
      </c>
      <c r="B1659" s="2" t="s">
        <v>4892</v>
      </c>
      <c r="C1659" s="2" t="s">
        <v>7</v>
      </c>
      <c r="D1659" s="2" t="s">
        <v>4893</v>
      </c>
      <c r="E1659" s="2" t="s">
        <v>4894</v>
      </c>
      <c r="F1659" s="6">
        <v>45937.625</v>
      </c>
      <c r="G1659" s="2">
        <v>65734.0</v>
      </c>
      <c r="H1659" s="2">
        <v>65734.0</v>
      </c>
      <c r="I1659" s="2">
        <v>54890.0</v>
      </c>
      <c r="J1659" s="2">
        <v>433.0</v>
      </c>
      <c r="K1659" s="2">
        <v>346.0</v>
      </c>
      <c r="L1659" s="2">
        <v>7.0</v>
      </c>
      <c r="M1659" s="4">
        <v>17996.0</v>
      </c>
      <c r="N1659" s="2" t="s">
        <v>30</v>
      </c>
      <c r="O1659" s="2">
        <v>70.0</v>
      </c>
      <c r="P1659" s="2" t="s">
        <v>189</v>
      </c>
      <c r="Q1659" s="2" t="s">
        <v>32</v>
      </c>
      <c r="R1659" s="2">
        <v>31.0</v>
      </c>
      <c r="T1659" s="2" t="s">
        <v>58</v>
      </c>
      <c r="U1659" s="2" t="b">
        <v>0</v>
      </c>
      <c r="V1659" s="5">
        <v>0.0063</v>
      </c>
      <c r="W1659" s="5">
        <v>0.0202</v>
      </c>
      <c r="X1659" s="5">
        <v>1.28E-4</v>
      </c>
      <c r="Y1659" s="2">
        <v>52.01156069</v>
      </c>
      <c r="Z1659" s="2">
        <v>2749.0</v>
      </c>
      <c r="AA1659" s="2" t="s">
        <v>33</v>
      </c>
    </row>
    <row r="1660">
      <c r="A1660" s="2">
        <v>3484.0</v>
      </c>
      <c r="B1660" s="2" t="s">
        <v>4895</v>
      </c>
      <c r="C1660" s="2" t="s">
        <v>7</v>
      </c>
      <c r="D1660" s="2" t="s">
        <v>4896</v>
      </c>
      <c r="E1660" s="2" t="s">
        <v>4897</v>
      </c>
      <c r="F1660" s="6">
        <v>45937.708333333336</v>
      </c>
      <c r="G1660" s="2">
        <v>50025.0</v>
      </c>
      <c r="H1660" s="2">
        <v>50025.0</v>
      </c>
      <c r="I1660" s="2">
        <v>40914.0</v>
      </c>
      <c r="J1660" s="2">
        <v>380.0</v>
      </c>
      <c r="K1660" s="2">
        <v>295.0</v>
      </c>
      <c r="L1660" s="2">
        <v>5.0</v>
      </c>
      <c r="M1660" s="4">
        <v>11610.0</v>
      </c>
      <c r="N1660" s="2" t="s">
        <v>36</v>
      </c>
      <c r="O1660" s="2">
        <v>71.0</v>
      </c>
      <c r="P1660" s="2" t="s">
        <v>189</v>
      </c>
      <c r="Q1660" s="2" t="s">
        <v>32</v>
      </c>
      <c r="R1660" s="2">
        <v>41.0</v>
      </c>
      <c r="U1660" s="2" t="b">
        <v>0</v>
      </c>
      <c r="V1660" s="5">
        <v>0.0072</v>
      </c>
      <c r="W1660" s="5">
        <v>0.0169</v>
      </c>
      <c r="X1660" s="5">
        <v>1.22E-4</v>
      </c>
      <c r="Y1660" s="2">
        <v>39.3559322</v>
      </c>
      <c r="AA1660" s="2" t="s">
        <v>33</v>
      </c>
    </row>
    <row r="1661">
      <c r="A1661" s="2">
        <v>3483.0</v>
      </c>
      <c r="B1661" s="2" t="s">
        <v>4898</v>
      </c>
      <c r="C1661" s="2" t="s">
        <v>7</v>
      </c>
      <c r="D1661" s="2" t="s">
        <v>4899</v>
      </c>
      <c r="E1661" s="2" t="s">
        <v>4900</v>
      </c>
      <c r="F1661" s="6">
        <v>45937.708333333336</v>
      </c>
      <c r="G1661" s="2">
        <v>65729.0</v>
      </c>
      <c r="H1661" s="2">
        <v>65729.0</v>
      </c>
      <c r="I1661" s="2">
        <v>54824.0</v>
      </c>
      <c r="J1661" s="2">
        <v>648.0</v>
      </c>
      <c r="K1661" s="2">
        <v>519.0</v>
      </c>
      <c r="L1661" s="2">
        <v>2.0</v>
      </c>
      <c r="M1661" s="4">
        <v>3078.0</v>
      </c>
      <c r="N1661" s="2" t="s">
        <v>30</v>
      </c>
      <c r="O1661" s="2">
        <v>70.0</v>
      </c>
      <c r="P1661" s="2" t="s">
        <v>189</v>
      </c>
      <c r="Q1661" s="2" t="s">
        <v>32</v>
      </c>
      <c r="R1661" s="2">
        <v>26.0</v>
      </c>
      <c r="T1661" s="2" t="s">
        <v>4901</v>
      </c>
      <c r="U1661" s="2" t="b">
        <v>0</v>
      </c>
      <c r="V1661" s="5">
        <v>0.0095</v>
      </c>
      <c r="W1661" s="5">
        <v>0.0039</v>
      </c>
      <c r="X1661" s="5">
        <v>3.6E-5</v>
      </c>
      <c r="Y1661" s="2">
        <v>5.930635838</v>
      </c>
      <c r="AA1661" s="2" t="s">
        <v>33</v>
      </c>
    </row>
    <row r="1662">
      <c r="A1662" s="2">
        <v>3486.0</v>
      </c>
      <c r="B1662" s="2" t="s">
        <v>4902</v>
      </c>
      <c r="C1662" s="2" t="s">
        <v>7</v>
      </c>
      <c r="D1662" s="2" t="s">
        <v>3333</v>
      </c>
      <c r="E1662" s="2" t="s">
        <v>3334</v>
      </c>
      <c r="F1662" s="6">
        <v>45938.458333333336</v>
      </c>
      <c r="G1662" s="2">
        <v>50022.0</v>
      </c>
      <c r="H1662" s="2">
        <v>50022.0</v>
      </c>
      <c r="I1662" s="2">
        <v>40587.0</v>
      </c>
      <c r="J1662" s="2">
        <v>259.0</v>
      </c>
      <c r="K1662" s="2">
        <v>198.0</v>
      </c>
      <c r="L1662" s="2">
        <v>5.0</v>
      </c>
      <c r="M1662" s="4">
        <v>15331.0</v>
      </c>
      <c r="N1662" s="2" t="s">
        <v>36</v>
      </c>
      <c r="O1662" s="2">
        <v>71.0</v>
      </c>
      <c r="P1662" s="2" t="s">
        <v>189</v>
      </c>
      <c r="Q1662" s="2" t="s">
        <v>32</v>
      </c>
      <c r="R1662" s="2">
        <v>43.0</v>
      </c>
      <c r="T1662" s="2" t="s">
        <v>47</v>
      </c>
      <c r="U1662" s="2" t="b">
        <v>0</v>
      </c>
      <c r="V1662" s="5">
        <v>0.0049</v>
      </c>
      <c r="W1662" s="5">
        <v>0.0253</v>
      </c>
      <c r="X1662" s="5">
        <v>1.23E-4</v>
      </c>
      <c r="Y1662" s="2">
        <v>77.42929293</v>
      </c>
      <c r="AA1662" s="2" t="s">
        <v>33</v>
      </c>
    </row>
    <row r="1663">
      <c r="A1663" s="2">
        <v>3485.0</v>
      </c>
      <c r="B1663" s="2" t="s">
        <v>4903</v>
      </c>
      <c r="C1663" s="2" t="s">
        <v>7</v>
      </c>
      <c r="D1663" s="2" t="s">
        <v>3908</v>
      </c>
      <c r="E1663" s="2" t="s">
        <v>3337</v>
      </c>
      <c r="F1663" s="6">
        <v>45938.458333333336</v>
      </c>
      <c r="G1663" s="2">
        <v>65707.0</v>
      </c>
      <c r="H1663" s="2">
        <v>65707.0</v>
      </c>
      <c r="I1663" s="2">
        <v>54517.0</v>
      </c>
      <c r="J1663" s="2">
        <v>265.0</v>
      </c>
      <c r="K1663" s="2">
        <v>218.0</v>
      </c>
      <c r="L1663" s="2">
        <v>8.0</v>
      </c>
      <c r="M1663" s="4">
        <v>12493.0</v>
      </c>
      <c r="N1663" s="2" t="s">
        <v>30</v>
      </c>
      <c r="O1663" s="2">
        <v>70.0</v>
      </c>
      <c r="P1663" s="2" t="s">
        <v>189</v>
      </c>
      <c r="Q1663" s="2" t="s">
        <v>32</v>
      </c>
      <c r="R1663" s="2">
        <v>31.0</v>
      </c>
      <c r="T1663" s="2" t="s">
        <v>4904</v>
      </c>
      <c r="U1663" s="2" t="b">
        <v>0</v>
      </c>
      <c r="V1663" s="5">
        <v>0.004</v>
      </c>
      <c r="W1663" s="5">
        <v>0.0367</v>
      </c>
      <c r="X1663" s="5">
        <v>1.47E-4</v>
      </c>
      <c r="Y1663" s="2">
        <v>57.30733945</v>
      </c>
      <c r="AA1663" s="2" t="s">
        <v>33</v>
      </c>
    </row>
    <row r="1664">
      <c r="A1664" s="2">
        <v>3488.0</v>
      </c>
      <c r="B1664" s="2" t="s">
        <v>4905</v>
      </c>
      <c r="C1664" s="2" t="s">
        <v>7</v>
      </c>
      <c r="D1664" s="2" t="s">
        <v>4906</v>
      </c>
      <c r="E1664" s="2" t="s">
        <v>4907</v>
      </c>
      <c r="F1664" s="6">
        <v>45938.625</v>
      </c>
      <c r="G1664" s="2">
        <v>50024.0</v>
      </c>
      <c r="H1664" s="2">
        <v>50024.0</v>
      </c>
      <c r="I1664" s="2">
        <v>40820.0</v>
      </c>
      <c r="J1664" s="2">
        <v>250.0</v>
      </c>
      <c r="K1664" s="2">
        <v>197.0</v>
      </c>
      <c r="L1664" s="2">
        <v>4.0</v>
      </c>
      <c r="M1664" s="4">
        <v>11032.0</v>
      </c>
      <c r="N1664" s="2" t="s">
        <v>36</v>
      </c>
      <c r="O1664" s="2">
        <v>71.0</v>
      </c>
      <c r="P1664" s="2" t="s">
        <v>189</v>
      </c>
      <c r="Q1664" s="2" t="s">
        <v>32</v>
      </c>
      <c r="R1664" s="2">
        <v>44.0</v>
      </c>
      <c r="T1664" s="2" t="s">
        <v>47</v>
      </c>
      <c r="U1664" s="2" t="b">
        <v>0</v>
      </c>
      <c r="V1664" s="5">
        <v>0.0048</v>
      </c>
      <c r="W1664" s="5">
        <v>0.0203</v>
      </c>
      <c r="X1664" s="5">
        <v>9.8E-5</v>
      </c>
      <c r="Y1664" s="2">
        <v>56.0</v>
      </c>
      <c r="AA1664" s="2" t="s">
        <v>33</v>
      </c>
    </row>
    <row r="1665">
      <c r="A1665" s="2">
        <v>3487.0</v>
      </c>
      <c r="B1665" s="2" t="s">
        <v>4908</v>
      </c>
      <c r="C1665" s="2" t="s">
        <v>7</v>
      </c>
      <c r="D1665" s="2" t="s">
        <v>4909</v>
      </c>
      <c r="E1665" s="2" t="s">
        <v>4910</v>
      </c>
      <c r="F1665" s="6">
        <v>45938.625</v>
      </c>
      <c r="G1665" s="2">
        <v>65725.0</v>
      </c>
      <c r="H1665" s="2">
        <v>65725.0</v>
      </c>
      <c r="I1665" s="2">
        <v>54759.0</v>
      </c>
      <c r="J1665" s="2">
        <v>331.0</v>
      </c>
      <c r="K1665" s="2">
        <v>270.0</v>
      </c>
      <c r="L1665" s="2">
        <v>6.0</v>
      </c>
      <c r="M1665" s="4">
        <v>9030.0</v>
      </c>
      <c r="N1665" s="2" t="s">
        <v>30</v>
      </c>
      <c r="O1665" s="2">
        <v>70.0</v>
      </c>
      <c r="P1665" s="2" t="s">
        <v>189</v>
      </c>
      <c r="Q1665" s="2" t="s">
        <v>32</v>
      </c>
      <c r="R1665" s="2">
        <v>29.0</v>
      </c>
      <c r="T1665" s="2" t="s">
        <v>4911</v>
      </c>
      <c r="U1665" s="2" t="b">
        <v>0</v>
      </c>
      <c r="V1665" s="5">
        <v>0.0049</v>
      </c>
      <c r="W1665" s="5">
        <v>0.0222</v>
      </c>
      <c r="X1665" s="5">
        <v>1.1E-4</v>
      </c>
      <c r="Y1665" s="2">
        <v>33.44444444</v>
      </c>
      <c r="AA1665" s="2" t="s">
        <v>33</v>
      </c>
    </row>
    <row r="1666">
      <c r="A1666" s="2">
        <v>3490.0</v>
      </c>
      <c r="B1666" s="2" t="s">
        <v>4912</v>
      </c>
      <c r="C1666" s="2" t="s">
        <v>7</v>
      </c>
      <c r="D1666" s="2" t="s">
        <v>4913</v>
      </c>
      <c r="E1666" s="2" t="s">
        <v>4914</v>
      </c>
      <c r="F1666" s="6">
        <v>45938.708333333336</v>
      </c>
      <c r="G1666" s="2">
        <v>49966.0</v>
      </c>
      <c r="H1666" s="2">
        <v>49966.0</v>
      </c>
      <c r="I1666" s="2">
        <v>40799.0</v>
      </c>
      <c r="J1666" s="2">
        <v>259.0</v>
      </c>
      <c r="K1666" s="2">
        <v>194.0</v>
      </c>
      <c r="L1666" s="2">
        <v>3.0</v>
      </c>
      <c r="M1666" s="4">
        <v>9074.0</v>
      </c>
      <c r="N1666" s="2" t="s">
        <v>36</v>
      </c>
      <c r="O1666" s="2">
        <v>71.0</v>
      </c>
      <c r="P1666" s="2" t="s">
        <v>189</v>
      </c>
      <c r="Q1666" s="2" t="s">
        <v>32</v>
      </c>
      <c r="R1666" s="2">
        <v>43.0</v>
      </c>
      <c r="T1666" s="2" t="s">
        <v>4084</v>
      </c>
      <c r="U1666" s="2" t="b">
        <v>1</v>
      </c>
      <c r="V1666" s="5">
        <v>0.0048</v>
      </c>
      <c r="W1666" s="5">
        <v>0.0155</v>
      </c>
      <c r="X1666" s="5">
        <v>7.4E-5</v>
      </c>
      <c r="Y1666" s="2">
        <v>46.77319588</v>
      </c>
      <c r="AA1666" s="2" t="s">
        <v>33</v>
      </c>
    </row>
    <row r="1667">
      <c r="A1667" s="2">
        <v>3489.0</v>
      </c>
      <c r="B1667" s="2" t="s">
        <v>4915</v>
      </c>
      <c r="C1667" s="2" t="s">
        <v>7</v>
      </c>
      <c r="D1667" s="2" t="s">
        <v>4916</v>
      </c>
      <c r="E1667" s="2" t="s">
        <v>4917</v>
      </c>
      <c r="F1667" s="6">
        <v>45938.708333333336</v>
      </c>
      <c r="G1667" s="2">
        <v>65683.0</v>
      </c>
      <c r="H1667" s="2">
        <v>65683.0</v>
      </c>
      <c r="I1667" s="2">
        <v>54663.0</v>
      </c>
      <c r="J1667" s="2">
        <v>402.0</v>
      </c>
      <c r="K1667" s="2">
        <v>316.0</v>
      </c>
      <c r="L1667" s="2">
        <v>5.0</v>
      </c>
      <c r="M1667" s="4">
        <v>11677.0</v>
      </c>
      <c r="N1667" s="2" t="s">
        <v>30</v>
      </c>
      <c r="O1667" s="2">
        <v>70.0</v>
      </c>
      <c r="P1667" s="2" t="s">
        <v>31</v>
      </c>
      <c r="Q1667" s="2" t="s">
        <v>32</v>
      </c>
      <c r="R1667" s="2">
        <v>37.0</v>
      </c>
      <c r="T1667" s="2" t="s">
        <v>143</v>
      </c>
      <c r="U1667" s="2" t="b">
        <v>0</v>
      </c>
      <c r="V1667" s="5">
        <v>0.0058</v>
      </c>
      <c r="W1667" s="5">
        <v>0.0158</v>
      </c>
      <c r="X1667" s="5">
        <v>9.1E-5</v>
      </c>
      <c r="Y1667" s="2">
        <v>36.95253165</v>
      </c>
      <c r="Z1667" s="2">
        <v>6462.0</v>
      </c>
      <c r="AA1667" s="2" t="s">
        <v>33</v>
      </c>
    </row>
    <row r="1668">
      <c r="A1668" s="2">
        <v>3491.0</v>
      </c>
      <c r="B1668" s="2" t="s">
        <v>4918</v>
      </c>
      <c r="C1668" s="2" t="s">
        <v>7</v>
      </c>
      <c r="D1668" s="2" t="s">
        <v>4919</v>
      </c>
      <c r="E1668" s="2" t="s">
        <v>4920</v>
      </c>
      <c r="F1668" s="6">
        <v>45939.479166666664</v>
      </c>
      <c r="G1668" s="2">
        <v>65722.0</v>
      </c>
      <c r="H1668" s="2">
        <v>65722.0</v>
      </c>
      <c r="I1668" s="2">
        <v>54111.0</v>
      </c>
      <c r="J1668" s="2">
        <v>329.0</v>
      </c>
      <c r="K1668" s="2">
        <v>250.0</v>
      </c>
      <c r="L1668" s="2">
        <v>6.0</v>
      </c>
      <c r="M1668" s="4">
        <v>12083.0</v>
      </c>
      <c r="N1668" s="2" t="s">
        <v>30</v>
      </c>
      <c r="O1668" s="2">
        <v>70.0</v>
      </c>
      <c r="P1668" s="2" t="s">
        <v>189</v>
      </c>
      <c r="Q1668" s="2" t="s">
        <v>32</v>
      </c>
      <c r="R1668" s="2">
        <v>42.0</v>
      </c>
      <c r="U1668" s="2" t="b">
        <v>0</v>
      </c>
      <c r="V1668" s="5">
        <v>0.0046</v>
      </c>
      <c r="W1668" s="5">
        <v>0.024</v>
      </c>
      <c r="X1668" s="5">
        <v>1.11E-4</v>
      </c>
      <c r="Y1668" s="2">
        <v>48.332</v>
      </c>
      <c r="AA1668" s="2" t="s">
        <v>33</v>
      </c>
    </row>
    <row r="1669">
      <c r="A1669" s="2">
        <v>3492.0</v>
      </c>
      <c r="B1669" s="2" t="s">
        <v>4921</v>
      </c>
      <c r="C1669" s="2" t="s">
        <v>7</v>
      </c>
      <c r="D1669" s="2" t="s">
        <v>4922</v>
      </c>
      <c r="E1669" s="2" t="s">
        <v>4923</v>
      </c>
      <c r="F1669" s="6">
        <v>45939.48055555556</v>
      </c>
      <c r="G1669" s="2">
        <v>50061.0</v>
      </c>
      <c r="H1669" s="2">
        <v>50061.0</v>
      </c>
      <c r="I1669" s="2">
        <v>40313.0</v>
      </c>
      <c r="J1669" s="2">
        <v>293.0</v>
      </c>
      <c r="K1669" s="2">
        <v>222.0</v>
      </c>
      <c r="L1669" s="2">
        <v>5.0</v>
      </c>
      <c r="M1669" s="4">
        <v>14963.0</v>
      </c>
      <c r="N1669" s="2" t="s">
        <v>36</v>
      </c>
      <c r="O1669" s="2">
        <v>71.0</v>
      </c>
      <c r="P1669" s="2" t="s">
        <v>189</v>
      </c>
      <c r="Q1669" s="2" t="s">
        <v>32</v>
      </c>
      <c r="R1669" s="2">
        <v>31.0</v>
      </c>
      <c r="U1669" s="2" t="b">
        <v>0</v>
      </c>
      <c r="V1669" s="5">
        <v>0.0055</v>
      </c>
      <c r="W1669" s="5">
        <v>0.0225</v>
      </c>
      <c r="X1669" s="5">
        <v>1.24E-4</v>
      </c>
      <c r="Y1669" s="2">
        <v>67.4009009</v>
      </c>
      <c r="AA1669" s="2" t="s">
        <v>33</v>
      </c>
    </row>
    <row r="1670">
      <c r="A1670" s="2">
        <v>3494.0</v>
      </c>
      <c r="B1670" s="2" t="s">
        <v>4924</v>
      </c>
      <c r="C1670" s="2" t="s">
        <v>7</v>
      </c>
      <c r="D1670" s="2" t="s">
        <v>4925</v>
      </c>
      <c r="E1670" s="2" t="s">
        <v>4926</v>
      </c>
      <c r="F1670" s="6">
        <v>45939.625</v>
      </c>
      <c r="G1670" s="2">
        <v>50015.0</v>
      </c>
      <c r="H1670" s="2">
        <v>50015.0</v>
      </c>
      <c r="I1670" s="2">
        <v>40498.0</v>
      </c>
      <c r="J1670" s="2">
        <v>358.0</v>
      </c>
      <c r="K1670" s="2">
        <v>280.0</v>
      </c>
      <c r="L1670" s="2">
        <v>4.0</v>
      </c>
      <c r="M1670" s="4">
        <v>10947.0</v>
      </c>
      <c r="N1670" s="2" t="s">
        <v>36</v>
      </c>
      <c r="O1670" s="2">
        <v>71.0</v>
      </c>
      <c r="P1670" s="2" t="s">
        <v>189</v>
      </c>
      <c r="Q1670" s="2" t="s">
        <v>32</v>
      </c>
      <c r="R1670" s="2">
        <v>46.0</v>
      </c>
      <c r="U1670" s="2" t="b">
        <v>0</v>
      </c>
      <c r="V1670" s="5">
        <v>0.0069</v>
      </c>
      <c r="W1670" s="5">
        <v>0.0143</v>
      </c>
      <c r="X1670" s="5">
        <v>9.9E-5</v>
      </c>
      <c r="Y1670" s="2">
        <v>39.09642857</v>
      </c>
      <c r="AA1670" s="2" t="s">
        <v>33</v>
      </c>
    </row>
    <row r="1671">
      <c r="A1671" s="2">
        <v>3493.0</v>
      </c>
      <c r="B1671" s="2" t="s">
        <v>4927</v>
      </c>
      <c r="C1671" s="2" t="s">
        <v>7</v>
      </c>
      <c r="D1671" s="2" t="s">
        <v>4928</v>
      </c>
      <c r="E1671" s="2" t="s">
        <v>4929</v>
      </c>
      <c r="F1671" s="6">
        <v>45939.625</v>
      </c>
      <c r="G1671" s="2">
        <v>65649.0</v>
      </c>
      <c r="H1671" s="2">
        <v>65649.0</v>
      </c>
      <c r="I1671" s="2">
        <v>54354.0</v>
      </c>
      <c r="J1671" s="2">
        <v>377.0</v>
      </c>
      <c r="K1671" s="2">
        <v>300.0</v>
      </c>
      <c r="L1671" s="2">
        <v>8.0</v>
      </c>
      <c r="M1671" s="4">
        <v>22351.0</v>
      </c>
      <c r="N1671" s="2" t="s">
        <v>30</v>
      </c>
      <c r="O1671" s="2">
        <v>70.0</v>
      </c>
      <c r="P1671" s="2" t="s">
        <v>189</v>
      </c>
      <c r="Q1671" s="2" t="s">
        <v>32</v>
      </c>
      <c r="R1671" s="2">
        <v>51.0</v>
      </c>
      <c r="T1671" s="2" t="s">
        <v>47</v>
      </c>
      <c r="U1671" s="2" t="b">
        <v>0</v>
      </c>
      <c r="V1671" s="5">
        <v>0.0055</v>
      </c>
      <c r="W1671" s="5">
        <v>0.0267</v>
      </c>
      <c r="X1671" s="5">
        <v>1.47E-4</v>
      </c>
      <c r="Y1671" s="2">
        <v>74.50333333</v>
      </c>
      <c r="Z1671" s="2">
        <v>4521.0</v>
      </c>
      <c r="AA1671" s="2" t="s">
        <v>33</v>
      </c>
    </row>
    <row r="1672">
      <c r="A1672" s="2">
        <v>3496.0</v>
      </c>
      <c r="B1672" s="2" t="s">
        <v>4930</v>
      </c>
      <c r="C1672" s="2" t="s">
        <v>7</v>
      </c>
      <c r="D1672" s="2" t="s">
        <v>4931</v>
      </c>
      <c r="E1672" s="2" t="s">
        <v>4932</v>
      </c>
      <c r="F1672" s="6">
        <v>45939.708333333336</v>
      </c>
      <c r="G1672" s="2">
        <v>49994.0</v>
      </c>
      <c r="H1672" s="2">
        <v>49994.0</v>
      </c>
      <c r="I1672" s="2">
        <v>40427.0</v>
      </c>
      <c r="J1672" s="2">
        <v>313.0</v>
      </c>
      <c r="K1672" s="2">
        <v>236.0</v>
      </c>
      <c r="L1672" s="2">
        <v>3.0</v>
      </c>
      <c r="M1672" s="4">
        <v>2428.0</v>
      </c>
      <c r="N1672" s="2" t="s">
        <v>36</v>
      </c>
      <c r="O1672" s="2">
        <v>71.0</v>
      </c>
      <c r="P1672" s="2" t="s">
        <v>31</v>
      </c>
      <c r="Q1672" s="2" t="s">
        <v>32</v>
      </c>
      <c r="R1672" s="2">
        <v>40.0</v>
      </c>
      <c r="T1672" s="2" t="s">
        <v>47</v>
      </c>
      <c r="U1672" s="2" t="b">
        <v>0</v>
      </c>
      <c r="V1672" s="5">
        <v>0.0058</v>
      </c>
      <c r="W1672" s="5">
        <v>0.0127</v>
      </c>
      <c r="X1672" s="5">
        <v>7.4E-5</v>
      </c>
      <c r="Y1672" s="2">
        <v>10.28813559</v>
      </c>
      <c r="AA1672" s="2" t="s">
        <v>33</v>
      </c>
    </row>
    <row r="1673">
      <c r="A1673" s="2">
        <v>3495.0</v>
      </c>
      <c r="B1673" s="2" t="s">
        <v>4933</v>
      </c>
      <c r="C1673" s="2" t="s">
        <v>7</v>
      </c>
      <c r="D1673" s="2" t="s">
        <v>4934</v>
      </c>
      <c r="E1673" s="2" t="s">
        <v>4935</v>
      </c>
      <c r="F1673" s="6">
        <v>45939.708333333336</v>
      </c>
      <c r="G1673" s="2">
        <v>65652.0</v>
      </c>
      <c r="H1673" s="2">
        <v>65652.0</v>
      </c>
      <c r="I1673" s="2">
        <v>54021.0</v>
      </c>
      <c r="J1673" s="2">
        <v>361.0</v>
      </c>
      <c r="K1673" s="2">
        <v>286.0</v>
      </c>
      <c r="L1673" s="2">
        <v>2.0</v>
      </c>
      <c r="M1673" s="4">
        <v>4130.0</v>
      </c>
      <c r="N1673" s="2" t="s">
        <v>30</v>
      </c>
      <c r="O1673" s="2">
        <v>70.0</v>
      </c>
      <c r="P1673" s="2" t="s">
        <v>31</v>
      </c>
      <c r="Q1673" s="2" t="s">
        <v>32</v>
      </c>
      <c r="R1673" s="2">
        <v>37.0</v>
      </c>
      <c r="T1673" s="2" t="s">
        <v>47</v>
      </c>
      <c r="U1673" s="2" t="b">
        <v>0</v>
      </c>
      <c r="V1673" s="5">
        <v>0.0053</v>
      </c>
      <c r="W1673" s="5">
        <v>0.007</v>
      </c>
      <c r="X1673" s="5">
        <v>3.7E-5</v>
      </c>
      <c r="Y1673" s="2">
        <v>14.44055944</v>
      </c>
      <c r="AA1673" s="2" t="s">
        <v>33</v>
      </c>
    </row>
    <row r="1674">
      <c r="A1674" s="2">
        <v>3497.0</v>
      </c>
      <c r="B1674" s="2" t="s">
        <v>4936</v>
      </c>
      <c r="C1674" s="2" t="s">
        <v>7</v>
      </c>
      <c r="D1674" s="2" t="s">
        <v>4937</v>
      </c>
      <c r="F1674" s="6">
        <v>45939.74791666667</v>
      </c>
      <c r="G1674" s="2">
        <v>3467.0</v>
      </c>
      <c r="H1674" s="2">
        <v>3467.0</v>
      </c>
      <c r="I1674" s="2">
        <v>2753.0</v>
      </c>
      <c r="J1674" s="2">
        <v>33.0</v>
      </c>
      <c r="K1674" s="2">
        <v>25.0</v>
      </c>
      <c r="L1674" s="2">
        <v>0.0</v>
      </c>
      <c r="M1674" s="2">
        <v>0.0</v>
      </c>
      <c r="N1674" s="2" t="s">
        <v>4938</v>
      </c>
      <c r="O1674" s="4">
        <v>267268.0</v>
      </c>
      <c r="P1674" s="2" t="s">
        <v>189</v>
      </c>
      <c r="Q1674" s="2" t="s">
        <v>1367</v>
      </c>
      <c r="R1674" s="2">
        <v>42.0</v>
      </c>
      <c r="U1674" s="2" t="b">
        <v>0</v>
      </c>
      <c r="V1674" s="5">
        <v>0.0091</v>
      </c>
      <c r="W1674" s="5">
        <v>0.0</v>
      </c>
      <c r="X1674" s="5">
        <v>0.0</v>
      </c>
      <c r="Y1674" s="2">
        <v>0.0</v>
      </c>
      <c r="AA1674" s="2" t="s">
        <v>423</v>
      </c>
    </row>
    <row r="1675">
      <c r="A1675" s="2">
        <v>3499.0</v>
      </c>
      <c r="B1675" s="2" t="s">
        <v>4939</v>
      </c>
      <c r="C1675" s="2" t="s">
        <v>7</v>
      </c>
      <c r="D1675" s="2" t="s">
        <v>4940</v>
      </c>
      <c r="E1675" s="2" t="s">
        <v>4941</v>
      </c>
      <c r="F1675" s="3">
        <v>45940.458333333336</v>
      </c>
      <c r="G1675" s="2">
        <v>50041.0</v>
      </c>
      <c r="H1675" s="2">
        <v>50041.0</v>
      </c>
      <c r="I1675" s="2">
        <v>40138.0</v>
      </c>
      <c r="J1675" s="2">
        <v>254.0</v>
      </c>
      <c r="K1675" s="2">
        <v>197.0</v>
      </c>
      <c r="L1675" s="2">
        <v>2.0</v>
      </c>
      <c r="M1675" s="4">
        <v>7933.0</v>
      </c>
      <c r="N1675" s="2" t="s">
        <v>36</v>
      </c>
      <c r="O1675" s="2">
        <v>71.0</v>
      </c>
      <c r="P1675" s="2" t="s">
        <v>189</v>
      </c>
      <c r="Q1675" s="2" t="s">
        <v>32</v>
      </c>
      <c r="R1675" s="2">
        <v>34.0</v>
      </c>
      <c r="T1675" s="2" t="s">
        <v>162</v>
      </c>
      <c r="U1675" s="2" t="b">
        <v>0</v>
      </c>
      <c r="V1675" s="5">
        <v>0.0049</v>
      </c>
      <c r="W1675" s="5">
        <v>0.0102</v>
      </c>
      <c r="X1675" s="5">
        <v>5.0E-5</v>
      </c>
      <c r="Y1675" s="2">
        <v>40.26903553</v>
      </c>
      <c r="AA1675" s="2" t="s">
        <v>33</v>
      </c>
    </row>
    <row r="1676">
      <c r="A1676" s="2">
        <v>3498.0</v>
      </c>
      <c r="B1676" s="2" t="s">
        <v>4942</v>
      </c>
      <c r="C1676" s="2" t="s">
        <v>7</v>
      </c>
      <c r="D1676" s="2" t="s">
        <v>4943</v>
      </c>
      <c r="E1676" s="2" t="s">
        <v>4944</v>
      </c>
      <c r="F1676" s="3">
        <v>45940.458333333336</v>
      </c>
      <c r="G1676" s="2">
        <v>65696.0</v>
      </c>
      <c r="H1676" s="2">
        <v>65696.0</v>
      </c>
      <c r="I1676" s="2">
        <v>53855.0</v>
      </c>
      <c r="J1676" s="2">
        <v>336.0</v>
      </c>
      <c r="K1676" s="2">
        <v>269.0</v>
      </c>
      <c r="L1676" s="2">
        <v>2.0</v>
      </c>
      <c r="M1676" s="4">
        <v>3932.0</v>
      </c>
      <c r="N1676" s="2" t="s">
        <v>30</v>
      </c>
      <c r="O1676" s="2">
        <v>70.0</v>
      </c>
      <c r="P1676" s="2" t="s">
        <v>189</v>
      </c>
      <c r="Q1676" s="2" t="s">
        <v>32</v>
      </c>
      <c r="R1676" s="2">
        <v>32.0</v>
      </c>
      <c r="U1676" s="2" t="b">
        <v>0</v>
      </c>
      <c r="V1676" s="5">
        <v>0.005</v>
      </c>
      <c r="W1676" s="5">
        <v>0.0074</v>
      </c>
      <c r="X1676" s="5">
        <v>3.7E-5</v>
      </c>
      <c r="Y1676" s="2">
        <v>14.61710037</v>
      </c>
      <c r="Z1676" s="2">
        <v>5888.0</v>
      </c>
      <c r="AA1676" s="2" t="s">
        <v>33</v>
      </c>
    </row>
    <row r="1677">
      <c r="A1677" s="2">
        <v>3501.0</v>
      </c>
      <c r="B1677" s="2" t="s">
        <v>4945</v>
      </c>
      <c r="C1677" s="2" t="s">
        <v>7</v>
      </c>
      <c r="D1677" s="2" t="s">
        <v>4946</v>
      </c>
      <c r="E1677" s="2" t="s">
        <v>4947</v>
      </c>
      <c r="F1677" s="3">
        <v>45940.625</v>
      </c>
      <c r="G1677" s="2">
        <v>50057.0</v>
      </c>
      <c r="H1677" s="2">
        <v>50057.0</v>
      </c>
      <c r="I1677" s="2">
        <v>40565.0</v>
      </c>
      <c r="J1677" s="2">
        <v>330.0</v>
      </c>
      <c r="K1677" s="2">
        <v>249.0</v>
      </c>
      <c r="L1677" s="2">
        <v>4.0</v>
      </c>
      <c r="M1677" s="4">
        <v>9086.0</v>
      </c>
      <c r="N1677" s="2" t="s">
        <v>36</v>
      </c>
      <c r="O1677" s="2">
        <v>71.0</v>
      </c>
      <c r="P1677" s="2" t="s">
        <v>189</v>
      </c>
      <c r="Q1677" s="2" t="s">
        <v>32</v>
      </c>
      <c r="R1677" s="2">
        <v>35.0</v>
      </c>
      <c r="U1677" s="2" t="b">
        <v>0</v>
      </c>
      <c r="V1677" s="5">
        <v>0.0061</v>
      </c>
      <c r="W1677" s="5">
        <v>0.0161</v>
      </c>
      <c r="X1677" s="5">
        <v>9.9E-5</v>
      </c>
      <c r="Y1677" s="2">
        <v>36.48995984</v>
      </c>
      <c r="AA1677" s="2" t="s">
        <v>33</v>
      </c>
    </row>
    <row r="1678">
      <c r="A1678" s="2">
        <v>3500.0</v>
      </c>
      <c r="B1678" s="2" t="s">
        <v>4948</v>
      </c>
      <c r="C1678" s="2" t="s">
        <v>7</v>
      </c>
      <c r="D1678" s="2" t="s">
        <v>4949</v>
      </c>
      <c r="E1678" s="2" t="s">
        <v>4950</v>
      </c>
      <c r="F1678" s="3">
        <v>45940.625</v>
      </c>
      <c r="G1678" s="2">
        <v>65745.0</v>
      </c>
      <c r="H1678" s="2">
        <v>65745.0</v>
      </c>
      <c r="I1678" s="2">
        <v>54032.0</v>
      </c>
      <c r="J1678" s="2">
        <v>415.0</v>
      </c>
      <c r="K1678" s="2">
        <v>325.0</v>
      </c>
      <c r="L1678" s="2">
        <v>8.0</v>
      </c>
      <c r="M1678" s="4">
        <v>17203.0</v>
      </c>
      <c r="N1678" s="2" t="s">
        <v>30</v>
      </c>
      <c r="O1678" s="2">
        <v>70.0</v>
      </c>
      <c r="P1678" s="2" t="s">
        <v>31</v>
      </c>
      <c r="Q1678" s="2" t="s">
        <v>32</v>
      </c>
      <c r="R1678" s="2">
        <v>33.0</v>
      </c>
      <c r="T1678" s="2" t="s">
        <v>4951</v>
      </c>
      <c r="U1678" s="2" t="b">
        <v>0</v>
      </c>
      <c r="V1678" s="5">
        <v>0.006</v>
      </c>
      <c r="W1678" s="5">
        <v>0.0246</v>
      </c>
      <c r="X1678" s="5">
        <v>1.48E-4</v>
      </c>
      <c r="Y1678" s="2">
        <v>52.93230769</v>
      </c>
      <c r="Z1678" s="2">
        <v>5444.0</v>
      </c>
      <c r="AA1678" s="2" t="s">
        <v>33</v>
      </c>
    </row>
    <row r="1679">
      <c r="A1679" s="2">
        <v>3503.0</v>
      </c>
      <c r="B1679" s="2" t="s">
        <v>4952</v>
      </c>
      <c r="C1679" s="2" t="s">
        <v>7</v>
      </c>
      <c r="D1679" s="2" t="s">
        <v>4953</v>
      </c>
      <c r="E1679" s="2" t="s">
        <v>4954</v>
      </c>
      <c r="F1679" s="3">
        <v>45940.708333333336</v>
      </c>
      <c r="G1679" s="2">
        <v>49978.0</v>
      </c>
      <c r="H1679" s="2">
        <v>49978.0</v>
      </c>
      <c r="I1679" s="2">
        <v>40354.0</v>
      </c>
      <c r="J1679" s="2">
        <v>287.0</v>
      </c>
      <c r="K1679" s="2">
        <v>213.0</v>
      </c>
      <c r="L1679" s="2">
        <v>6.0</v>
      </c>
      <c r="M1679" s="4">
        <v>23358.0</v>
      </c>
      <c r="N1679" s="2" t="s">
        <v>36</v>
      </c>
      <c r="O1679" s="2">
        <v>71.0</v>
      </c>
      <c r="P1679" s="2" t="s">
        <v>189</v>
      </c>
      <c r="Q1679" s="2" t="s">
        <v>32</v>
      </c>
      <c r="R1679" s="2">
        <v>39.0</v>
      </c>
      <c r="T1679" s="2" t="s">
        <v>58</v>
      </c>
      <c r="U1679" s="2" t="b">
        <v>1</v>
      </c>
      <c r="V1679" s="5">
        <v>0.0053</v>
      </c>
      <c r="W1679" s="5">
        <v>0.0282</v>
      </c>
      <c r="X1679" s="5">
        <v>1.49E-4</v>
      </c>
      <c r="Y1679" s="2">
        <v>109.6619718</v>
      </c>
      <c r="AA1679" s="2" t="s">
        <v>33</v>
      </c>
    </row>
    <row r="1680">
      <c r="A1680" s="2">
        <v>3502.0</v>
      </c>
      <c r="B1680" s="2" t="s">
        <v>4955</v>
      </c>
      <c r="C1680" s="2" t="s">
        <v>7</v>
      </c>
      <c r="D1680" s="2" t="s">
        <v>4956</v>
      </c>
      <c r="E1680" s="2" t="s">
        <v>4957</v>
      </c>
      <c r="F1680" s="3">
        <v>45940.708333333336</v>
      </c>
      <c r="G1680" s="2">
        <v>65688.0</v>
      </c>
      <c r="H1680" s="2">
        <v>65688.0</v>
      </c>
      <c r="I1680" s="2">
        <v>54160.0</v>
      </c>
      <c r="J1680" s="2">
        <v>370.0</v>
      </c>
      <c r="K1680" s="2">
        <v>302.0</v>
      </c>
      <c r="L1680" s="2">
        <v>6.0</v>
      </c>
      <c r="M1680" s="4">
        <v>30223.0</v>
      </c>
      <c r="N1680" s="2" t="s">
        <v>30</v>
      </c>
      <c r="O1680" s="2">
        <v>70.0</v>
      </c>
      <c r="P1680" s="2" t="s">
        <v>189</v>
      </c>
      <c r="Q1680" s="2" t="s">
        <v>32</v>
      </c>
      <c r="R1680" s="2">
        <v>38.0</v>
      </c>
      <c r="T1680" s="7" t="str">
        <f>IFERROR(__xludf.DUMMYFUNCTION("AI(""has offer Come X Pay X"",D1680)"),"Come 3 Pay 2")</f>
        <v>Come 3 Pay 2</v>
      </c>
      <c r="U1680" s="2" t="b">
        <v>0</v>
      </c>
      <c r="V1680" s="5">
        <v>0.0056</v>
      </c>
      <c r="W1680" s="5">
        <v>0.0199</v>
      </c>
      <c r="X1680" s="5">
        <v>1.11E-4</v>
      </c>
      <c r="Y1680" s="2">
        <v>100.0761589</v>
      </c>
      <c r="Z1680" s="2">
        <v>4254.0</v>
      </c>
      <c r="AA1680" s="2" t="s">
        <v>33</v>
      </c>
    </row>
    <row r="1681">
      <c r="A1681" s="2">
        <v>3524.0</v>
      </c>
      <c r="B1681" s="2" t="s">
        <v>4958</v>
      </c>
      <c r="C1681" s="2" t="s">
        <v>7</v>
      </c>
      <c r="D1681" s="2" t="s">
        <v>4959</v>
      </c>
      <c r="E1681" s="2" t="s">
        <v>4960</v>
      </c>
      <c r="F1681" s="3">
        <v>45940.70972222222</v>
      </c>
      <c r="G1681" s="2">
        <v>7351.0</v>
      </c>
      <c r="H1681" s="2">
        <v>7351.0</v>
      </c>
      <c r="I1681" s="2">
        <v>5817.0</v>
      </c>
      <c r="J1681" s="2">
        <v>55.0</v>
      </c>
      <c r="K1681" s="2">
        <v>48.0</v>
      </c>
      <c r="L1681" s="2">
        <v>1.0</v>
      </c>
      <c r="M1681" s="4">
        <v>1960.0</v>
      </c>
      <c r="N1681" s="2" t="s">
        <v>423</v>
      </c>
      <c r="O1681" s="2">
        <v>119.0</v>
      </c>
      <c r="P1681" s="2" t="s">
        <v>31</v>
      </c>
      <c r="Q1681" s="2" t="s">
        <v>1367</v>
      </c>
      <c r="R1681" s="2">
        <v>44.0</v>
      </c>
      <c r="U1681" s="2" t="b">
        <v>0</v>
      </c>
      <c r="V1681" s="5">
        <v>0.0083</v>
      </c>
      <c r="W1681" s="5">
        <v>0.0208</v>
      </c>
      <c r="X1681" s="5">
        <v>1.72E-4</v>
      </c>
      <c r="Y1681" s="2">
        <v>40.83333333</v>
      </c>
      <c r="AA1681" s="2" t="s">
        <v>423</v>
      </c>
    </row>
    <row r="1682">
      <c r="A1682" s="2">
        <v>3505.0</v>
      </c>
      <c r="B1682" s="2" t="s">
        <v>4961</v>
      </c>
      <c r="C1682" s="2" t="s">
        <v>7</v>
      </c>
      <c r="D1682" s="2" t="s">
        <v>4962</v>
      </c>
      <c r="E1682" s="2" t="s">
        <v>4963</v>
      </c>
      <c r="F1682" s="3">
        <v>45941.5</v>
      </c>
      <c r="G1682" s="2">
        <v>50132.0</v>
      </c>
      <c r="H1682" s="2">
        <v>50132.0</v>
      </c>
      <c r="I1682" s="2">
        <v>40043.0</v>
      </c>
      <c r="J1682" s="2">
        <v>318.0</v>
      </c>
      <c r="K1682" s="2">
        <v>239.0</v>
      </c>
      <c r="L1682" s="2">
        <v>7.0</v>
      </c>
      <c r="M1682" s="4">
        <v>27813.0</v>
      </c>
      <c r="N1682" s="2" t="s">
        <v>36</v>
      </c>
      <c r="O1682" s="2">
        <v>71.0</v>
      </c>
      <c r="P1682" s="2" t="s">
        <v>189</v>
      </c>
      <c r="Q1682" s="2" t="s">
        <v>32</v>
      </c>
      <c r="R1682" s="2">
        <v>35.0</v>
      </c>
      <c r="T1682" s="2" t="s">
        <v>47</v>
      </c>
      <c r="U1682" s="2" t="b">
        <v>0</v>
      </c>
      <c r="V1682" s="5">
        <v>0.006</v>
      </c>
      <c r="W1682" s="5">
        <v>0.0293</v>
      </c>
      <c r="X1682" s="5">
        <v>1.75E-4</v>
      </c>
      <c r="Y1682" s="2">
        <v>116.3723849</v>
      </c>
      <c r="AA1682" s="2" t="s">
        <v>33</v>
      </c>
    </row>
    <row r="1683">
      <c r="A1683" s="2">
        <v>3504.0</v>
      </c>
      <c r="B1683" s="2" t="s">
        <v>4964</v>
      </c>
      <c r="C1683" s="2" t="s">
        <v>7</v>
      </c>
      <c r="D1683" s="2" t="s">
        <v>4965</v>
      </c>
      <c r="E1683" s="2" t="s">
        <v>4966</v>
      </c>
      <c r="F1683" s="3">
        <v>45941.5</v>
      </c>
      <c r="G1683" s="2">
        <v>65802.0</v>
      </c>
      <c r="H1683" s="2">
        <v>65802.0</v>
      </c>
      <c r="I1683" s="2">
        <v>53863.0</v>
      </c>
      <c r="J1683" s="2">
        <v>252.0</v>
      </c>
      <c r="K1683" s="2">
        <v>208.0</v>
      </c>
      <c r="L1683" s="2">
        <v>4.0</v>
      </c>
      <c r="M1683" s="4">
        <v>5398.0</v>
      </c>
      <c r="N1683" s="2" t="s">
        <v>30</v>
      </c>
      <c r="O1683" s="2">
        <v>70.0</v>
      </c>
      <c r="P1683" s="2" t="s">
        <v>189</v>
      </c>
      <c r="Q1683" s="2" t="s">
        <v>32</v>
      </c>
      <c r="R1683" s="2">
        <v>39.0</v>
      </c>
      <c r="U1683" s="2" t="b">
        <v>0</v>
      </c>
      <c r="V1683" s="5">
        <v>0.0039</v>
      </c>
      <c r="W1683" s="5">
        <v>0.0192</v>
      </c>
      <c r="X1683" s="5">
        <v>7.4E-5</v>
      </c>
      <c r="Y1683" s="2">
        <v>25.95192308</v>
      </c>
      <c r="Z1683" s="2">
        <v>1768.0</v>
      </c>
      <c r="AA1683" s="2" t="s">
        <v>33</v>
      </c>
    </row>
    <row r="1684">
      <c r="A1684" s="2">
        <v>3507.0</v>
      </c>
      <c r="B1684" s="2" t="s">
        <v>4967</v>
      </c>
      <c r="C1684" s="2" t="s">
        <v>7</v>
      </c>
      <c r="D1684" s="2" t="s">
        <v>4968</v>
      </c>
      <c r="E1684" s="2" t="s">
        <v>4969</v>
      </c>
      <c r="F1684" s="3">
        <v>45941.625</v>
      </c>
      <c r="G1684" s="2">
        <v>50094.0</v>
      </c>
      <c r="H1684" s="2">
        <v>50094.0</v>
      </c>
      <c r="I1684" s="2">
        <v>40289.0</v>
      </c>
      <c r="J1684" s="2">
        <v>232.0</v>
      </c>
      <c r="K1684" s="2">
        <v>171.0</v>
      </c>
      <c r="L1684" s="2">
        <v>3.0</v>
      </c>
      <c r="M1684" s="4">
        <v>6476.0</v>
      </c>
      <c r="N1684" s="2" t="s">
        <v>36</v>
      </c>
      <c r="O1684" s="2">
        <v>71.0</v>
      </c>
      <c r="P1684" s="2" t="s">
        <v>189</v>
      </c>
      <c r="Q1684" s="2" t="s">
        <v>32</v>
      </c>
      <c r="R1684" s="2">
        <v>34.0</v>
      </c>
      <c r="U1684" s="2" t="b">
        <v>1</v>
      </c>
      <c r="V1684" s="5">
        <v>0.0042</v>
      </c>
      <c r="W1684" s="5">
        <v>0.0175</v>
      </c>
      <c r="X1684" s="5">
        <v>7.4E-5</v>
      </c>
      <c r="Y1684" s="2">
        <v>37.87134503</v>
      </c>
      <c r="AA1684" s="2" t="s">
        <v>33</v>
      </c>
    </row>
    <row r="1685">
      <c r="A1685" s="2">
        <v>3506.0</v>
      </c>
      <c r="B1685" s="2" t="s">
        <v>4970</v>
      </c>
      <c r="C1685" s="2" t="s">
        <v>7</v>
      </c>
      <c r="D1685" s="2" t="s">
        <v>4971</v>
      </c>
      <c r="E1685" s="2" t="s">
        <v>4972</v>
      </c>
      <c r="F1685" s="3">
        <v>45941.625</v>
      </c>
      <c r="G1685" s="2">
        <v>65767.0</v>
      </c>
      <c r="H1685" s="2">
        <v>65767.0</v>
      </c>
      <c r="I1685" s="2">
        <v>53827.0</v>
      </c>
      <c r="J1685" s="2">
        <v>332.0</v>
      </c>
      <c r="K1685" s="2">
        <v>268.0</v>
      </c>
      <c r="L1685" s="2">
        <v>4.0</v>
      </c>
      <c r="M1685" s="4">
        <v>7380.0</v>
      </c>
      <c r="N1685" s="2" t="s">
        <v>30</v>
      </c>
      <c r="O1685" s="2">
        <v>70.0</v>
      </c>
      <c r="P1685" s="2" t="s">
        <v>189</v>
      </c>
      <c r="Q1685" s="2" t="s">
        <v>32</v>
      </c>
      <c r="R1685" s="2">
        <v>33.0</v>
      </c>
      <c r="T1685" s="2" t="s">
        <v>143</v>
      </c>
      <c r="U1685" s="2" t="b">
        <v>0</v>
      </c>
      <c r="V1685" s="5">
        <v>0.005</v>
      </c>
      <c r="W1685" s="5">
        <v>0.0149</v>
      </c>
      <c r="X1685" s="5">
        <v>7.4E-5</v>
      </c>
      <c r="Y1685" s="2">
        <v>27.53731343</v>
      </c>
      <c r="Z1685" s="2" t="s">
        <v>1084</v>
      </c>
      <c r="AA1685" s="2" t="s">
        <v>33</v>
      </c>
    </row>
    <row r="1686">
      <c r="A1686" s="2">
        <v>3509.0</v>
      </c>
      <c r="B1686" s="2" t="s">
        <v>4973</v>
      </c>
      <c r="C1686" s="2" t="s">
        <v>7</v>
      </c>
      <c r="D1686" s="2" t="s">
        <v>4974</v>
      </c>
      <c r="E1686" s="2" t="s">
        <v>4975</v>
      </c>
      <c r="F1686" s="3">
        <v>45941.708333333336</v>
      </c>
      <c r="G1686" s="2">
        <v>50147.0</v>
      </c>
      <c r="H1686" s="2">
        <v>50147.0</v>
      </c>
      <c r="I1686" s="2">
        <v>40481.0</v>
      </c>
      <c r="J1686" s="2">
        <v>294.0</v>
      </c>
      <c r="K1686" s="2">
        <v>216.0</v>
      </c>
      <c r="L1686" s="2">
        <v>4.0</v>
      </c>
      <c r="M1686" s="4">
        <v>3484.0</v>
      </c>
      <c r="N1686" s="2" t="s">
        <v>36</v>
      </c>
      <c r="O1686" s="2">
        <v>71.0</v>
      </c>
      <c r="P1686" s="2" t="s">
        <v>189</v>
      </c>
      <c r="Q1686" s="2" t="s">
        <v>32</v>
      </c>
      <c r="R1686" s="2">
        <v>35.0</v>
      </c>
      <c r="T1686" s="2" t="s">
        <v>58</v>
      </c>
      <c r="U1686" s="2" t="b">
        <v>0</v>
      </c>
      <c r="V1686" s="5">
        <v>0.0053</v>
      </c>
      <c r="W1686" s="5">
        <v>0.0185</v>
      </c>
      <c r="X1686" s="5">
        <v>9.9E-5</v>
      </c>
      <c r="Y1686" s="2">
        <v>16.12962963</v>
      </c>
      <c r="AA1686" s="2" t="s">
        <v>33</v>
      </c>
    </row>
    <row r="1687">
      <c r="A1687" s="2">
        <v>3508.0</v>
      </c>
      <c r="B1687" s="2" t="s">
        <v>4976</v>
      </c>
      <c r="C1687" s="2" t="s">
        <v>7</v>
      </c>
      <c r="D1687" s="2" t="s">
        <v>4977</v>
      </c>
      <c r="E1687" s="2" t="s">
        <v>4978</v>
      </c>
      <c r="F1687" s="3">
        <v>45941.708333333336</v>
      </c>
      <c r="G1687" s="2">
        <v>65809.0</v>
      </c>
      <c r="H1687" s="2">
        <v>65809.0</v>
      </c>
      <c r="I1687" s="2">
        <v>54028.0</v>
      </c>
      <c r="J1687" s="2">
        <v>391.0</v>
      </c>
      <c r="K1687" s="2">
        <v>306.0</v>
      </c>
      <c r="L1687" s="2">
        <v>3.0</v>
      </c>
      <c r="M1687" s="4">
        <v>3432.0</v>
      </c>
      <c r="N1687" s="2" t="s">
        <v>30</v>
      </c>
      <c r="O1687" s="2">
        <v>70.0</v>
      </c>
      <c r="P1687" s="2" t="s">
        <v>31</v>
      </c>
      <c r="Q1687" s="2" t="s">
        <v>32</v>
      </c>
      <c r="R1687" s="2">
        <v>28.0</v>
      </c>
      <c r="U1687" s="2" t="b">
        <v>0</v>
      </c>
      <c r="V1687" s="5">
        <v>0.0057</v>
      </c>
      <c r="W1687" s="5">
        <v>0.0098</v>
      </c>
      <c r="X1687" s="5">
        <v>5.6E-5</v>
      </c>
      <c r="Y1687" s="2">
        <v>11.21568627</v>
      </c>
      <c r="AA1687" s="2" t="s">
        <v>33</v>
      </c>
    </row>
    <row r="1688">
      <c r="A1688" s="2">
        <v>3511.0</v>
      </c>
      <c r="B1688" s="2" t="s">
        <v>4979</v>
      </c>
      <c r="C1688" s="2" t="s">
        <v>7</v>
      </c>
      <c r="D1688" s="2" t="s">
        <v>4980</v>
      </c>
      <c r="E1688" s="2" t="s">
        <v>4981</v>
      </c>
      <c r="F1688" s="3">
        <v>45942.458333333336</v>
      </c>
      <c r="G1688" s="2">
        <v>50298.0</v>
      </c>
      <c r="H1688" s="2">
        <v>50298.0</v>
      </c>
      <c r="I1688" s="2">
        <v>40094.0</v>
      </c>
      <c r="J1688" s="2">
        <v>377.0</v>
      </c>
      <c r="K1688" s="2">
        <v>284.0</v>
      </c>
      <c r="L1688" s="2">
        <v>5.0</v>
      </c>
      <c r="M1688" s="4">
        <v>15337.0</v>
      </c>
      <c r="N1688" s="2" t="s">
        <v>36</v>
      </c>
      <c r="O1688" s="2">
        <v>71.0</v>
      </c>
      <c r="P1688" s="2" t="s">
        <v>189</v>
      </c>
      <c r="Q1688" s="2" t="s">
        <v>32</v>
      </c>
      <c r="R1688" s="2">
        <v>35.0</v>
      </c>
      <c r="U1688" s="2" t="b">
        <v>0</v>
      </c>
      <c r="V1688" s="5">
        <v>0.0071</v>
      </c>
      <c r="W1688" s="5">
        <v>0.0176</v>
      </c>
      <c r="X1688" s="5">
        <v>1.25E-4</v>
      </c>
      <c r="Y1688" s="2">
        <v>54.00352113</v>
      </c>
      <c r="AA1688" s="2" t="s">
        <v>33</v>
      </c>
    </row>
    <row r="1689">
      <c r="A1689" s="2">
        <v>3510.0</v>
      </c>
      <c r="B1689" s="2" t="s">
        <v>4982</v>
      </c>
      <c r="C1689" s="2" t="s">
        <v>7</v>
      </c>
      <c r="D1689" s="2" t="s">
        <v>4983</v>
      </c>
      <c r="E1689" s="2" t="s">
        <v>4984</v>
      </c>
      <c r="F1689" s="3">
        <v>45942.458333333336</v>
      </c>
      <c r="G1689" s="2">
        <v>65881.0</v>
      </c>
      <c r="H1689" s="2">
        <v>65881.0</v>
      </c>
      <c r="I1689" s="2">
        <v>53768.0</v>
      </c>
      <c r="J1689" s="2">
        <v>370.0</v>
      </c>
      <c r="K1689" s="2">
        <v>291.0</v>
      </c>
      <c r="L1689" s="2">
        <v>7.0</v>
      </c>
      <c r="M1689" s="4">
        <v>17996.0</v>
      </c>
      <c r="N1689" s="2" t="s">
        <v>30</v>
      </c>
      <c r="O1689" s="2">
        <v>70.0</v>
      </c>
      <c r="P1689" s="2" t="s">
        <v>189</v>
      </c>
      <c r="Q1689" s="2" t="s">
        <v>32</v>
      </c>
      <c r="R1689" s="2">
        <v>36.0</v>
      </c>
      <c r="T1689" s="2" t="s">
        <v>2396</v>
      </c>
      <c r="U1689" s="2" t="b">
        <v>0</v>
      </c>
      <c r="V1689" s="5">
        <v>0.0054</v>
      </c>
      <c r="W1689" s="5">
        <v>0.0241</v>
      </c>
      <c r="X1689" s="5">
        <v>1.3E-4</v>
      </c>
      <c r="Y1689" s="2">
        <v>61.8419244</v>
      </c>
      <c r="Z1689" s="2">
        <v>2925.0</v>
      </c>
      <c r="AA1689" s="2" t="s">
        <v>33</v>
      </c>
    </row>
    <row r="1690">
      <c r="A1690" s="2">
        <v>3513.0</v>
      </c>
      <c r="B1690" s="2" t="s">
        <v>4985</v>
      </c>
      <c r="C1690" s="2" t="s">
        <v>7</v>
      </c>
      <c r="D1690" s="2" t="s">
        <v>4986</v>
      </c>
      <c r="E1690" s="2" t="s">
        <v>4987</v>
      </c>
      <c r="F1690" s="3">
        <v>45942.625</v>
      </c>
      <c r="G1690" s="2">
        <v>50264.0</v>
      </c>
      <c r="H1690" s="2">
        <v>50264.0</v>
      </c>
      <c r="I1690" s="2">
        <v>40431.0</v>
      </c>
      <c r="J1690" s="2">
        <v>406.0</v>
      </c>
      <c r="K1690" s="2">
        <v>317.0</v>
      </c>
      <c r="L1690" s="2">
        <v>3.0</v>
      </c>
      <c r="M1690" s="4">
        <v>15982.0</v>
      </c>
      <c r="N1690" s="2" t="s">
        <v>36</v>
      </c>
      <c r="O1690" s="2">
        <v>71.0</v>
      </c>
      <c r="P1690" s="2" t="s">
        <v>189</v>
      </c>
      <c r="Q1690" s="2" t="s">
        <v>32</v>
      </c>
      <c r="R1690" s="2">
        <v>45.0</v>
      </c>
      <c r="T1690" s="2" t="s">
        <v>58</v>
      </c>
      <c r="U1690" s="2" t="b">
        <v>0</v>
      </c>
      <c r="V1690" s="5">
        <v>0.0078</v>
      </c>
      <c r="W1690" s="5">
        <v>0.0095</v>
      </c>
      <c r="X1690" s="5">
        <v>7.4E-5</v>
      </c>
      <c r="Y1690" s="2">
        <v>50.41640379</v>
      </c>
      <c r="AA1690" s="2" t="s">
        <v>33</v>
      </c>
    </row>
    <row r="1691">
      <c r="A1691" s="2">
        <v>3512.0</v>
      </c>
      <c r="B1691" s="2" t="s">
        <v>4988</v>
      </c>
      <c r="C1691" s="2" t="s">
        <v>7</v>
      </c>
      <c r="D1691" s="2" t="s">
        <v>4989</v>
      </c>
      <c r="E1691" s="2" t="s">
        <v>4990</v>
      </c>
      <c r="F1691" s="3">
        <v>45942.625</v>
      </c>
      <c r="G1691" s="2">
        <v>65861.0</v>
      </c>
      <c r="H1691" s="2">
        <v>65861.0</v>
      </c>
      <c r="I1691" s="2">
        <v>54062.0</v>
      </c>
      <c r="J1691" s="2">
        <v>382.0</v>
      </c>
      <c r="K1691" s="2">
        <v>298.0</v>
      </c>
      <c r="L1691" s="2">
        <v>3.0</v>
      </c>
      <c r="M1691" s="4">
        <v>7267.0</v>
      </c>
      <c r="N1691" s="2" t="s">
        <v>30</v>
      </c>
      <c r="O1691" s="2">
        <v>70.0</v>
      </c>
      <c r="P1691" s="2" t="s">
        <v>189</v>
      </c>
      <c r="Q1691" s="2" t="s">
        <v>32</v>
      </c>
      <c r="R1691" s="2">
        <v>43.0</v>
      </c>
      <c r="T1691" s="2" t="s">
        <v>47</v>
      </c>
      <c r="U1691" s="2" t="b">
        <v>0</v>
      </c>
      <c r="V1691" s="5">
        <v>0.0055</v>
      </c>
      <c r="W1691" s="5">
        <v>0.0101</v>
      </c>
      <c r="X1691" s="5">
        <v>5.5E-5</v>
      </c>
      <c r="Y1691" s="2">
        <v>24.38590604</v>
      </c>
      <c r="AA1691" s="2" t="s">
        <v>33</v>
      </c>
    </row>
    <row r="1692">
      <c r="A1692" s="2">
        <v>3515.0</v>
      </c>
      <c r="B1692" s="2" t="s">
        <v>4991</v>
      </c>
      <c r="C1692" s="2" t="s">
        <v>7</v>
      </c>
      <c r="D1692" s="2" t="s">
        <v>4992</v>
      </c>
      <c r="E1692" s="2" t="s">
        <v>4993</v>
      </c>
      <c r="F1692" s="3">
        <v>45942.708333333336</v>
      </c>
      <c r="G1692" s="2">
        <v>50272.0</v>
      </c>
      <c r="H1692" s="2">
        <v>50272.0</v>
      </c>
      <c r="I1692" s="2">
        <v>40432.0</v>
      </c>
      <c r="J1692" s="2">
        <v>276.0</v>
      </c>
      <c r="K1692" s="2">
        <v>218.0</v>
      </c>
      <c r="L1692" s="2">
        <v>3.0</v>
      </c>
      <c r="M1692" s="4">
        <v>5316.0</v>
      </c>
      <c r="N1692" s="2" t="s">
        <v>36</v>
      </c>
      <c r="O1692" s="2">
        <v>71.0</v>
      </c>
      <c r="P1692" s="2" t="s">
        <v>31</v>
      </c>
      <c r="Q1692" s="2" t="s">
        <v>32</v>
      </c>
      <c r="R1692" s="2">
        <v>38.0</v>
      </c>
      <c r="T1692" s="7" t="str">
        <f>IFERROR(__xludf.DUMMYFUNCTION("AI(""has offer Come X Pay X"",D1692)"),"Has Offer Come X Pay X")</f>
        <v>Has Offer Come X Pay X</v>
      </c>
      <c r="U1692" s="2" t="b">
        <v>1</v>
      </c>
      <c r="V1692" s="5">
        <v>0.0054</v>
      </c>
      <c r="W1692" s="5">
        <v>0.0138</v>
      </c>
      <c r="X1692" s="5">
        <v>7.4E-5</v>
      </c>
      <c r="Y1692" s="2">
        <v>24.3853211</v>
      </c>
      <c r="AA1692" s="2" t="s">
        <v>33</v>
      </c>
    </row>
    <row r="1693">
      <c r="A1693" s="2">
        <v>3514.0</v>
      </c>
      <c r="B1693" s="2" t="s">
        <v>4994</v>
      </c>
      <c r="C1693" s="2" t="s">
        <v>7</v>
      </c>
      <c r="D1693" s="2" t="s">
        <v>4995</v>
      </c>
      <c r="E1693" s="2" t="s">
        <v>4996</v>
      </c>
      <c r="F1693" s="3">
        <v>45942.708333333336</v>
      </c>
      <c r="G1693" s="2">
        <v>65883.0</v>
      </c>
      <c r="H1693" s="2">
        <v>65883.0</v>
      </c>
      <c r="I1693" s="2">
        <v>53989.0</v>
      </c>
      <c r="J1693" s="2">
        <v>383.0</v>
      </c>
      <c r="K1693" s="2">
        <v>304.0</v>
      </c>
      <c r="L1693" s="2">
        <v>4.0</v>
      </c>
      <c r="M1693" s="4">
        <v>6799.0</v>
      </c>
      <c r="N1693" s="2" t="s">
        <v>30</v>
      </c>
      <c r="O1693" s="2">
        <v>70.0</v>
      </c>
      <c r="P1693" s="2" t="s">
        <v>189</v>
      </c>
      <c r="Q1693" s="2" t="s">
        <v>32</v>
      </c>
      <c r="R1693" s="2">
        <v>45.0</v>
      </c>
      <c r="T1693" s="2" t="s">
        <v>143</v>
      </c>
      <c r="U1693" s="2" t="b">
        <v>0</v>
      </c>
      <c r="V1693" s="5">
        <v>0.0056</v>
      </c>
      <c r="W1693" s="5">
        <v>0.0132</v>
      </c>
      <c r="X1693" s="5">
        <v>7.4E-5</v>
      </c>
      <c r="Y1693" s="2">
        <v>22.36513158</v>
      </c>
      <c r="Z1693" s="2">
        <v>5756.0</v>
      </c>
      <c r="AA1693" s="2" t="s">
        <v>33</v>
      </c>
    </row>
    <row r="1694">
      <c r="A1694" s="2">
        <v>3517.0</v>
      </c>
      <c r="B1694" s="2" t="s">
        <v>4997</v>
      </c>
      <c r="C1694" s="2" t="s">
        <v>7</v>
      </c>
      <c r="D1694" s="2" t="s">
        <v>4998</v>
      </c>
      <c r="E1694" s="2" t="s">
        <v>4999</v>
      </c>
      <c r="F1694" s="3">
        <v>45943.458333333336</v>
      </c>
      <c r="G1694" s="2">
        <v>50316.0</v>
      </c>
      <c r="H1694" s="2">
        <v>50316.0</v>
      </c>
      <c r="I1694" s="2">
        <v>40080.0</v>
      </c>
      <c r="J1694" s="2">
        <v>286.0</v>
      </c>
      <c r="K1694" s="2">
        <v>224.0</v>
      </c>
      <c r="L1694" s="2">
        <v>2.0</v>
      </c>
      <c r="M1694" s="4">
        <v>17258.0</v>
      </c>
      <c r="N1694" s="2" t="s">
        <v>36</v>
      </c>
      <c r="O1694" s="2">
        <v>71.0</v>
      </c>
      <c r="P1694" s="2" t="s">
        <v>189</v>
      </c>
      <c r="Q1694" s="2" t="s">
        <v>32</v>
      </c>
      <c r="R1694" s="2">
        <v>37.0</v>
      </c>
      <c r="T1694" s="2" t="s">
        <v>47</v>
      </c>
      <c r="U1694" s="2" t="b">
        <v>0</v>
      </c>
      <c r="V1694" s="5">
        <v>0.0056</v>
      </c>
      <c r="W1694" s="5">
        <v>0.0089</v>
      </c>
      <c r="X1694" s="5">
        <v>5.0E-5</v>
      </c>
      <c r="Y1694" s="2">
        <v>77.04464286</v>
      </c>
      <c r="AA1694" s="2" t="s">
        <v>33</v>
      </c>
    </row>
    <row r="1695">
      <c r="A1695" s="2">
        <v>3516.0</v>
      </c>
      <c r="B1695" s="2" t="s">
        <v>5000</v>
      </c>
      <c r="C1695" s="2" t="s">
        <v>7</v>
      </c>
      <c r="D1695" s="2" t="s">
        <v>5001</v>
      </c>
      <c r="E1695" s="2" t="s">
        <v>5002</v>
      </c>
      <c r="F1695" s="3">
        <v>45943.458333333336</v>
      </c>
      <c r="G1695" s="2">
        <v>65967.0</v>
      </c>
      <c r="H1695" s="2">
        <v>65967.0</v>
      </c>
      <c r="I1695" s="2">
        <v>53996.0</v>
      </c>
      <c r="J1695" s="2">
        <v>368.0</v>
      </c>
      <c r="K1695" s="2">
        <v>300.0</v>
      </c>
      <c r="L1695" s="2">
        <v>5.0</v>
      </c>
      <c r="M1695" s="4">
        <v>6814.0</v>
      </c>
      <c r="N1695" s="2" t="s">
        <v>30</v>
      </c>
      <c r="O1695" s="2">
        <v>70.0</v>
      </c>
      <c r="P1695" s="2" t="s">
        <v>189</v>
      </c>
      <c r="Q1695" s="2" t="s">
        <v>32</v>
      </c>
      <c r="R1695" s="2">
        <v>40.0</v>
      </c>
      <c r="U1695" s="2" t="b">
        <v>0</v>
      </c>
      <c r="V1695" s="5">
        <v>0.0056</v>
      </c>
      <c r="W1695" s="5">
        <v>0.0167</v>
      </c>
      <c r="X1695" s="5">
        <v>9.3E-5</v>
      </c>
      <c r="Y1695" s="2">
        <v>22.71333333</v>
      </c>
      <c r="Z1695" s="2">
        <v>894.0</v>
      </c>
      <c r="AA1695" s="2" t="s">
        <v>33</v>
      </c>
    </row>
    <row r="1696">
      <c r="A1696" s="2">
        <v>3520.0</v>
      </c>
      <c r="B1696" s="2" t="s">
        <v>5003</v>
      </c>
      <c r="C1696" s="2" t="s">
        <v>7</v>
      </c>
      <c r="D1696" s="2" t="s">
        <v>5004</v>
      </c>
      <c r="E1696" s="2" t="e">
        <v>#N/A</v>
      </c>
      <c r="F1696" s="3">
        <v>45943.625</v>
      </c>
      <c r="G1696" s="2">
        <v>50358.0</v>
      </c>
      <c r="H1696" s="2">
        <v>50358.0</v>
      </c>
      <c r="I1696" s="2">
        <v>40160.0</v>
      </c>
      <c r="J1696" s="2">
        <v>350.0</v>
      </c>
      <c r="K1696" s="2">
        <v>282.0</v>
      </c>
      <c r="L1696" s="2">
        <v>1.0</v>
      </c>
      <c r="M1696" s="4">
        <v>1890.0</v>
      </c>
      <c r="N1696" s="2" t="s">
        <v>36</v>
      </c>
      <c r="O1696" s="2">
        <v>71.0</v>
      </c>
      <c r="P1696" s="2" t="s">
        <v>189</v>
      </c>
      <c r="Q1696" s="2" t="s">
        <v>32</v>
      </c>
      <c r="R1696" s="2">
        <v>24.0</v>
      </c>
      <c r="T1696" s="2" t="s">
        <v>405</v>
      </c>
      <c r="U1696" s="2" t="b">
        <v>1</v>
      </c>
      <c r="V1696" s="5">
        <v>0.007</v>
      </c>
      <c r="W1696" s="5">
        <v>0.0035</v>
      </c>
      <c r="X1696" s="5">
        <v>2.5E-5</v>
      </c>
      <c r="Y1696" s="2">
        <v>6.70212766</v>
      </c>
      <c r="AA1696" s="2" t="s">
        <v>33</v>
      </c>
    </row>
    <row r="1697">
      <c r="A1697" s="2">
        <v>3519.0</v>
      </c>
      <c r="B1697" s="2" t="s">
        <v>5005</v>
      </c>
      <c r="C1697" s="2" t="s">
        <v>7</v>
      </c>
      <c r="D1697" s="2" t="s">
        <v>5006</v>
      </c>
      <c r="E1697" s="2" t="e">
        <v>#N/A</v>
      </c>
      <c r="F1697" s="3">
        <v>45943.625</v>
      </c>
      <c r="G1697" s="2">
        <v>65985.0</v>
      </c>
      <c r="H1697" s="2">
        <v>65985.0</v>
      </c>
      <c r="I1697" s="2">
        <v>54358.0</v>
      </c>
      <c r="J1697" s="2">
        <v>512.0</v>
      </c>
      <c r="K1697" s="2">
        <v>415.0</v>
      </c>
      <c r="L1697" s="2">
        <v>7.0</v>
      </c>
      <c r="M1697" s="4">
        <v>56296.0</v>
      </c>
      <c r="N1697" s="2" t="s">
        <v>30</v>
      </c>
      <c r="O1697" s="2">
        <v>70.0</v>
      </c>
      <c r="P1697" s="2" t="s">
        <v>189</v>
      </c>
      <c r="Q1697" s="2" t="s">
        <v>32</v>
      </c>
      <c r="R1697" s="2">
        <v>28.0</v>
      </c>
      <c r="U1697" s="2" t="b">
        <v>0</v>
      </c>
      <c r="V1697" s="5">
        <v>0.0076</v>
      </c>
      <c r="W1697" s="5">
        <v>0.0169</v>
      </c>
      <c r="X1697" s="5">
        <v>1.29E-4</v>
      </c>
      <c r="Y1697" s="2">
        <v>135.653012</v>
      </c>
      <c r="AA1697" s="2" t="s">
        <v>33</v>
      </c>
    </row>
    <row r="1698">
      <c r="A1698" s="2">
        <v>3522.0</v>
      </c>
      <c r="B1698" s="2" t="s">
        <v>5007</v>
      </c>
      <c r="C1698" s="2" t="s">
        <v>7</v>
      </c>
      <c r="D1698" s="2" t="s">
        <v>5008</v>
      </c>
      <c r="E1698" s="2" t="s">
        <v>5009</v>
      </c>
      <c r="F1698" s="3">
        <v>45943.708333333336</v>
      </c>
      <c r="G1698" s="2">
        <v>50396.0</v>
      </c>
      <c r="H1698" s="2">
        <v>50396.0</v>
      </c>
      <c r="I1698" s="2">
        <v>40101.0</v>
      </c>
      <c r="J1698" s="2">
        <v>250.0</v>
      </c>
      <c r="K1698" s="2">
        <v>185.0</v>
      </c>
      <c r="L1698" s="2">
        <v>2.0</v>
      </c>
      <c r="M1698" s="4">
        <v>3214.0</v>
      </c>
      <c r="N1698" s="2" t="s">
        <v>36</v>
      </c>
      <c r="O1698" s="2">
        <v>71.0</v>
      </c>
      <c r="P1698" s="2" t="s">
        <v>189</v>
      </c>
      <c r="Q1698" s="2" t="s">
        <v>32</v>
      </c>
      <c r="R1698" s="2">
        <v>38.0</v>
      </c>
      <c r="T1698" s="2" t="s">
        <v>5010</v>
      </c>
      <c r="U1698" s="2" t="b">
        <v>1</v>
      </c>
      <c r="V1698" s="5">
        <v>0.0046</v>
      </c>
      <c r="W1698" s="5">
        <v>0.0108</v>
      </c>
      <c r="X1698" s="5">
        <v>5.0E-5</v>
      </c>
      <c r="Y1698" s="2">
        <v>17.37297297</v>
      </c>
      <c r="AA1698" s="2" t="s">
        <v>33</v>
      </c>
    </row>
    <row r="1699">
      <c r="A1699" s="2">
        <v>3521.0</v>
      </c>
      <c r="B1699" s="2" t="s">
        <v>5011</v>
      </c>
      <c r="C1699" s="2" t="s">
        <v>7</v>
      </c>
      <c r="D1699" s="2" t="s">
        <v>5012</v>
      </c>
      <c r="E1699" s="2" t="s">
        <v>5013</v>
      </c>
      <c r="F1699" s="3">
        <v>45943.708333333336</v>
      </c>
      <c r="G1699" s="2">
        <v>66011.0</v>
      </c>
      <c r="H1699" s="2">
        <v>66011.0</v>
      </c>
      <c r="I1699" s="2">
        <v>53726.0</v>
      </c>
      <c r="J1699" s="2">
        <v>376.0</v>
      </c>
      <c r="K1699" s="2">
        <v>306.0</v>
      </c>
      <c r="L1699" s="2">
        <v>8.0</v>
      </c>
      <c r="M1699" s="4">
        <v>22612.0</v>
      </c>
      <c r="N1699" s="2" t="s">
        <v>30</v>
      </c>
      <c r="O1699" s="2">
        <v>70.0</v>
      </c>
      <c r="P1699" s="2" t="s">
        <v>31</v>
      </c>
      <c r="Q1699" s="2" t="s">
        <v>32</v>
      </c>
      <c r="R1699" s="2">
        <v>28.0</v>
      </c>
      <c r="T1699" s="2" t="s">
        <v>58</v>
      </c>
      <c r="U1699" s="2" t="b">
        <v>0</v>
      </c>
      <c r="V1699" s="5">
        <v>0.0057</v>
      </c>
      <c r="W1699" s="5">
        <v>0.0261</v>
      </c>
      <c r="X1699" s="5">
        <v>1.49E-4</v>
      </c>
      <c r="Y1699" s="2">
        <v>73.89542484</v>
      </c>
      <c r="Z1699" s="2">
        <v>4990.0</v>
      </c>
      <c r="AA1699" s="2" t="s">
        <v>33</v>
      </c>
    </row>
    <row r="1700">
      <c r="A1700" s="2">
        <v>3525.0</v>
      </c>
      <c r="B1700" s="2" t="s">
        <v>5014</v>
      </c>
      <c r="C1700" s="2" t="s">
        <v>7</v>
      </c>
      <c r="D1700" s="2" t="s">
        <v>5015</v>
      </c>
      <c r="E1700" s="2" t="s">
        <v>5016</v>
      </c>
      <c r="F1700" s="3">
        <v>45944.604166666664</v>
      </c>
      <c r="G1700" s="2">
        <v>66043.0</v>
      </c>
      <c r="H1700" s="2">
        <v>66043.0</v>
      </c>
      <c r="I1700" s="2">
        <v>54063.0</v>
      </c>
      <c r="J1700" s="2">
        <v>459.0</v>
      </c>
      <c r="K1700" s="2">
        <v>367.0</v>
      </c>
      <c r="L1700" s="2">
        <v>7.0</v>
      </c>
      <c r="M1700" s="4">
        <v>18148.0</v>
      </c>
      <c r="N1700" s="2" t="s">
        <v>30</v>
      </c>
      <c r="O1700" s="2">
        <v>70.0</v>
      </c>
      <c r="P1700" s="2" t="s">
        <v>189</v>
      </c>
      <c r="Q1700" s="2" t="s">
        <v>32</v>
      </c>
      <c r="R1700" s="2">
        <v>35.0</v>
      </c>
      <c r="T1700" s="2" t="s">
        <v>405</v>
      </c>
      <c r="U1700" s="2" t="b">
        <v>0</v>
      </c>
      <c r="V1700" s="5">
        <v>0.0068</v>
      </c>
      <c r="W1700" s="5">
        <v>0.0191</v>
      </c>
      <c r="X1700" s="5">
        <v>1.29E-4</v>
      </c>
      <c r="Y1700" s="2">
        <v>49.44959128</v>
      </c>
      <c r="Z1700" s="2">
        <v>4227.0</v>
      </c>
      <c r="AA1700" s="2" t="s">
        <v>33</v>
      </c>
    </row>
    <row r="1701">
      <c r="A1701" s="2">
        <v>3526.0</v>
      </c>
      <c r="B1701" s="2" t="s">
        <v>5017</v>
      </c>
      <c r="C1701" s="2" t="s">
        <v>7</v>
      </c>
      <c r="D1701" s="2" t="s">
        <v>5018</v>
      </c>
      <c r="E1701" s="2" t="s">
        <v>5019</v>
      </c>
      <c r="F1701" s="3">
        <v>45944.60625</v>
      </c>
      <c r="G1701" s="2">
        <v>50492.0</v>
      </c>
      <c r="H1701" s="2">
        <v>50492.0</v>
      </c>
      <c r="I1701" s="2">
        <v>40312.0</v>
      </c>
      <c r="J1701" s="2">
        <v>350.0</v>
      </c>
      <c r="K1701" s="2">
        <v>254.0</v>
      </c>
      <c r="L1701" s="2">
        <v>5.0</v>
      </c>
      <c r="M1701" s="4">
        <v>10212.0</v>
      </c>
      <c r="N1701" s="2" t="s">
        <v>36</v>
      </c>
      <c r="O1701" s="2">
        <v>71.0</v>
      </c>
      <c r="P1701" s="2" t="s">
        <v>189</v>
      </c>
      <c r="Q1701" s="2" t="s">
        <v>32</v>
      </c>
      <c r="R1701" s="2">
        <v>30.0</v>
      </c>
      <c r="T1701" s="2" t="s">
        <v>5020</v>
      </c>
      <c r="U1701" s="2" t="b">
        <v>1</v>
      </c>
      <c r="V1701" s="5">
        <v>0.0063</v>
      </c>
      <c r="W1701" s="5">
        <v>0.0197</v>
      </c>
      <c r="X1701" s="5">
        <v>1.24E-4</v>
      </c>
      <c r="Y1701" s="2">
        <v>40.20472441</v>
      </c>
      <c r="AA1701" s="2" t="s">
        <v>33</v>
      </c>
    </row>
    <row r="1702">
      <c r="A1702" s="2">
        <v>3528.0</v>
      </c>
      <c r="B1702" s="2" t="s">
        <v>5021</v>
      </c>
      <c r="C1702" s="2" t="s">
        <v>7</v>
      </c>
      <c r="D1702" s="2" t="s">
        <v>5022</v>
      </c>
      <c r="E1702" s="2" t="s">
        <v>5023</v>
      </c>
      <c r="F1702" s="3">
        <v>45944.708333333336</v>
      </c>
      <c r="G1702" s="2">
        <v>50375.0</v>
      </c>
      <c r="H1702" s="2">
        <v>50375.0</v>
      </c>
      <c r="I1702" s="2">
        <v>40522.0</v>
      </c>
      <c r="J1702" s="2">
        <v>312.0</v>
      </c>
      <c r="K1702" s="2">
        <v>232.0</v>
      </c>
      <c r="L1702" s="2">
        <v>3.0</v>
      </c>
      <c r="M1702" s="4">
        <v>13207.0</v>
      </c>
      <c r="N1702" s="2" t="s">
        <v>36</v>
      </c>
      <c r="O1702" s="2">
        <v>71.0</v>
      </c>
      <c r="P1702" s="2" t="s">
        <v>189</v>
      </c>
      <c r="Q1702" s="2" t="s">
        <v>32</v>
      </c>
      <c r="R1702" s="2">
        <v>29.0</v>
      </c>
      <c r="T1702" s="2" t="s">
        <v>1185</v>
      </c>
      <c r="U1702" s="2" t="b">
        <v>1</v>
      </c>
      <c r="V1702" s="5">
        <v>0.0057</v>
      </c>
      <c r="W1702" s="5">
        <v>0.0129</v>
      </c>
      <c r="X1702" s="5">
        <v>7.4E-5</v>
      </c>
      <c r="Y1702" s="2">
        <v>56.92672414</v>
      </c>
      <c r="AA1702" s="2" t="s">
        <v>33</v>
      </c>
    </row>
    <row r="1703">
      <c r="A1703" s="2">
        <v>3527.0</v>
      </c>
      <c r="B1703" s="2" t="s">
        <v>5024</v>
      </c>
      <c r="C1703" s="2" t="s">
        <v>7</v>
      </c>
      <c r="D1703" s="2" t="s">
        <v>2679</v>
      </c>
      <c r="E1703" s="2" t="s">
        <v>5025</v>
      </c>
      <c r="F1703" s="3">
        <v>45944.708333333336</v>
      </c>
      <c r="G1703" s="2">
        <v>65990.0</v>
      </c>
      <c r="H1703" s="2">
        <v>65990.0</v>
      </c>
      <c r="I1703" s="2">
        <v>54217.0</v>
      </c>
      <c r="J1703" s="2">
        <v>357.0</v>
      </c>
      <c r="K1703" s="2">
        <v>284.0</v>
      </c>
      <c r="L1703" s="2">
        <v>5.0</v>
      </c>
      <c r="M1703" s="4">
        <v>14435.0</v>
      </c>
      <c r="N1703" s="2" t="s">
        <v>30</v>
      </c>
      <c r="O1703" s="2">
        <v>70.0</v>
      </c>
      <c r="P1703" s="2" t="s">
        <v>189</v>
      </c>
      <c r="Q1703" s="2" t="s">
        <v>32</v>
      </c>
      <c r="R1703" s="2">
        <v>34.0</v>
      </c>
      <c r="T1703" s="7" t="str">
        <f>IFERROR(__xludf.DUMMYFUNCTION("AI(""has offer Come X Pay X"",D1703)"),"Yes")</f>
        <v>Yes</v>
      </c>
      <c r="U1703" s="2" t="b">
        <v>0</v>
      </c>
      <c r="V1703" s="5">
        <v>0.0052</v>
      </c>
      <c r="W1703" s="5">
        <v>0.0176</v>
      </c>
      <c r="X1703" s="5">
        <v>9.2E-5</v>
      </c>
      <c r="Y1703" s="2">
        <v>50.82746479</v>
      </c>
      <c r="Z1703" s="2">
        <v>5830.0</v>
      </c>
      <c r="AA1703" s="2" t="s">
        <v>33</v>
      </c>
    </row>
    <row r="1704">
      <c r="A1704" s="2">
        <v>3530.0</v>
      </c>
      <c r="B1704" s="2" t="s">
        <v>5026</v>
      </c>
      <c r="C1704" s="2" t="s">
        <v>7</v>
      </c>
      <c r="D1704" s="2" t="s">
        <v>5027</v>
      </c>
      <c r="E1704" s="2" t="s">
        <v>5028</v>
      </c>
      <c r="F1704" s="3">
        <v>45944.791666666664</v>
      </c>
      <c r="G1704" s="2">
        <v>50383.0</v>
      </c>
      <c r="H1704" s="2">
        <v>50383.0</v>
      </c>
      <c r="I1704" s="2">
        <v>40497.0</v>
      </c>
      <c r="J1704" s="2">
        <v>312.0</v>
      </c>
      <c r="K1704" s="2">
        <v>228.0</v>
      </c>
      <c r="L1704" s="2">
        <v>4.0</v>
      </c>
      <c r="M1704" s="4">
        <v>7384.0</v>
      </c>
      <c r="N1704" s="2" t="s">
        <v>36</v>
      </c>
      <c r="O1704" s="2">
        <v>71.0</v>
      </c>
      <c r="P1704" s="2" t="s">
        <v>31</v>
      </c>
      <c r="Q1704" s="2" t="s">
        <v>32</v>
      </c>
      <c r="R1704" s="2">
        <v>30.0</v>
      </c>
      <c r="U1704" s="2" t="b">
        <v>1</v>
      </c>
      <c r="V1704" s="5">
        <v>0.0056</v>
      </c>
      <c r="W1704" s="5">
        <v>0.0175</v>
      </c>
      <c r="X1704" s="5">
        <v>9.9E-5</v>
      </c>
      <c r="Y1704" s="2">
        <v>32.38596491</v>
      </c>
      <c r="AA1704" s="2" t="s">
        <v>33</v>
      </c>
    </row>
    <row r="1705">
      <c r="A1705" s="2">
        <v>3529.0</v>
      </c>
      <c r="B1705" s="2" t="s">
        <v>5029</v>
      </c>
      <c r="C1705" s="2" t="s">
        <v>7</v>
      </c>
      <c r="D1705" s="2" t="s">
        <v>5030</v>
      </c>
      <c r="E1705" s="2" t="s">
        <v>5031</v>
      </c>
      <c r="F1705" s="3">
        <v>45944.791666666664</v>
      </c>
      <c r="G1705" s="2">
        <v>65973.0</v>
      </c>
      <c r="H1705" s="2">
        <v>65973.0</v>
      </c>
      <c r="I1705" s="2">
        <v>54160.0</v>
      </c>
      <c r="J1705" s="2">
        <v>421.0</v>
      </c>
      <c r="K1705" s="2">
        <v>336.0</v>
      </c>
      <c r="L1705" s="2">
        <v>8.0</v>
      </c>
      <c r="M1705" s="4">
        <v>19640.0</v>
      </c>
      <c r="N1705" s="2" t="s">
        <v>30</v>
      </c>
      <c r="O1705" s="2">
        <v>70.0</v>
      </c>
      <c r="P1705" s="2" t="s">
        <v>189</v>
      </c>
      <c r="Q1705" s="2" t="s">
        <v>32</v>
      </c>
      <c r="R1705" s="2">
        <v>29.0</v>
      </c>
      <c r="T1705" s="2" t="s">
        <v>405</v>
      </c>
      <c r="U1705" s="2" t="b">
        <v>0</v>
      </c>
      <c r="V1705" s="5">
        <v>0.0062</v>
      </c>
      <c r="W1705" s="5">
        <v>0.0238</v>
      </c>
      <c r="X1705" s="5">
        <v>1.48E-4</v>
      </c>
      <c r="Y1705" s="2">
        <v>58.45238095</v>
      </c>
      <c r="Z1705" s="2">
        <v>370.0</v>
      </c>
      <c r="AA1705" s="2" t="s">
        <v>33</v>
      </c>
    </row>
    <row r="1706">
      <c r="A1706" s="2">
        <v>3531.0</v>
      </c>
      <c r="B1706" s="2" t="s">
        <v>5032</v>
      </c>
      <c r="C1706" s="2" t="s">
        <v>7</v>
      </c>
      <c r="D1706" s="2" t="s">
        <v>3908</v>
      </c>
      <c r="E1706" s="2" t="e">
        <v>#N/A</v>
      </c>
      <c r="F1706" s="3">
        <v>45945.46527777778</v>
      </c>
      <c r="G1706" s="2">
        <v>65953.0</v>
      </c>
      <c r="H1706" s="2">
        <v>65953.0</v>
      </c>
      <c r="I1706" s="2">
        <v>53778.0</v>
      </c>
      <c r="J1706" s="2">
        <v>278.0</v>
      </c>
      <c r="K1706" s="2">
        <v>221.0</v>
      </c>
      <c r="L1706" s="2">
        <v>5.0</v>
      </c>
      <c r="M1706" s="4">
        <v>8432.0</v>
      </c>
      <c r="N1706" s="2" t="s">
        <v>30</v>
      </c>
      <c r="O1706" s="2">
        <v>70.0</v>
      </c>
      <c r="P1706" s="2" t="s">
        <v>189</v>
      </c>
      <c r="Q1706" s="2" t="s">
        <v>32</v>
      </c>
      <c r="R1706" s="2">
        <v>31.0</v>
      </c>
      <c r="T1706" s="2" t="s">
        <v>47</v>
      </c>
      <c r="U1706" s="2" t="b">
        <v>0</v>
      </c>
      <c r="V1706" s="5">
        <v>0.0041</v>
      </c>
      <c r="W1706" s="5">
        <v>0.0226</v>
      </c>
      <c r="X1706" s="5">
        <v>9.3E-5</v>
      </c>
      <c r="Y1706" s="2">
        <v>38.15384615</v>
      </c>
      <c r="AA1706" s="2" t="s">
        <v>33</v>
      </c>
    </row>
    <row r="1707">
      <c r="A1707" s="2">
        <v>3532.0</v>
      </c>
      <c r="B1707" s="2" t="s">
        <v>5033</v>
      </c>
      <c r="C1707" s="2" t="s">
        <v>7</v>
      </c>
      <c r="D1707" s="2" t="s">
        <v>3333</v>
      </c>
      <c r="E1707" s="2" t="e">
        <v>#N/A</v>
      </c>
      <c r="F1707" s="3">
        <v>45945.467361111114</v>
      </c>
      <c r="G1707" s="2">
        <v>50378.0</v>
      </c>
      <c r="H1707" s="2">
        <v>50378.0</v>
      </c>
      <c r="I1707" s="2">
        <v>40242.0</v>
      </c>
      <c r="J1707" s="2">
        <v>241.0</v>
      </c>
      <c r="K1707" s="2">
        <v>184.0</v>
      </c>
      <c r="L1707" s="2">
        <v>5.0</v>
      </c>
      <c r="M1707" s="4">
        <v>6956.0</v>
      </c>
      <c r="N1707" s="2" t="s">
        <v>36</v>
      </c>
      <c r="O1707" s="2">
        <v>71.0</v>
      </c>
      <c r="P1707" s="2" t="s">
        <v>189</v>
      </c>
      <c r="Q1707" s="2" t="s">
        <v>32</v>
      </c>
      <c r="R1707" s="2">
        <v>43.0</v>
      </c>
      <c r="T1707" s="2" t="s">
        <v>47</v>
      </c>
      <c r="U1707" s="2" t="b">
        <v>0</v>
      </c>
      <c r="V1707" s="5">
        <v>0.0046</v>
      </c>
      <c r="W1707" s="5">
        <v>0.0272</v>
      </c>
      <c r="X1707" s="5">
        <v>1.24E-4</v>
      </c>
      <c r="Y1707" s="2">
        <v>37.80434783</v>
      </c>
      <c r="AA1707" s="2" t="s">
        <v>33</v>
      </c>
    </row>
    <row r="1708">
      <c r="A1708" s="2">
        <v>3537.0</v>
      </c>
      <c r="B1708" s="2" t="s">
        <v>5034</v>
      </c>
      <c r="C1708" s="2" t="s">
        <v>7</v>
      </c>
      <c r="D1708" s="2" t="s">
        <v>5035</v>
      </c>
      <c r="E1708" s="2" t="s">
        <v>5036</v>
      </c>
      <c r="F1708" s="3">
        <v>45945.5</v>
      </c>
      <c r="G1708" s="2">
        <v>7314.0</v>
      </c>
      <c r="H1708" s="2">
        <v>7314.0</v>
      </c>
      <c r="I1708" s="2">
        <v>5710.0</v>
      </c>
      <c r="J1708" s="2">
        <v>87.0</v>
      </c>
      <c r="K1708" s="2">
        <v>67.0</v>
      </c>
      <c r="L1708" s="2">
        <v>1.0</v>
      </c>
      <c r="M1708" s="2">
        <v>144.0</v>
      </c>
      <c r="N1708" s="2" t="s">
        <v>423</v>
      </c>
      <c r="O1708" s="2">
        <v>119.0</v>
      </c>
      <c r="P1708" s="2" t="s">
        <v>189</v>
      </c>
      <c r="Q1708" s="2" t="s">
        <v>1367</v>
      </c>
      <c r="R1708" s="2">
        <v>34.0</v>
      </c>
      <c r="T1708" s="2" t="s">
        <v>47</v>
      </c>
      <c r="U1708" s="2" t="b">
        <v>0</v>
      </c>
      <c r="V1708" s="5">
        <v>0.0117</v>
      </c>
      <c r="W1708" s="5">
        <v>0.0149</v>
      </c>
      <c r="X1708" s="5">
        <v>1.75E-4</v>
      </c>
      <c r="Y1708" s="2">
        <v>2.149253731</v>
      </c>
      <c r="AA1708" s="2" t="s">
        <v>423</v>
      </c>
    </row>
    <row r="1709">
      <c r="A1709" s="2">
        <v>3539.0</v>
      </c>
      <c r="B1709" s="2" t="s">
        <v>5037</v>
      </c>
      <c r="C1709" s="2" t="s">
        <v>7</v>
      </c>
      <c r="D1709" s="2" t="s">
        <v>5038</v>
      </c>
      <c r="E1709" s="2" t="s">
        <v>5039</v>
      </c>
      <c r="F1709" s="3">
        <v>45945.583333333336</v>
      </c>
      <c r="G1709" s="2">
        <v>7276.0</v>
      </c>
      <c r="H1709" s="2">
        <v>7276.0</v>
      </c>
      <c r="I1709" s="2">
        <v>5692.0</v>
      </c>
      <c r="J1709" s="2">
        <v>61.0</v>
      </c>
      <c r="K1709" s="2">
        <v>49.0</v>
      </c>
      <c r="L1709" s="2">
        <v>2.0</v>
      </c>
      <c r="M1709" s="4">
        <v>5672.0</v>
      </c>
      <c r="N1709" s="2" t="s">
        <v>423</v>
      </c>
      <c r="O1709" s="2">
        <v>119.0</v>
      </c>
      <c r="P1709" s="2" t="s">
        <v>31</v>
      </c>
      <c r="Q1709" s="2" t="s">
        <v>1367</v>
      </c>
      <c r="R1709" s="2">
        <v>37.0</v>
      </c>
      <c r="T1709" s="2" t="s">
        <v>5040</v>
      </c>
      <c r="U1709" s="2" t="b">
        <v>0</v>
      </c>
      <c r="V1709" s="5">
        <v>0.0086</v>
      </c>
      <c r="W1709" s="5">
        <v>0.0408</v>
      </c>
      <c r="X1709" s="5">
        <v>3.51E-4</v>
      </c>
      <c r="Y1709" s="2">
        <v>115.755102</v>
      </c>
      <c r="AA1709" s="2" t="s">
        <v>423</v>
      </c>
    </row>
    <row r="1710">
      <c r="A1710" s="2">
        <v>3538.0</v>
      </c>
      <c r="B1710" s="2" t="s">
        <v>5041</v>
      </c>
      <c r="C1710" s="2" t="s">
        <v>7</v>
      </c>
      <c r="D1710" s="2" t="s">
        <v>5042</v>
      </c>
      <c r="E1710" s="2" t="s">
        <v>5043</v>
      </c>
      <c r="F1710" s="3">
        <v>45945.583333333336</v>
      </c>
      <c r="G1710" s="2">
        <v>7276.0</v>
      </c>
      <c r="H1710" s="2">
        <v>7276.0</v>
      </c>
      <c r="I1710" s="2">
        <v>5676.0</v>
      </c>
      <c r="J1710" s="2">
        <v>42.0</v>
      </c>
      <c r="K1710" s="2">
        <v>36.0</v>
      </c>
      <c r="L1710" s="2">
        <v>2.0</v>
      </c>
      <c r="M1710" s="2">
        <v>510.0</v>
      </c>
      <c r="N1710" s="2" t="s">
        <v>423</v>
      </c>
      <c r="O1710" s="2">
        <v>119.0</v>
      </c>
      <c r="P1710" s="2" t="s">
        <v>31</v>
      </c>
      <c r="Q1710" s="2" t="s">
        <v>1367</v>
      </c>
      <c r="R1710" s="2">
        <v>42.0</v>
      </c>
      <c r="T1710" s="7" t="str">
        <f>IFERROR(__xludf.DUMMYFUNCTION("AI(""has offer Come X Pay X"",D1710)"),"Value-oriented, Emoji Use")</f>
        <v>Value-oriented, Emoji Use</v>
      </c>
      <c r="U1710" s="2" t="b">
        <v>0</v>
      </c>
      <c r="V1710" s="5">
        <v>0.0063</v>
      </c>
      <c r="W1710" s="5">
        <v>0.0556</v>
      </c>
      <c r="X1710" s="5">
        <v>3.52E-4</v>
      </c>
      <c r="Y1710" s="2">
        <v>14.16666667</v>
      </c>
      <c r="AA1710" s="2" t="s">
        <v>423</v>
      </c>
    </row>
    <row r="1711">
      <c r="A1711" s="2">
        <v>3534.0</v>
      </c>
      <c r="B1711" s="2" t="s">
        <v>5044</v>
      </c>
      <c r="C1711" s="2" t="s">
        <v>7</v>
      </c>
      <c r="D1711" s="2" t="s">
        <v>5045</v>
      </c>
      <c r="E1711" s="2" t="e">
        <v>#N/A</v>
      </c>
      <c r="F1711" s="3">
        <v>45945.625</v>
      </c>
      <c r="G1711" s="2">
        <v>50363.0</v>
      </c>
      <c r="H1711" s="2">
        <v>50363.0</v>
      </c>
      <c r="I1711" s="2">
        <v>40472.0</v>
      </c>
      <c r="J1711" s="2">
        <v>312.0</v>
      </c>
      <c r="K1711" s="2">
        <v>226.0</v>
      </c>
      <c r="L1711" s="2">
        <v>5.0</v>
      </c>
      <c r="M1711" s="4">
        <v>25771.0</v>
      </c>
      <c r="N1711" s="2" t="s">
        <v>36</v>
      </c>
      <c r="O1711" s="2">
        <v>71.0</v>
      </c>
      <c r="P1711" s="2" t="s">
        <v>189</v>
      </c>
      <c r="Q1711" s="2" t="s">
        <v>32</v>
      </c>
      <c r="R1711" s="2">
        <v>24.0</v>
      </c>
      <c r="T1711" s="2" t="s">
        <v>58</v>
      </c>
      <c r="U1711" s="2" t="b">
        <v>1</v>
      </c>
      <c r="V1711" s="5">
        <v>0.0056</v>
      </c>
      <c r="W1711" s="5">
        <v>0.0221</v>
      </c>
      <c r="X1711" s="5">
        <v>1.24E-4</v>
      </c>
      <c r="Y1711" s="2">
        <v>114.0309735</v>
      </c>
      <c r="AA1711" s="2" t="s">
        <v>33</v>
      </c>
    </row>
    <row r="1712">
      <c r="A1712" s="2">
        <v>3533.0</v>
      </c>
      <c r="B1712" s="2" t="s">
        <v>5046</v>
      </c>
      <c r="C1712" s="2" t="s">
        <v>7</v>
      </c>
      <c r="D1712" s="2" t="s">
        <v>5047</v>
      </c>
      <c r="E1712" s="2" t="e">
        <v>#N/A</v>
      </c>
      <c r="F1712" s="3">
        <v>45945.625</v>
      </c>
      <c r="G1712" s="2">
        <v>65918.0</v>
      </c>
      <c r="H1712" s="2">
        <v>65918.0</v>
      </c>
      <c r="I1712" s="2">
        <v>54056.0</v>
      </c>
      <c r="J1712" s="2">
        <v>417.0</v>
      </c>
      <c r="K1712" s="2">
        <v>323.0</v>
      </c>
      <c r="L1712" s="2">
        <v>6.0</v>
      </c>
      <c r="M1712" s="4">
        <v>18182.0</v>
      </c>
      <c r="N1712" s="2" t="s">
        <v>30</v>
      </c>
      <c r="O1712" s="2">
        <v>70.0</v>
      </c>
      <c r="P1712" s="2" t="s">
        <v>189</v>
      </c>
      <c r="Q1712" s="2" t="s">
        <v>32</v>
      </c>
      <c r="R1712" s="2">
        <v>24.0</v>
      </c>
      <c r="T1712" s="2" t="s">
        <v>58</v>
      </c>
      <c r="U1712" s="2" t="b">
        <v>0</v>
      </c>
      <c r="V1712" s="5">
        <v>0.006</v>
      </c>
      <c r="W1712" s="5">
        <v>0.0186</v>
      </c>
      <c r="X1712" s="5">
        <v>1.11E-4</v>
      </c>
      <c r="Y1712" s="2">
        <v>56.29102167</v>
      </c>
      <c r="AA1712" s="2" t="s">
        <v>33</v>
      </c>
    </row>
    <row r="1713">
      <c r="A1713" s="2">
        <v>3536.0</v>
      </c>
      <c r="B1713" s="2" t="s">
        <v>5048</v>
      </c>
      <c r="C1713" s="2" t="s">
        <v>7</v>
      </c>
      <c r="D1713" s="2" t="s">
        <v>5049</v>
      </c>
      <c r="E1713" s="2" t="s">
        <v>5050</v>
      </c>
      <c r="F1713" s="3">
        <v>45945.708333333336</v>
      </c>
      <c r="G1713" s="2">
        <v>50332.0</v>
      </c>
      <c r="H1713" s="2">
        <v>50332.0</v>
      </c>
      <c r="I1713" s="2">
        <v>40556.0</v>
      </c>
      <c r="J1713" s="2">
        <v>255.0</v>
      </c>
      <c r="K1713" s="2">
        <v>186.0</v>
      </c>
      <c r="L1713" s="2">
        <v>5.0</v>
      </c>
      <c r="M1713" s="4">
        <v>8834.0</v>
      </c>
      <c r="N1713" s="2" t="s">
        <v>36</v>
      </c>
      <c r="O1713" s="2">
        <v>71.0</v>
      </c>
      <c r="P1713" s="2" t="s">
        <v>31</v>
      </c>
      <c r="Q1713" s="2" t="s">
        <v>32</v>
      </c>
      <c r="R1713" s="2">
        <v>29.0</v>
      </c>
      <c r="T1713" s="2" t="s">
        <v>162</v>
      </c>
      <c r="U1713" s="2" t="b">
        <v>0</v>
      </c>
      <c r="V1713" s="5">
        <v>0.0046</v>
      </c>
      <c r="W1713" s="5">
        <v>0.0269</v>
      </c>
      <c r="X1713" s="5">
        <v>1.23E-4</v>
      </c>
      <c r="Y1713" s="2">
        <v>47.49462366</v>
      </c>
      <c r="AA1713" s="2" t="s">
        <v>33</v>
      </c>
    </row>
    <row r="1714">
      <c r="A1714" s="2">
        <v>3535.0</v>
      </c>
      <c r="B1714" s="2" t="s">
        <v>5051</v>
      </c>
      <c r="C1714" s="2" t="s">
        <v>7</v>
      </c>
      <c r="D1714" s="2" t="s">
        <v>5052</v>
      </c>
      <c r="E1714" s="2" t="s">
        <v>5053</v>
      </c>
      <c r="F1714" s="3">
        <v>45945.708333333336</v>
      </c>
      <c r="G1714" s="2">
        <v>65910.0</v>
      </c>
      <c r="H1714" s="2">
        <v>65910.0</v>
      </c>
      <c r="I1714" s="2">
        <v>54251.0</v>
      </c>
      <c r="J1714" s="2">
        <v>305.0</v>
      </c>
      <c r="K1714" s="2">
        <v>237.0</v>
      </c>
      <c r="L1714" s="2">
        <v>4.0</v>
      </c>
      <c r="M1714" s="4">
        <v>11061.0</v>
      </c>
      <c r="N1714" s="2" t="s">
        <v>30</v>
      </c>
      <c r="O1714" s="2">
        <v>70.0</v>
      </c>
      <c r="P1714" s="2" t="s">
        <v>31</v>
      </c>
      <c r="Q1714" s="2" t="s">
        <v>32</v>
      </c>
      <c r="R1714" s="2">
        <v>24.0</v>
      </c>
      <c r="T1714" s="2" t="s">
        <v>47</v>
      </c>
      <c r="U1714" s="2" t="b">
        <v>0</v>
      </c>
      <c r="V1714" s="5">
        <v>0.0044</v>
      </c>
      <c r="W1714" s="5">
        <v>0.0169</v>
      </c>
      <c r="X1714" s="5">
        <v>7.4E-5</v>
      </c>
      <c r="Y1714" s="2">
        <v>46.67088608</v>
      </c>
      <c r="Z1714" s="2">
        <v>1648.0</v>
      </c>
      <c r="AA1714" s="2" t="s">
        <v>33</v>
      </c>
    </row>
    <row r="1715">
      <c r="A1715" s="2">
        <v>3541.0</v>
      </c>
      <c r="B1715" s="2" t="s">
        <v>5054</v>
      </c>
      <c r="C1715" s="2" t="s">
        <v>7</v>
      </c>
      <c r="D1715" s="2" t="s">
        <v>5055</v>
      </c>
      <c r="E1715" s="2" t="s">
        <v>5056</v>
      </c>
      <c r="F1715" s="3">
        <v>45946.458333333336</v>
      </c>
      <c r="G1715" s="2">
        <v>50436.0</v>
      </c>
      <c r="H1715" s="2">
        <v>50436.0</v>
      </c>
      <c r="I1715" s="2">
        <v>40231.0</v>
      </c>
      <c r="J1715" s="2">
        <v>303.0</v>
      </c>
      <c r="K1715" s="2">
        <v>224.0</v>
      </c>
      <c r="L1715" s="2">
        <v>3.0</v>
      </c>
      <c r="M1715" s="4">
        <v>4000.0</v>
      </c>
      <c r="N1715" s="2" t="s">
        <v>36</v>
      </c>
      <c r="O1715" s="2">
        <v>71.0</v>
      </c>
      <c r="P1715" s="2" t="s">
        <v>189</v>
      </c>
      <c r="Q1715" s="2" t="s">
        <v>32</v>
      </c>
      <c r="R1715" s="2">
        <v>31.0</v>
      </c>
      <c r="U1715" s="2" t="b">
        <v>1</v>
      </c>
      <c r="V1715" s="5">
        <v>0.0056</v>
      </c>
      <c r="W1715" s="5">
        <v>0.0134</v>
      </c>
      <c r="X1715" s="5">
        <v>7.5E-5</v>
      </c>
      <c r="Y1715" s="2">
        <v>17.85714286</v>
      </c>
      <c r="AA1715" s="2" t="s">
        <v>33</v>
      </c>
    </row>
    <row r="1716">
      <c r="A1716" s="2">
        <v>3540.0</v>
      </c>
      <c r="B1716" s="2" t="s">
        <v>5057</v>
      </c>
      <c r="C1716" s="2" t="s">
        <v>7</v>
      </c>
      <c r="D1716" s="2" t="s">
        <v>5058</v>
      </c>
      <c r="E1716" s="2" t="s">
        <v>5059</v>
      </c>
      <c r="F1716" s="3">
        <v>45946.458333333336</v>
      </c>
      <c r="G1716" s="2">
        <v>65998.0</v>
      </c>
      <c r="H1716" s="2">
        <v>65998.0</v>
      </c>
      <c r="I1716" s="2">
        <v>53938.0</v>
      </c>
      <c r="J1716" s="2">
        <v>325.0</v>
      </c>
      <c r="K1716" s="2">
        <v>260.0</v>
      </c>
      <c r="L1716" s="2">
        <v>11.0</v>
      </c>
      <c r="M1716" s="4">
        <v>21834.0</v>
      </c>
      <c r="N1716" s="2" t="s">
        <v>30</v>
      </c>
      <c r="O1716" s="2">
        <v>70.0</v>
      </c>
      <c r="P1716" s="2" t="s">
        <v>189</v>
      </c>
      <c r="Q1716" s="2" t="s">
        <v>32</v>
      </c>
      <c r="R1716" s="2">
        <v>30.0</v>
      </c>
      <c r="T1716" s="2" t="s">
        <v>58</v>
      </c>
      <c r="U1716" s="2" t="b">
        <v>0</v>
      </c>
      <c r="V1716" s="5">
        <v>0.0048</v>
      </c>
      <c r="W1716" s="5">
        <v>0.0423</v>
      </c>
      <c r="X1716" s="5">
        <v>2.04E-4</v>
      </c>
      <c r="Y1716" s="2">
        <v>83.97692308</v>
      </c>
      <c r="Z1716" s="2">
        <v>2483.0</v>
      </c>
      <c r="AA1716" s="2" t="s">
        <v>33</v>
      </c>
    </row>
    <row r="1717">
      <c r="A1717" s="2">
        <v>3543.0</v>
      </c>
      <c r="B1717" s="2" t="s">
        <v>5060</v>
      </c>
      <c r="C1717" s="2" t="s">
        <v>7</v>
      </c>
      <c r="D1717" s="2" t="s">
        <v>5061</v>
      </c>
      <c r="E1717" s="2" t="s">
        <v>2222</v>
      </c>
      <c r="F1717" s="3">
        <v>45946.625</v>
      </c>
      <c r="G1717" s="2">
        <v>50439.0</v>
      </c>
      <c r="H1717" s="2">
        <v>50439.0</v>
      </c>
      <c r="I1717" s="2">
        <v>40544.0</v>
      </c>
      <c r="J1717" s="2">
        <v>207.0</v>
      </c>
      <c r="K1717" s="2">
        <v>164.0</v>
      </c>
      <c r="L1717" s="2">
        <v>2.0</v>
      </c>
      <c r="M1717" s="4">
        <v>4912.0</v>
      </c>
      <c r="N1717" s="2" t="s">
        <v>36</v>
      </c>
      <c r="O1717" s="2">
        <v>71.0</v>
      </c>
      <c r="P1717" s="2" t="s">
        <v>189</v>
      </c>
      <c r="Q1717" s="2" t="s">
        <v>32</v>
      </c>
      <c r="R1717" s="2">
        <v>47.0</v>
      </c>
      <c r="T1717" s="2" t="s">
        <v>47</v>
      </c>
      <c r="U1717" s="2" t="b">
        <v>0</v>
      </c>
      <c r="V1717" s="5">
        <v>0.004</v>
      </c>
      <c r="W1717" s="5">
        <v>0.0122</v>
      </c>
      <c r="X1717" s="5">
        <v>4.9E-5</v>
      </c>
      <c r="Y1717" s="2">
        <v>29.95121951</v>
      </c>
      <c r="AA1717" s="2" t="s">
        <v>33</v>
      </c>
    </row>
    <row r="1718">
      <c r="A1718" s="2">
        <v>3542.0</v>
      </c>
      <c r="B1718" s="2" t="s">
        <v>5062</v>
      </c>
      <c r="C1718" s="2" t="s">
        <v>7</v>
      </c>
      <c r="D1718" s="2" t="s">
        <v>5063</v>
      </c>
      <c r="E1718" s="2" t="s">
        <v>2226</v>
      </c>
      <c r="F1718" s="3">
        <v>45946.625</v>
      </c>
      <c r="G1718" s="2">
        <v>66000.0</v>
      </c>
      <c r="H1718" s="2">
        <v>66000.0</v>
      </c>
      <c r="I1718" s="2">
        <v>54197.0</v>
      </c>
      <c r="J1718" s="2">
        <v>238.0</v>
      </c>
      <c r="K1718" s="2">
        <v>188.0</v>
      </c>
      <c r="L1718" s="2">
        <v>5.0</v>
      </c>
      <c r="M1718" s="4">
        <v>7988.0</v>
      </c>
      <c r="N1718" s="2" t="s">
        <v>30</v>
      </c>
      <c r="O1718" s="2">
        <v>70.0</v>
      </c>
      <c r="P1718" s="2" t="s">
        <v>189</v>
      </c>
      <c r="Q1718" s="2" t="s">
        <v>32</v>
      </c>
      <c r="R1718" s="2">
        <v>41.0</v>
      </c>
      <c r="T1718" s="2" t="s">
        <v>47</v>
      </c>
      <c r="U1718" s="2" t="b">
        <v>0</v>
      </c>
      <c r="V1718" s="5">
        <v>0.0035</v>
      </c>
      <c r="W1718" s="5">
        <v>0.0266</v>
      </c>
      <c r="X1718" s="5">
        <v>9.2E-5</v>
      </c>
      <c r="Y1718" s="2">
        <v>42.4893617</v>
      </c>
      <c r="AA1718" s="2" t="s">
        <v>33</v>
      </c>
    </row>
    <row r="1719">
      <c r="A1719" s="2">
        <v>3546.0</v>
      </c>
      <c r="B1719" s="2" t="s">
        <v>5064</v>
      </c>
      <c r="C1719" s="2" t="s">
        <v>7</v>
      </c>
      <c r="D1719" s="2" t="s">
        <v>5065</v>
      </c>
      <c r="E1719" s="2" t="s">
        <v>5066</v>
      </c>
      <c r="F1719" s="3">
        <v>45946.64861111111</v>
      </c>
      <c r="G1719" s="2">
        <v>7315.0</v>
      </c>
      <c r="H1719" s="2">
        <v>7315.0</v>
      </c>
      <c r="I1719" s="2">
        <v>5755.0</v>
      </c>
      <c r="J1719" s="2">
        <v>84.0</v>
      </c>
      <c r="K1719" s="2">
        <v>58.0</v>
      </c>
      <c r="L1719" s="2">
        <v>0.0</v>
      </c>
      <c r="M1719" s="2">
        <v>0.0</v>
      </c>
      <c r="N1719" s="2" t="s">
        <v>423</v>
      </c>
      <c r="O1719" s="2">
        <v>119.0</v>
      </c>
      <c r="P1719" s="2" t="s">
        <v>31</v>
      </c>
      <c r="Q1719" s="2" t="s">
        <v>1367</v>
      </c>
      <c r="R1719" s="2">
        <v>41.0</v>
      </c>
      <c r="T1719" s="2" t="s">
        <v>47</v>
      </c>
      <c r="U1719" s="2" t="b">
        <v>0</v>
      </c>
      <c r="V1719" s="5">
        <v>0.0101</v>
      </c>
      <c r="W1719" s="5">
        <v>0.0</v>
      </c>
      <c r="X1719" s="5">
        <v>0.0</v>
      </c>
      <c r="Y1719" s="2">
        <v>0.0</v>
      </c>
      <c r="AA1719" s="2" t="s">
        <v>423</v>
      </c>
    </row>
    <row r="1720">
      <c r="A1720" s="2">
        <v>3545.0</v>
      </c>
      <c r="B1720" s="2" t="s">
        <v>5067</v>
      </c>
      <c r="C1720" s="2" t="s">
        <v>7</v>
      </c>
      <c r="D1720" s="2" t="s">
        <v>5068</v>
      </c>
      <c r="E1720" s="2" t="s">
        <v>5069</v>
      </c>
      <c r="F1720" s="3">
        <v>45946.708333333336</v>
      </c>
      <c r="G1720" s="2">
        <v>50411.0</v>
      </c>
      <c r="H1720" s="2">
        <v>50411.0</v>
      </c>
      <c r="I1720" s="2">
        <v>40409.0</v>
      </c>
      <c r="J1720" s="2">
        <v>246.0</v>
      </c>
      <c r="K1720" s="2">
        <v>178.0</v>
      </c>
      <c r="L1720" s="2">
        <v>3.0</v>
      </c>
      <c r="M1720" s="4">
        <v>9193.0</v>
      </c>
      <c r="N1720" s="2" t="s">
        <v>36</v>
      </c>
      <c r="O1720" s="2">
        <v>71.0</v>
      </c>
      <c r="P1720" s="2" t="s">
        <v>31</v>
      </c>
      <c r="Q1720" s="2" t="s">
        <v>32</v>
      </c>
      <c r="R1720" s="2">
        <v>49.0</v>
      </c>
      <c r="U1720" s="2" t="b">
        <v>0</v>
      </c>
      <c r="V1720" s="5">
        <v>0.0044</v>
      </c>
      <c r="W1720" s="5">
        <v>0.0169</v>
      </c>
      <c r="X1720" s="5">
        <v>7.4E-5</v>
      </c>
      <c r="Y1720" s="2">
        <v>51.64606742</v>
      </c>
      <c r="AA1720" s="2" t="s">
        <v>33</v>
      </c>
    </row>
    <row r="1721">
      <c r="A1721" s="2">
        <v>3547.0</v>
      </c>
      <c r="B1721" s="2" t="s">
        <v>5070</v>
      </c>
      <c r="C1721" s="2" t="s">
        <v>7</v>
      </c>
      <c r="D1721" s="2" t="s">
        <v>5071</v>
      </c>
      <c r="E1721" s="2" t="s">
        <v>5072</v>
      </c>
      <c r="F1721" s="3">
        <v>45946.708333333336</v>
      </c>
      <c r="G1721" s="2">
        <v>7296.0</v>
      </c>
      <c r="H1721" s="2">
        <v>7296.0</v>
      </c>
      <c r="I1721" s="2">
        <v>5758.0</v>
      </c>
      <c r="J1721" s="2">
        <v>45.0</v>
      </c>
      <c r="K1721" s="2">
        <v>33.0</v>
      </c>
      <c r="L1721" s="2">
        <v>0.0</v>
      </c>
      <c r="M1721" s="2">
        <v>0.0</v>
      </c>
      <c r="N1721" s="2" t="s">
        <v>423</v>
      </c>
      <c r="O1721" s="2">
        <v>119.0</v>
      </c>
      <c r="P1721" s="2" t="s">
        <v>31</v>
      </c>
      <c r="Q1721" s="2" t="s">
        <v>1367</v>
      </c>
      <c r="R1721" s="2">
        <v>40.0</v>
      </c>
      <c r="T1721" s="2" t="s">
        <v>47</v>
      </c>
      <c r="U1721" s="2" t="b">
        <v>0</v>
      </c>
      <c r="V1721" s="5">
        <v>0.0057</v>
      </c>
      <c r="W1721" s="5">
        <v>0.0</v>
      </c>
      <c r="X1721" s="5">
        <v>0.0</v>
      </c>
      <c r="Y1721" s="2">
        <v>0.0</v>
      </c>
      <c r="AA1721" s="2" t="s">
        <v>423</v>
      </c>
    </row>
    <row r="1722">
      <c r="A1722" s="2">
        <v>3544.0</v>
      </c>
      <c r="B1722" s="2" t="s">
        <v>5073</v>
      </c>
      <c r="C1722" s="2" t="s">
        <v>7</v>
      </c>
      <c r="D1722" s="2" t="s">
        <v>5074</v>
      </c>
      <c r="E1722" s="2" t="s">
        <v>5075</v>
      </c>
      <c r="F1722" s="3">
        <v>45946.708333333336</v>
      </c>
      <c r="G1722" s="2">
        <v>65957.0</v>
      </c>
      <c r="H1722" s="2">
        <v>65957.0</v>
      </c>
      <c r="I1722" s="2">
        <v>54025.0</v>
      </c>
      <c r="J1722" s="2">
        <v>285.0</v>
      </c>
      <c r="K1722" s="2">
        <v>222.0</v>
      </c>
      <c r="L1722" s="2">
        <v>6.0</v>
      </c>
      <c r="M1722" s="4">
        <v>15028.0</v>
      </c>
      <c r="N1722" s="2" t="s">
        <v>30</v>
      </c>
      <c r="O1722" s="2">
        <v>70.0</v>
      </c>
      <c r="P1722" s="2" t="s">
        <v>31</v>
      </c>
      <c r="Q1722" s="2" t="s">
        <v>32</v>
      </c>
      <c r="R1722" s="2">
        <v>45.0</v>
      </c>
      <c r="T1722" s="2" t="s">
        <v>47</v>
      </c>
      <c r="U1722" s="2" t="b">
        <v>0</v>
      </c>
      <c r="V1722" s="5">
        <v>0.0041</v>
      </c>
      <c r="W1722" s="5">
        <v>0.027</v>
      </c>
      <c r="X1722" s="5">
        <v>1.11E-4</v>
      </c>
      <c r="Y1722" s="2">
        <v>67.69369369</v>
      </c>
      <c r="AA1722" s="2" t="s">
        <v>33</v>
      </c>
    </row>
    <row r="1723">
      <c r="A1723" s="2">
        <v>3548.0</v>
      </c>
      <c r="B1723" s="2" t="s">
        <v>5076</v>
      </c>
      <c r="C1723" s="2" t="s">
        <v>7</v>
      </c>
      <c r="D1723" s="2" t="s">
        <v>5077</v>
      </c>
      <c r="E1723" s="2" t="s">
        <v>5078</v>
      </c>
      <c r="F1723" s="3">
        <v>45946.791666666664</v>
      </c>
      <c r="G1723" s="2">
        <v>7300.0</v>
      </c>
      <c r="H1723" s="2">
        <v>7300.0</v>
      </c>
      <c r="I1723" s="2">
        <v>5759.0</v>
      </c>
      <c r="J1723" s="2">
        <v>192.0</v>
      </c>
      <c r="K1723" s="2">
        <v>147.0</v>
      </c>
      <c r="L1723" s="2">
        <v>1.0</v>
      </c>
      <c r="M1723" s="4">
        <v>2200.0</v>
      </c>
      <c r="N1723" s="2" t="s">
        <v>423</v>
      </c>
      <c r="O1723" s="2">
        <v>119.0</v>
      </c>
      <c r="P1723" s="2" t="s">
        <v>189</v>
      </c>
      <c r="Q1723" s="2" t="s">
        <v>1367</v>
      </c>
      <c r="R1723" s="2">
        <v>45.0</v>
      </c>
      <c r="U1723" s="2" t="b">
        <v>0</v>
      </c>
      <c r="V1723" s="5">
        <v>0.0255</v>
      </c>
      <c r="W1723" s="5">
        <v>0.0068</v>
      </c>
      <c r="X1723" s="5">
        <v>1.74E-4</v>
      </c>
      <c r="Y1723" s="2">
        <v>14.96598639</v>
      </c>
      <c r="AA1723" s="2" t="s">
        <v>423</v>
      </c>
    </row>
    <row r="1724">
      <c r="A1724" s="2">
        <v>3550.0</v>
      </c>
      <c r="B1724" s="2" t="s">
        <v>5079</v>
      </c>
      <c r="C1724" s="2" t="s">
        <v>7</v>
      </c>
      <c r="D1724" s="2" t="s">
        <v>5080</v>
      </c>
      <c r="E1724" s="2" t="s">
        <v>5081</v>
      </c>
      <c r="F1724" s="3">
        <v>45947.458333333336</v>
      </c>
      <c r="G1724" s="2">
        <v>50544.0</v>
      </c>
      <c r="H1724" s="2">
        <v>50544.0</v>
      </c>
      <c r="I1724" s="2">
        <v>40324.0</v>
      </c>
      <c r="J1724" s="2">
        <v>271.0</v>
      </c>
      <c r="K1724" s="2">
        <v>199.0</v>
      </c>
      <c r="L1724" s="2">
        <v>1.0</v>
      </c>
      <c r="M1724" s="4">
        <v>3429.0</v>
      </c>
      <c r="N1724" s="2" t="s">
        <v>36</v>
      </c>
      <c r="O1724" s="2">
        <v>71.0</v>
      </c>
      <c r="P1724" s="2" t="s">
        <v>189</v>
      </c>
      <c r="Q1724" s="2" t="s">
        <v>32</v>
      </c>
      <c r="R1724" s="2">
        <v>39.0</v>
      </c>
      <c r="T1724" s="7" t="str">
        <f>IFERROR(__xludf.DUMMYFUNCTION("AI(""has offer Come X Pay X"",D1724)"),"Yes")</f>
        <v>Yes</v>
      </c>
      <c r="U1724" s="2" t="b">
        <v>1</v>
      </c>
      <c r="V1724" s="5">
        <v>0.0049</v>
      </c>
      <c r="W1724" s="5">
        <v>0.005</v>
      </c>
      <c r="X1724" s="5">
        <v>2.5E-5</v>
      </c>
      <c r="Y1724" s="2">
        <v>17.23115578</v>
      </c>
      <c r="AA1724" s="2" t="s">
        <v>33</v>
      </c>
    </row>
    <row r="1725">
      <c r="A1725" s="2">
        <v>3549.0</v>
      </c>
      <c r="B1725" s="2" t="s">
        <v>5082</v>
      </c>
      <c r="C1725" s="2" t="s">
        <v>7</v>
      </c>
      <c r="D1725" s="2" t="s">
        <v>5083</v>
      </c>
      <c r="E1725" s="2" t="s">
        <v>5084</v>
      </c>
      <c r="F1725" s="3">
        <v>45947.458333333336</v>
      </c>
      <c r="G1725" s="2">
        <v>66038.0</v>
      </c>
      <c r="H1725" s="2">
        <v>66038.0</v>
      </c>
      <c r="I1725" s="2">
        <v>53907.0</v>
      </c>
      <c r="J1725" s="2">
        <v>296.0</v>
      </c>
      <c r="K1725" s="2">
        <v>232.0</v>
      </c>
      <c r="L1725" s="2">
        <v>4.0</v>
      </c>
      <c r="M1725" s="4">
        <v>7844.0</v>
      </c>
      <c r="N1725" s="2" t="s">
        <v>30</v>
      </c>
      <c r="O1725" s="2">
        <v>70.0</v>
      </c>
      <c r="P1725" s="2" t="s">
        <v>189</v>
      </c>
      <c r="Q1725" s="2" t="s">
        <v>32</v>
      </c>
      <c r="R1725" s="2">
        <v>38.0</v>
      </c>
      <c r="T1725" s="7" t="str">
        <f>IFERROR(__xludf.DUMMYFUNCTION("AI(""has offer Come X Pay X"",D1725)"),"Come 4 Pay 3")</f>
        <v>Come 4 Pay 3</v>
      </c>
      <c r="U1725" s="2" t="b">
        <v>0</v>
      </c>
      <c r="V1725" s="5">
        <v>0.0043</v>
      </c>
      <c r="W1725" s="5">
        <v>0.0172</v>
      </c>
      <c r="X1725" s="5">
        <v>7.4E-5</v>
      </c>
      <c r="Y1725" s="2">
        <v>33.81034483</v>
      </c>
      <c r="Z1725" s="2">
        <v>425.0</v>
      </c>
      <c r="AA1725" s="2" t="s">
        <v>33</v>
      </c>
    </row>
    <row r="1726">
      <c r="A1726" s="2">
        <v>3552.0</v>
      </c>
      <c r="B1726" s="2" t="s">
        <v>5085</v>
      </c>
      <c r="C1726" s="2" t="s">
        <v>7</v>
      </c>
      <c r="D1726" s="2" t="s">
        <v>5086</v>
      </c>
      <c r="E1726" s="2" t="s">
        <v>5087</v>
      </c>
      <c r="F1726" s="3">
        <v>45947.625</v>
      </c>
      <c r="G1726" s="2">
        <v>50518.0</v>
      </c>
      <c r="H1726" s="2">
        <v>50518.0</v>
      </c>
      <c r="I1726" s="2">
        <v>40578.0</v>
      </c>
      <c r="J1726" s="2">
        <v>293.0</v>
      </c>
      <c r="K1726" s="2">
        <v>217.0</v>
      </c>
      <c r="L1726" s="2">
        <v>4.0</v>
      </c>
      <c r="M1726" s="4">
        <v>8144.0</v>
      </c>
      <c r="N1726" s="2" t="s">
        <v>36</v>
      </c>
      <c r="O1726" s="2">
        <v>71.0</v>
      </c>
      <c r="P1726" s="2" t="s">
        <v>31</v>
      </c>
      <c r="Q1726" s="2" t="s">
        <v>32</v>
      </c>
      <c r="R1726" s="2">
        <v>52.0</v>
      </c>
      <c r="T1726" s="2" t="s">
        <v>58</v>
      </c>
      <c r="U1726" s="2" t="b">
        <v>1</v>
      </c>
      <c r="V1726" s="5">
        <v>0.0053</v>
      </c>
      <c r="W1726" s="5">
        <v>0.0184</v>
      </c>
      <c r="X1726" s="5">
        <v>9.9E-5</v>
      </c>
      <c r="Y1726" s="2">
        <v>37.52995392</v>
      </c>
      <c r="AA1726" s="2" t="s">
        <v>33</v>
      </c>
    </row>
    <row r="1727">
      <c r="A1727" s="2">
        <v>3551.0</v>
      </c>
      <c r="B1727" s="2" t="s">
        <v>5088</v>
      </c>
      <c r="C1727" s="2" t="s">
        <v>7</v>
      </c>
      <c r="D1727" s="2" t="s">
        <v>5089</v>
      </c>
      <c r="E1727" s="2" t="s">
        <v>5090</v>
      </c>
      <c r="F1727" s="3">
        <v>45947.625</v>
      </c>
      <c r="G1727" s="2">
        <v>66026.0</v>
      </c>
      <c r="H1727" s="2">
        <v>66026.0</v>
      </c>
      <c r="I1727" s="2">
        <v>54079.0</v>
      </c>
      <c r="J1727" s="2">
        <v>401.0</v>
      </c>
      <c r="K1727" s="2">
        <v>299.0</v>
      </c>
      <c r="L1727" s="2">
        <v>4.0</v>
      </c>
      <c r="M1727" s="4">
        <v>7643.0</v>
      </c>
      <c r="N1727" s="2" t="s">
        <v>30</v>
      </c>
      <c r="O1727" s="2">
        <v>70.0</v>
      </c>
      <c r="P1727" s="2" t="s">
        <v>31</v>
      </c>
      <c r="Q1727" s="2" t="s">
        <v>32</v>
      </c>
      <c r="R1727" s="2">
        <v>52.0</v>
      </c>
      <c r="T1727" s="2" t="s">
        <v>58</v>
      </c>
      <c r="U1727" s="2" t="b">
        <v>0</v>
      </c>
      <c r="V1727" s="5">
        <v>0.0055</v>
      </c>
      <c r="W1727" s="5">
        <v>0.0134</v>
      </c>
      <c r="X1727" s="5">
        <v>7.4E-5</v>
      </c>
      <c r="Y1727" s="2">
        <v>25.56187291</v>
      </c>
      <c r="Z1727" s="2">
        <v>1826.0</v>
      </c>
      <c r="AA1727" s="2" t="s">
        <v>33</v>
      </c>
    </row>
    <row r="1728">
      <c r="A1728" s="2">
        <v>3554.0</v>
      </c>
      <c r="B1728" s="2" t="s">
        <v>5091</v>
      </c>
      <c r="C1728" s="2" t="s">
        <v>7</v>
      </c>
      <c r="D1728" s="2" t="s">
        <v>5092</v>
      </c>
      <c r="E1728" s="2" t="s">
        <v>5093</v>
      </c>
      <c r="F1728" s="3">
        <v>45947.708333333336</v>
      </c>
      <c r="G1728" s="2">
        <v>50539.0</v>
      </c>
      <c r="H1728" s="2">
        <v>50539.0</v>
      </c>
      <c r="I1728" s="2">
        <v>40614.0</v>
      </c>
      <c r="J1728" s="2">
        <v>273.0</v>
      </c>
      <c r="K1728" s="2">
        <v>195.0</v>
      </c>
      <c r="L1728" s="2">
        <v>5.0</v>
      </c>
      <c r="M1728" s="4">
        <v>8006.0</v>
      </c>
      <c r="N1728" s="2" t="s">
        <v>36</v>
      </c>
      <c r="O1728" s="2">
        <v>71.0</v>
      </c>
      <c r="P1728" s="2" t="s">
        <v>189</v>
      </c>
      <c r="Q1728" s="2" t="s">
        <v>32</v>
      </c>
      <c r="R1728" s="2">
        <v>47.0</v>
      </c>
      <c r="U1728" s="2" t="b">
        <v>0</v>
      </c>
      <c r="V1728" s="5">
        <v>0.0048</v>
      </c>
      <c r="W1728" s="5">
        <v>0.0256</v>
      </c>
      <c r="X1728" s="5">
        <v>1.23E-4</v>
      </c>
      <c r="Y1728" s="2">
        <v>41.05641026</v>
      </c>
      <c r="AA1728" s="2" t="s">
        <v>33</v>
      </c>
    </row>
    <row r="1729">
      <c r="A1729" s="2">
        <v>3553.0</v>
      </c>
      <c r="B1729" s="2" t="s">
        <v>5094</v>
      </c>
      <c r="C1729" s="2" t="s">
        <v>7</v>
      </c>
      <c r="D1729" s="2" t="s">
        <v>5095</v>
      </c>
      <c r="E1729" s="2" t="s">
        <v>5096</v>
      </c>
      <c r="F1729" s="3">
        <v>45947.708333333336</v>
      </c>
      <c r="G1729" s="2">
        <v>66024.0</v>
      </c>
      <c r="H1729" s="2">
        <v>66024.0</v>
      </c>
      <c r="I1729" s="2">
        <v>54235.0</v>
      </c>
      <c r="J1729" s="2">
        <v>284.0</v>
      </c>
      <c r="K1729" s="2">
        <v>216.0</v>
      </c>
      <c r="L1729" s="2">
        <v>0.0</v>
      </c>
      <c r="M1729" s="2">
        <v>0.0</v>
      </c>
      <c r="N1729" s="2" t="s">
        <v>30</v>
      </c>
      <c r="O1729" s="2">
        <v>70.0</v>
      </c>
      <c r="P1729" s="2" t="s">
        <v>189</v>
      </c>
      <c r="Q1729" s="2" t="s">
        <v>32</v>
      </c>
      <c r="R1729" s="2">
        <v>47.0</v>
      </c>
      <c r="U1729" s="2" t="b">
        <v>0</v>
      </c>
      <c r="V1729" s="5">
        <v>0.004</v>
      </c>
      <c r="W1729" s="5">
        <v>0.0</v>
      </c>
      <c r="X1729" s="5">
        <v>0.0</v>
      </c>
      <c r="Y1729" s="2">
        <v>0.0</v>
      </c>
      <c r="AA1729" s="2" t="s">
        <v>33</v>
      </c>
    </row>
    <row r="1730">
      <c r="A1730" s="2">
        <v>3567.0</v>
      </c>
      <c r="B1730" s="2" t="s">
        <v>5097</v>
      </c>
      <c r="C1730" s="2" t="s">
        <v>7</v>
      </c>
      <c r="D1730" s="2" t="s">
        <v>5098</v>
      </c>
      <c r="E1730" s="2" t="s">
        <v>5099</v>
      </c>
      <c r="F1730" s="3">
        <v>45947.790972222225</v>
      </c>
      <c r="G1730" s="2">
        <v>7381.0</v>
      </c>
      <c r="H1730" s="2">
        <v>7381.0</v>
      </c>
      <c r="I1730" s="2">
        <v>5789.0</v>
      </c>
      <c r="J1730" s="2">
        <v>60.0</v>
      </c>
      <c r="K1730" s="2">
        <v>46.0</v>
      </c>
      <c r="L1730" s="2">
        <v>1.0</v>
      </c>
      <c r="M1730" s="2">
        <v>429.0</v>
      </c>
      <c r="N1730" s="2" t="s">
        <v>423</v>
      </c>
      <c r="O1730" s="2">
        <v>119.0</v>
      </c>
      <c r="P1730" s="2" t="s">
        <v>189</v>
      </c>
      <c r="Q1730" s="2" t="s">
        <v>1367</v>
      </c>
      <c r="R1730" s="2">
        <v>41.0</v>
      </c>
      <c r="T1730" s="2" t="s">
        <v>47</v>
      </c>
      <c r="U1730" s="2" t="b">
        <v>0</v>
      </c>
      <c r="V1730" s="5">
        <v>0.0079</v>
      </c>
      <c r="W1730" s="5">
        <v>0.0217</v>
      </c>
      <c r="X1730" s="5">
        <v>1.73E-4</v>
      </c>
      <c r="Y1730" s="2">
        <v>9.326086957</v>
      </c>
      <c r="AA1730" s="2" t="s">
        <v>423</v>
      </c>
    </row>
    <row r="1731">
      <c r="A1731" s="2">
        <v>3556.0</v>
      </c>
      <c r="B1731" s="2" t="s">
        <v>5100</v>
      </c>
      <c r="C1731" s="2" t="s">
        <v>7</v>
      </c>
      <c r="D1731" s="2" t="s">
        <v>5101</v>
      </c>
      <c r="E1731" s="2" t="s">
        <v>5102</v>
      </c>
      <c r="F1731" s="3">
        <v>45948.458333333336</v>
      </c>
      <c r="G1731" s="2">
        <v>50648.0</v>
      </c>
      <c r="H1731" s="2">
        <v>50648.0</v>
      </c>
      <c r="I1731" s="2">
        <v>40184.0</v>
      </c>
      <c r="J1731" s="2">
        <v>221.0</v>
      </c>
      <c r="K1731" s="2">
        <v>174.0</v>
      </c>
      <c r="L1731" s="2">
        <v>1.0</v>
      </c>
      <c r="M1731" s="4">
        <v>2790.0</v>
      </c>
      <c r="N1731" s="2" t="s">
        <v>36</v>
      </c>
      <c r="O1731" s="2">
        <v>71.0</v>
      </c>
      <c r="P1731" s="2" t="s">
        <v>189</v>
      </c>
      <c r="Q1731" s="2" t="s">
        <v>32</v>
      </c>
      <c r="R1731" s="2">
        <v>44.0</v>
      </c>
      <c r="T1731" s="2" t="s">
        <v>47</v>
      </c>
      <c r="U1731" s="2" t="b">
        <v>0</v>
      </c>
      <c r="V1731" s="5">
        <v>0.0043</v>
      </c>
      <c r="W1731" s="5">
        <v>0.0057</v>
      </c>
      <c r="X1731" s="5">
        <v>2.5E-5</v>
      </c>
      <c r="Y1731" s="2">
        <v>16.03448276</v>
      </c>
      <c r="AA1731" s="2" t="s">
        <v>33</v>
      </c>
    </row>
    <row r="1732">
      <c r="A1732" s="2">
        <v>3555.0</v>
      </c>
      <c r="B1732" s="2" t="s">
        <v>5103</v>
      </c>
      <c r="C1732" s="2" t="s">
        <v>7</v>
      </c>
      <c r="D1732" s="2" t="s">
        <v>5104</v>
      </c>
      <c r="E1732" s="2" t="s">
        <v>5105</v>
      </c>
      <c r="F1732" s="3">
        <v>45948.458333333336</v>
      </c>
      <c r="G1732" s="2">
        <v>66167.0</v>
      </c>
      <c r="H1732" s="2">
        <v>66167.0</v>
      </c>
      <c r="I1732" s="2">
        <v>53981.0</v>
      </c>
      <c r="J1732" s="2">
        <v>302.0</v>
      </c>
      <c r="K1732" s="2">
        <v>247.0</v>
      </c>
      <c r="L1732" s="2">
        <v>3.0</v>
      </c>
      <c r="M1732" s="4">
        <v>4085.0</v>
      </c>
      <c r="N1732" s="2" t="s">
        <v>30</v>
      </c>
      <c r="O1732" s="2">
        <v>70.0</v>
      </c>
      <c r="P1732" s="2" t="s">
        <v>189</v>
      </c>
      <c r="Q1732" s="2" t="s">
        <v>32</v>
      </c>
      <c r="R1732" s="2">
        <v>44.0</v>
      </c>
      <c r="T1732" s="7" t="str">
        <f>IFERROR(__xludf.DUMMYFUNCTION("AI(""has offer Come X Pay X"",D1732)"),"Positive")</f>
        <v>Positive</v>
      </c>
      <c r="U1732" s="2" t="b">
        <v>0</v>
      </c>
      <c r="V1732" s="5">
        <v>0.0046</v>
      </c>
      <c r="W1732" s="5">
        <v>0.0121</v>
      </c>
      <c r="X1732" s="5">
        <v>5.6E-5</v>
      </c>
      <c r="Y1732" s="2">
        <v>16.53846154</v>
      </c>
      <c r="AA1732" s="2" t="s">
        <v>33</v>
      </c>
    </row>
    <row r="1733">
      <c r="A1733" s="2">
        <v>3558.0</v>
      </c>
      <c r="B1733" s="2" t="s">
        <v>5106</v>
      </c>
      <c r="C1733" s="2" t="s">
        <v>7</v>
      </c>
      <c r="D1733" s="2" t="s">
        <v>5107</v>
      </c>
      <c r="E1733" s="2" t="s">
        <v>5108</v>
      </c>
      <c r="F1733" s="3">
        <v>45948.625</v>
      </c>
      <c r="G1733" s="2">
        <v>50716.0</v>
      </c>
      <c r="H1733" s="2">
        <v>50716.0</v>
      </c>
      <c r="I1733" s="2">
        <v>40624.0</v>
      </c>
      <c r="J1733" s="2">
        <v>258.0</v>
      </c>
      <c r="K1733" s="2">
        <v>200.0</v>
      </c>
      <c r="L1733" s="2">
        <v>2.0</v>
      </c>
      <c r="M1733" s="4">
        <v>4188.0</v>
      </c>
      <c r="N1733" s="2" t="s">
        <v>36</v>
      </c>
      <c r="O1733" s="2">
        <v>71.0</v>
      </c>
      <c r="P1733" s="2" t="s">
        <v>31</v>
      </c>
      <c r="Q1733" s="2" t="s">
        <v>32</v>
      </c>
      <c r="R1733" s="2">
        <v>39.0</v>
      </c>
      <c r="T1733" s="2" t="s">
        <v>47</v>
      </c>
      <c r="U1733" s="2" t="b">
        <v>0</v>
      </c>
      <c r="V1733" s="5">
        <v>0.0049</v>
      </c>
      <c r="W1733" s="5">
        <v>0.01</v>
      </c>
      <c r="X1733" s="5">
        <v>4.9E-5</v>
      </c>
      <c r="Y1733" s="2">
        <v>20.94</v>
      </c>
      <c r="AA1733" s="2" t="s">
        <v>33</v>
      </c>
    </row>
    <row r="1734">
      <c r="A1734" s="2">
        <v>3557.0</v>
      </c>
      <c r="B1734" s="2" t="s">
        <v>5109</v>
      </c>
      <c r="C1734" s="2" t="s">
        <v>7</v>
      </c>
      <c r="D1734" s="2" t="s">
        <v>5110</v>
      </c>
      <c r="E1734" s="2" t="s">
        <v>5111</v>
      </c>
      <c r="F1734" s="3">
        <v>45948.625</v>
      </c>
      <c r="G1734" s="2">
        <v>66220.0</v>
      </c>
      <c r="H1734" s="2">
        <v>66220.0</v>
      </c>
      <c r="I1734" s="2">
        <v>54146.0</v>
      </c>
      <c r="J1734" s="2">
        <v>310.0</v>
      </c>
      <c r="K1734" s="2">
        <v>236.0</v>
      </c>
      <c r="L1734" s="2">
        <v>3.0</v>
      </c>
      <c r="M1734" s="4">
        <v>6315.0</v>
      </c>
      <c r="N1734" s="2" t="s">
        <v>30</v>
      </c>
      <c r="O1734" s="2">
        <v>70.0</v>
      </c>
      <c r="P1734" s="2" t="s">
        <v>189</v>
      </c>
      <c r="Q1734" s="2" t="s">
        <v>32</v>
      </c>
      <c r="R1734" s="2">
        <v>44.0</v>
      </c>
      <c r="T1734" s="2" t="s">
        <v>47</v>
      </c>
      <c r="U1734" s="2" t="b">
        <v>0</v>
      </c>
      <c r="V1734" s="5">
        <v>0.0044</v>
      </c>
      <c r="W1734" s="5">
        <v>0.0127</v>
      </c>
      <c r="X1734" s="5">
        <v>5.5E-5</v>
      </c>
      <c r="Y1734" s="2">
        <v>26.75847458</v>
      </c>
      <c r="Z1734" s="2">
        <v>6097.0</v>
      </c>
      <c r="AA1734" s="2" t="s">
        <v>33</v>
      </c>
    </row>
    <row r="1735">
      <c r="A1735" s="2">
        <v>3560.0</v>
      </c>
      <c r="B1735" s="2" t="s">
        <v>5112</v>
      </c>
      <c r="C1735" s="2" t="s">
        <v>7</v>
      </c>
      <c r="D1735" s="2" t="s">
        <v>5113</v>
      </c>
      <c r="E1735" s="2" t="s">
        <v>5114</v>
      </c>
      <c r="F1735" s="3">
        <v>45948.708333333336</v>
      </c>
      <c r="G1735" s="2">
        <v>50673.0</v>
      </c>
      <c r="H1735" s="2">
        <v>50673.0</v>
      </c>
      <c r="I1735" s="2">
        <v>40482.0</v>
      </c>
      <c r="J1735" s="2">
        <v>294.0</v>
      </c>
      <c r="K1735" s="2">
        <v>222.0</v>
      </c>
      <c r="L1735" s="2">
        <v>1.0</v>
      </c>
      <c r="M1735" s="4">
        <v>1081.0</v>
      </c>
      <c r="N1735" s="2" t="s">
        <v>36</v>
      </c>
      <c r="O1735" s="2">
        <v>71.0</v>
      </c>
      <c r="P1735" s="2" t="s">
        <v>189</v>
      </c>
      <c r="Q1735" s="2" t="s">
        <v>32</v>
      </c>
      <c r="R1735" s="2">
        <v>36.0</v>
      </c>
      <c r="U1735" s="2" t="b">
        <v>1</v>
      </c>
      <c r="V1735" s="5">
        <v>0.0055</v>
      </c>
      <c r="W1735" s="5">
        <v>0.0045</v>
      </c>
      <c r="X1735" s="5">
        <v>2.5E-5</v>
      </c>
      <c r="Y1735" s="2">
        <v>4.869369369</v>
      </c>
      <c r="AA1735" s="2" t="s">
        <v>33</v>
      </c>
    </row>
    <row r="1736">
      <c r="A1736" s="2">
        <v>3559.0</v>
      </c>
      <c r="B1736" s="2" t="s">
        <v>5115</v>
      </c>
      <c r="C1736" s="2" t="s">
        <v>7</v>
      </c>
      <c r="D1736" s="2" t="s">
        <v>5116</v>
      </c>
      <c r="E1736" s="2" t="s">
        <v>5117</v>
      </c>
      <c r="F1736" s="3">
        <v>45948.708333333336</v>
      </c>
      <c r="G1736" s="2">
        <v>66201.0</v>
      </c>
      <c r="H1736" s="2">
        <v>66201.0</v>
      </c>
      <c r="I1736" s="2">
        <v>54058.0</v>
      </c>
      <c r="J1736" s="2">
        <v>392.0</v>
      </c>
      <c r="K1736" s="2">
        <v>313.0</v>
      </c>
      <c r="L1736" s="2">
        <v>10.0</v>
      </c>
      <c r="M1736" s="4">
        <v>27802.0</v>
      </c>
      <c r="N1736" s="2" t="s">
        <v>30</v>
      </c>
      <c r="O1736" s="2">
        <v>70.0</v>
      </c>
      <c r="P1736" s="2" t="s">
        <v>189</v>
      </c>
      <c r="Q1736" s="2" t="s">
        <v>32</v>
      </c>
      <c r="R1736" s="2">
        <v>38.0</v>
      </c>
      <c r="T1736" s="2" t="s">
        <v>405</v>
      </c>
      <c r="U1736" s="2" t="b">
        <v>0</v>
      </c>
      <c r="V1736" s="5">
        <v>0.0058</v>
      </c>
      <c r="W1736" s="5">
        <v>0.0319</v>
      </c>
      <c r="X1736" s="5">
        <v>1.85E-4</v>
      </c>
      <c r="Y1736" s="2">
        <v>88.82428115</v>
      </c>
      <c r="Z1736" s="2">
        <v>1841.0</v>
      </c>
      <c r="AA1736" s="2" t="s">
        <v>33</v>
      </c>
    </row>
    <row r="1737">
      <c r="A1737" s="2">
        <v>3562.0</v>
      </c>
      <c r="B1737" s="2" t="s">
        <v>5118</v>
      </c>
      <c r="C1737" s="2" t="s">
        <v>7</v>
      </c>
      <c r="D1737" s="2" t="s">
        <v>5119</v>
      </c>
      <c r="E1737" s="2" t="s">
        <v>5120</v>
      </c>
      <c r="F1737" s="3">
        <v>45949.458333333336</v>
      </c>
      <c r="G1737" s="2">
        <v>50824.0</v>
      </c>
      <c r="H1737" s="2">
        <v>50824.0</v>
      </c>
      <c r="I1737" s="2">
        <v>40388.0</v>
      </c>
      <c r="J1737" s="2">
        <v>363.0</v>
      </c>
      <c r="K1737" s="2">
        <v>271.0</v>
      </c>
      <c r="L1737" s="2">
        <v>4.0</v>
      </c>
      <c r="M1737" s="4">
        <v>18232.0</v>
      </c>
      <c r="N1737" s="2" t="s">
        <v>36</v>
      </c>
      <c r="O1737" s="2">
        <v>71.0</v>
      </c>
      <c r="P1737" s="2" t="s">
        <v>189</v>
      </c>
      <c r="Q1737" s="2" t="s">
        <v>32</v>
      </c>
      <c r="R1737" s="2">
        <v>39.0</v>
      </c>
      <c r="T1737" s="7" t="str">
        <f>IFERROR(__xludf.DUMMYFUNCTION("AI(""has offer Come X Pay X"",D1737)"),"has offer Come X Pay X")</f>
        <v>has offer Come X Pay X</v>
      </c>
      <c r="U1737" s="2" t="b">
        <v>1</v>
      </c>
      <c r="V1737" s="5">
        <v>0.0067</v>
      </c>
      <c r="W1737" s="5">
        <v>0.0148</v>
      </c>
      <c r="X1737" s="5">
        <v>9.9E-5</v>
      </c>
      <c r="Y1737" s="2">
        <v>67.27675277</v>
      </c>
      <c r="AA1737" s="2" t="s">
        <v>33</v>
      </c>
    </row>
    <row r="1738">
      <c r="A1738" s="2">
        <v>3561.0</v>
      </c>
      <c r="B1738" s="2" t="s">
        <v>5121</v>
      </c>
      <c r="C1738" s="2" t="s">
        <v>7</v>
      </c>
      <c r="D1738" s="2" t="s">
        <v>5122</v>
      </c>
      <c r="E1738" s="2" t="s">
        <v>5123</v>
      </c>
      <c r="F1738" s="3">
        <v>45949.458333333336</v>
      </c>
      <c r="G1738" s="2">
        <v>66373.0</v>
      </c>
      <c r="H1738" s="2">
        <v>66373.0</v>
      </c>
      <c r="I1738" s="2">
        <v>53981.0</v>
      </c>
      <c r="J1738" s="2">
        <v>511.0</v>
      </c>
      <c r="K1738" s="2">
        <v>395.0</v>
      </c>
      <c r="L1738" s="2">
        <v>7.0</v>
      </c>
      <c r="M1738" s="4">
        <v>11987.0</v>
      </c>
      <c r="N1738" s="2" t="s">
        <v>30</v>
      </c>
      <c r="O1738" s="2">
        <v>70.0</v>
      </c>
      <c r="P1738" s="2" t="s">
        <v>189</v>
      </c>
      <c r="Q1738" s="2" t="s">
        <v>32</v>
      </c>
      <c r="R1738" s="2">
        <v>41.0</v>
      </c>
      <c r="T1738" s="2" t="s">
        <v>58</v>
      </c>
      <c r="U1738" s="2" t="b">
        <v>0</v>
      </c>
      <c r="V1738" s="5">
        <v>0.0073</v>
      </c>
      <c r="W1738" s="5">
        <v>0.0177</v>
      </c>
      <c r="X1738" s="5">
        <v>1.3E-4</v>
      </c>
      <c r="Y1738" s="2">
        <v>30.34683544</v>
      </c>
      <c r="Z1738" s="2">
        <v>5046.0</v>
      </c>
      <c r="AA1738" s="2" t="s">
        <v>33</v>
      </c>
    </row>
    <row r="1739">
      <c r="A1739" s="2">
        <v>3564.0</v>
      </c>
      <c r="B1739" s="2" t="s">
        <v>5124</v>
      </c>
      <c r="C1739" s="2" t="s">
        <v>7</v>
      </c>
      <c r="D1739" s="2" t="s">
        <v>5125</v>
      </c>
      <c r="E1739" s="2" t="s">
        <v>5126</v>
      </c>
      <c r="F1739" s="3">
        <v>45949.625</v>
      </c>
      <c r="G1739" s="2">
        <v>50830.0</v>
      </c>
      <c r="H1739" s="2">
        <v>50830.0</v>
      </c>
      <c r="I1739" s="2">
        <v>40649.0</v>
      </c>
      <c r="J1739" s="2">
        <v>338.0</v>
      </c>
      <c r="K1739" s="2">
        <v>264.0</v>
      </c>
      <c r="L1739" s="2">
        <v>9.0</v>
      </c>
      <c r="M1739" s="4">
        <v>17571.0</v>
      </c>
      <c r="N1739" s="2" t="s">
        <v>36</v>
      </c>
      <c r="O1739" s="2">
        <v>71.0</v>
      </c>
      <c r="P1739" s="2" t="s">
        <v>31</v>
      </c>
      <c r="Q1739" s="2" t="s">
        <v>32</v>
      </c>
      <c r="R1739" s="2">
        <v>48.0</v>
      </c>
      <c r="T1739" s="2" t="s">
        <v>58</v>
      </c>
      <c r="U1739" s="2" t="b">
        <v>1</v>
      </c>
      <c r="V1739" s="5">
        <v>0.0065</v>
      </c>
      <c r="W1739" s="5">
        <v>0.0341</v>
      </c>
      <c r="X1739" s="5">
        <v>2.21E-4</v>
      </c>
      <c r="Y1739" s="2">
        <v>66.55681818</v>
      </c>
      <c r="AA1739" s="2" t="s">
        <v>33</v>
      </c>
    </row>
    <row r="1740">
      <c r="A1740" s="2">
        <v>3563.0</v>
      </c>
      <c r="B1740" s="2" t="s">
        <v>5127</v>
      </c>
      <c r="C1740" s="2" t="s">
        <v>7</v>
      </c>
      <c r="D1740" s="2" t="s">
        <v>5128</v>
      </c>
      <c r="E1740" s="2" t="s">
        <v>5129</v>
      </c>
      <c r="F1740" s="3">
        <v>45949.625</v>
      </c>
      <c r="G1740" s="2">
        <v>66417.0</v>
      </c>
      <c r="H1740" s="2">
        <v>66417.0</v>
      </c>
      <c r="I1740" s="2">
        <v>54208.0</v>
      </c>
      <c r="J1740" s="2">
        <v>414.0</v>
      </c>
      <c r="K1740" s="2">
        <v>326.0</v>
      </c>
      <c r="L1740" s="2">
        <v>6.0</v>
      </c>
      <c r="M1740" s="4">
        <v>22685.0</v>
      </c>
      <c r="N1740" s="2" t="s">
        <v>30</v>
      </c>
      <c r="O1740" s="2">
        <v>70.0</v>
      </c>
      <c r="P1740" s="2" t="s">
        <v>189</v>
      </c>
      <c r="Q1740" s="2" t="s">
        <v>32</v>
      </c>
      <c r="R1740" s="2">
        <v>48.0</v>
      </c>
      <c r="T1740" s="2" t="s">
        <v>58</v>
      </c>
      <c r="U1740" s="2" t="b">
        <v>0</v>
      </c>
      <c r="V1740" s="5">
        <v>0.006</v>
      </c>
      <c r="W1740" s="5">
        <v>0.0184</v>
      </c>
      <c r="X1740" s="5">
        <v>1.11E-4</v>
      </c>
      <c r="Y1740" s="2">
        <v>69.58588957</v>
      </c>
      <c r="Z1740" s="2">
        <v>1594.0</v>
      </c>
      <c r="AA1740" s="2" t="s">
        <v>33</v>
      </c>
    </row>
    <row r="1741">
      <c r="A1741" s="2">
        <v>3566.0</v>
      </c>
      <c r="B1741" s="2" t="s">
        <v>5130</v>
      </c>
      <c r="C1741" s="2" t="s">
        <v>7</v>
      </c>
      <c r="D1741" s="2" t="s">
        <v>5131</v>
      </c>
      <c r="E1741" s="2" t="s">
        <v>5132</v>
      </c>
      <c r="F1741" s="3">
        <v>45949.708333333336</v>
      </c>
      <c r="G1741" s="2">
        <v>50833.0</v>
      </c>
      <c r="H1741" s="2">
        <v>50833.0</v>
      </c>
      <c r="I1741" s="2">
        <v>40724.0</v>
      </c>
      <c r="J1741" s="2">
        <v>278.0</v>
      </c>
      <c r="K1741" s="2">
        <v>213.0</v>
      </c>
      <c r="L1741" s="2">
        <v>5.0</v>
      </c>
      <c r="M1741" s="4">
        <v>15667.0</v>
      </c>
      <c r="N1741" s="2" t="s">
        <v>36</v>
      </c>
      <c r="O1741" s="2">
        <v>71.0</v>
      </c>
      <c r="P1741" s="2" t="s">
        <v>189</v>
      </c>
      <c r="Q1741" s="2" t="s">
        <v>32</v>
      </c>
      <c r="R1741" s="2">
        <v>39.0</v>
      </c>
      <c r="T1741" s="2" t="s">
        <v>47</v>
      </c>
      <c r="U1741" s="2" t="b">
        <v>0</v>
      </c>
      <c r="V1741" s="5">
        <v>0.0052</v>
      </c>
      <c r="W1741" s="5">
        <v>0.0235</v>
      </c>
      <c r="X1741" s="5">
        <v>1.23E-4</v>
      </c>
      <c r="Y1741" s="2">
        <v>73.55399061</v>
      </c>
      <c r="AA1741" s="2" t="s">
        <v>33</v>
      </c>
    </row>
    <row r="1742">
      <c r="A1742" s="2">
        <v>3565.0</v>
      </c>
      <c r="B1742" s="2" t="s">
        <v>5133</v>
      </c>
      <c r="C1742" s="2" t="s">
        <v>7</v>
      </c>
      <c r="D1742" s="2" t="s">
        <v>5134</v>
      </c>
      <c r="E1742" s="2" t="s">
        <v>5135</v>
      </c>
      <c r="F1742" s="3">
        <v>45949.708333333336</v>
      </c>
      <c r="G1742" s="2">
        <v>66435.0</v>
      </c>
      <c r="H1742" s="2">
        <v>66435.0</v>
      </c>
      <c r="I1742" s="2">
        <v>54149.0</v>
      </c>
      <c r="J1742" s="2">
        <v>330.0</v>
      </c>
      <c r="K1742" s="2">
        <v>258.0</v>
      </c>
      <c r="L1742" s="2">
        <v>3.0</v>
      </c>
      <c r="M1742" s="4">
        <v>5370.0</v>
      </c>
      <c r="N1742" s="2" t="s">
        <v>30</v>
      </c>
      <c r="O1742" s="2">
        <v>70.0</v>
      </c>
      <c r="P1742" s="2" t="s">
        <v>189</v>
      </c>
      <c r="Q1742" s="2" t="s">
        <v>32</v>
      </c>
      <c r="R1742" s="2">
        <v>44.0</v>
      </c>
      <c r="U1742" s="2" t="b">
        <v>0</v>
      </c>
      <c r="V1742" s="5">
        <v>0.0048</v>
      </c>
      <c r="W1742" s="5">
        <v>0.0116</v>
      </c>
      <c r="X1742" s="5">
        <v>5.5E-5</v>
      </c>
      <c r="Y1742" s="2">
        <v>20.81395349</v>
      </c>
      <c r="Z1742" s="2">
        <v>6163.0</v>
      </c>
      <c r="AA1742" s="2" t="s">
        <v>33</v>
      </c>
    </row>
    <row r="1743">
      <c r="A1743" s="2">
        <v>3568.0</v>
      </c>
      <c r="B1743" s="2" t="s">
        <v>5136</v>
      </c>
      <c r="C1743" s="2" t="s">
        <v>7</v>
      </c>
      <c r="D1743" s="2" t="s">
        <v>5137</v>
      </c>
      <c r="E1743" s="2" t="s">
        <v>5138</v>
      </c>
      <c r="F1743" s="3">
        <v>45950.46805555555</v>
      </c>
      <c r="G1743" s="2">
        <v>66564.0</v>
      </c>
      <c r="H1743" s="2">
        <v>66564.0</v>
      </c>
      <c r="I1743" s="2">
        <v>54041.0</v>
      </c>
      <c r="J1743" s="2">
        <v>472.0</v>
      </c>
      <c r="K1743" s="2">
        <v>373.0</v>
      </c>
      <c r="L1743" s="2">
        <v>8.0</v>
      </c>
      <c r="M1743" s="4">
        <v>28395.0</v>
      </c>
      <c r="N1743" s="2" t="s">
        <v>30</v>
      </c>
      <c r="O1743" s="2">
        <v>70.0</v>
      </c>
      <c r="P1743" s="2" t="s">
        <v>189</v>
      </c>
      <c r="Q1743" s="2" t="s">
        <v>32</v>
      </c>
      <c r="R1743" s="2">
        <v>33.0</v>
      </c>
      <c r="U1743" s="2" t="b">
        <v>0</v>
      </c>
      <c r="V1743" s="5">
        <v>0.0069</v>
      </c>
      <c r="W1743" s="5">
        <v>0.0214</v>
      </c>
      <c r="X1743" s="5">
        <v>1.48E-4</v>
      </c>
      <c r="Y1743" s="2">
        <v>76.12600536</v>
      </c>
      <c r="AA1743" s="2" t="s">
        <v>33</v>
      </c>
    </row>
    <row r="1744">
      <c r="A1744" s="2">
        <v>3569.0</v>
      </c>
      <c r="B1744" s="2" t="s">
        <v>5139</v>
      </c>
      <c r="C1744" s="2" t="s">
        <v>7</v>
      </c>
      <c r="D1744" s="2" t="s">
        <v>5140</v>
      </c>
      <c r="E1744" s="2" t="s">
        <v>5141</v>
      </c>
      <c r="F1744" s="3">
        <v>45950.46875</v>
      </c>
      <c r="G1744" s="2">
        <v>50927.0</v>
      </c>
      <c r="H1744" s="2">
        <v>50927.0</v>
      </c>
      <c r="I1744" s="2">
        <v>40338.0</v>
      </c>
      <c r="J1744" s="2">
        <v>358.0</v>
      </c>
      <c r="K1744" s="2">
        <v>288.0</v>
      </c>
      <c r="L1744" s="2">
        <v>9.0</v>
      </c>
      <c r="M1744" s="4">
        <v>17546.0</v>
      </c>
      <c r="N1744" s="2" t="s">
        <v>36</v>
      </c>
      <c r="O1744" s="2">
        <v>71.0</v>
      </c>
      <c r="P1744" s="2" t="s">
        <v>31</v>
      </c>
      <c r="Q1744" s="2" t="s">
        <v>32</v>
      </c>
      <c r="R1744" s="2">
        <v>38.0</v>
      </c>
      <c r="T1744" s="2" t="s">
        <v>58</v>
      </c>
      <c r="U1744" s="2" t="b">
        <v>1</v>
      </c>
      <c r="V1744" s="5">
        <v>0.0071</v>
      </c>
      <c r="W1744" s="5">
        <v>0.0313</v>
      </c>
      <c r="X1744" s="5">
        <v>2.23E-4</v>
      </c>
      <c r="Y1744" s="2">
        <v>60.92361111</v>
      </c>
      <c r="AA1744" s="2" t="s">
        <v>33</v>
      </c>
    </row>
    <row r="1745">
      <c r="A1745" s="2">
        <v>3570.0</v>
      </c>
      <c r="B1745" s="2" t="s">
        <v>5142</v>
      </c>
      <c r="C1745" s="2" t="s">
        <v>7</v>
      </c>
      <c r="D1745" s="2" t="s">
        <v>5143</v>
      </c>
      <c r="E1745" s="2" t="s">
        <v>5144</v>
      </c>
      <c r="F1745" s="3">
        <v>45950.69027777778</v>
      </c>
      <c r="G1745" s="2">
        <v>66565.0</v>
      </c>
      <c r="H1745" s="2">
        <v>66565.0</v>
      </c>
      <c r="I1745" s="2">
        <v>54582.0</v>
      </c>
      <c r="J1745" s="2">
        <v>320.0</v>
      </c>
      <c r="K1745" s="2">
        <v>252.0</v>
      </c>
      <c r="L1745" s="2">
        <v>9.0</v>
      </c>
      <c r="M1745" s="4">
        <v>27836.0</v>
      </c>
      <c r="N1745" s="2" t="s">
        <v>30</v>
      </c>
      <c r="O1745" s="2">
        <v>70.0</v>
      </c>
      <c r="P1745" s="2" t="s">
        <v>189</v>
      </c>
      <c r="Q1745" s="2" t="s">
        <v>32</v>
      </c>
      <c r="R1745" s="2">
        <v>47.0</v>
      </c>
      <c r="T1745" s="2" t="s">
        <v>47</v>
      </c>
      <c r="U1745" s="2" t="b">
        <v>0</v>
      </c>
      <c r="V1745" s="5">
        <v>0.0046</v>
      </c>
      <c r="W1745" s="5">
        <v>0.0357</v>
      </c>
      <c r="X1745" s="5">
        <v>1.65E-4</v>
      </c>
      <c r="Y1745" s="2">
        <v>110.4603175</v>
      </c>
      <c r="AA1745" s="2" t="s">
        <v>33</v>
      </c>
    </row>
    <row r="1746">
      <c r="A1746" s="2">
        <v>3571.0</v>
      </c>
      <c r="B1746" s="2" t="s">
        <v>5145</v>
      </c>
      <c r="C1746" s="2" t="s">
        <v>7</v>
      </c>
      <c r="D1746" s="2" t="s">
        <v>5146</v>
      </c>
      <c r="E1746" s="2" t="s">
        <v>5147</v>
      </c>
      <c r="F1746" s="3">
        <v>45950.69097222222</v>
      </c>
      <c r="G1746" s="2">
        <v>50941.0</v>
      </c>
      <c r="H1746" s="2">
        <v>50941.0</v>
      </c>
      <c r="I1746" s="2">
        <v>40937.0</v>
      </c>
      <c r="J1746" s="2">
        <v>259.0</v>
      </c>
      <c r="K1746" s="2">
        <v>189.0</v>
      </c>
      <c r="L1746" s="2">
        <v>4.0</v>
      </c>
      <c r="M1746" s="4">
        <v>9390.0</v>
      </c>
      <c r="N1746" s="2" t="s">
        <v>36</v>
      </c>
      <c r="O1746" s="2">
        <v>71.0</v>
      </c>
      <c r="P1746" s="2" t="s">
        <v>189</v>
      </c>
      <c r="Q1746" s="2" t="s">
        <v>32</v>
      </c>
      <c r="R1746" s="2">
        <v>47.0</v>
      </c>
      <c r="U1746" s="2" t="b">
        <v>0</v>
      </c>
      <c r="V1746" s="5">
        <v>0.0046</v>
      </c>
      <c r="W1746" s="5">
        <v>0.0212</v>
      </c>
      <c r="X1746" s="5">
        <v>9.8E-5</v>
      </c>
      <c r="Y1746" s="2">
        <v>49.68253968</v>
      </c>
      <c r="AA1746" s="2" t="s">
        <v>33</v>
      </c>
    </row>
    <row r="1747">
      <c r="A1747" s="2">
        <v>3574.0</v>
      </c>
      <c r="B1747" s="2" t="s">
        <v>5148</v>
      </c>
      <c r="C1747" s="2" t="s">
        <v>7</v>
      </c>
      <c r="D1747" s="2" t="s">
        <v>5149</v>
      </c>
      <c r="E1747" s="2" t="s">
        <v>5150</v>
      </c>
      <c r="F1747" s="3">
        <v>45950.70625</v>
      </c>
      <c r="G1747" s="2">
        <v>7353.0</v>
      </c>
      <c r="H1747" s="2">
        <v>7353.0</v>
      </c>
      <c r="I1747" s="2">
        <v>5724.0</v>
      </c>
      <c r="J1747" s="2">
        <v>106.0</v>
      </c>
      <c r="K1747" s="2">
        <v>79.0</v>
      </c>
      <c r="L1747" s="2">
        <v>1.0</v>
      </c>
      <c r="M1747" s="4">
        <v>4528.0</v>
      </c>
      <c r="N1747" s="2" t="s">
        <v>423</v>
      </c>
      <c r="O1747" s="2">
        <v>119.0</v>
      </c>
      <c r="P1747" s="2" t="s">
        <v>31</v>
      </c>
      <c r="Q1747" s="2" t="s">
        <v>1367</v>
      </c>
      <c r="R1747" s="2">
        <v>35.0</v>
      </c>
      <c r="T1747" s="2" t="s">
        <v>5151</v>
      </c>
      <c r="U1747" s="2" t="b">
        <v>0</v>
      </c>
      <c r="V1747" s="5">
        <v>0.0138</v>
      </c>
      <c r="W1747" s="5">
        <v>0.0127</v>
      </c>
      <c r="X1747" s="5">
        <v>1.75E-4</v>
      </c>
      <c r="Y1747" s="2">
        <v>57.3164557</v>
      </c>
      <c r="AA1747" s="2" t="s">
        <v>423</v>
      </c>
    </row>
    <row r="1748">
      <c r="A1748" s="2">
        <v>3573.0</v>
      </c>
      <c r="B1748" s="2" t="s">
        <v>5152</v>
      </c>
      <c r="C1748" s="2" t="s">
        <v>7</v>
      </c>
      <c r="D1748" s="2" t="s">
        <v>5153</v>
      </c>
      <c r="E1748" s="2" t="s">
        <v>5154</v>
      </c>
      <c r="F1748" s="3">
        <v>45950.791666666664</v>
      </c>
      <c r="G1748" s="2">
        <v>50948.0</v>
      </c>
      <c r="H1748" s="2">
        <v>50948.0</v>
      </c>
      <c r="I1748" s="2">
        <v>40936.0</v>
      </c>
      <c r="J1748" s="2">
        <v>275.0</v>
      </c>
      <c r="K1748" s="2">
        <v>201.0</v>
      </c>
      <c r="L1748" s="2">
        <v>4.0</v>
      </c>
      <c r="M1748" s="4">
        <v>19038.0</v>
      </c>
      <c r="N1748" s="2" t="s">
        <v>36</v>
      </c>
      <c r="O1748" s="2">
        <v>71.0</v>
      </c>
      <c r="P1748" s="2" t="s">
        <v>31</v>
      </c>
      <c r="Q1748" s="2" t="s">
        <v>32</v>
      </c>
      <c r="R1748" s="2">
        <v>40.0</v>
      </c>
      <c r="T1748" s="2" t="s">
        <v>47</v>
      </c>
      <c r="U1748" s="2" t="b">
        <v>0</v>
      </c>
      <c r="V1748" s="5">
        <v>0.0049</v>
      </c>
      <c r="W1748" s="5">
        <v>0.0199</v>
      </c>
      <c r="X1748" s="5">
        <v>9.8E-5</v>
      </c>
      <c r="Y1748" s="2">
        <v>94.71641791</v>
      </c>
      <c r="AA1748" s="2" t="s">
        <v>33</v>
      </c>
    </row>
    <row r="1749">
      <c r="A1749" s="2">
        <v>3572.0</v>
      </c>
      <c r="B1749" s="2" t="s">
        <v>5155</v>
      </c>
      <c r="C1749" s="2" t="s">
        <v>7</v>
      </c>
      <c r="D1749" s="2" t="s">
        <v>5156</v>
      </c>
      <c r="E1749" s="2" t="s">
        <v>5157</v>
      </c>
      <c r="F1749" s="3">
        <v>45950.791666666664</v>
      </c>
      <c r="G1749" s="2">
        <v>66577.0</v>
      </c>
      <c r="H1749" s="2">
        <v>66577.0</v>
      </c>
      <c r="I1749" s="2">
        <v>54638.0</v>
      </c>
      <c r="J1749" s="2">
        <v>298.0</v>
      </c>
      <c r="K1749" s="2">
        <v>227.0</v>
      </c>
      <c r="L1749" s="2">
        <v>5.0</v>
      </c>
      <c r="M1749" s="4">
        <v>12582.0</v>
      </c>
      <c r="N1749" s="2" t="s">
        <v>30</v>
      </c>
      <c r="O1749" s="2">
        <v>70.0</v>
      </c>
      <c r="P1749" s="2" t="s">
        <v>31</v>
      </c>
      <c r="Q1749" s="2" t="s">
        <v>32</v>
      </c>
      <c r="R1749" s="2">
        <v>42.0</v>
      </c>
      <c r="T1749" s="2" t="s">
        <v>47</v>
      </c>
      <c r="U1749" s="2" t="b">
        <v>0</v>
      </c>
      <c r="V1749" s="5">
        <v>0.0042</v>
      </c>
      <c r="W1749" s="5">
        <v>0.022</v>
      </c>
      <c r="X1749" s="5">
        <v>9.2E-5</v>
      </c>
      <c r="Y1749" s="2">
        <v>55.42731278</v>
      </c>
      <c r="Z1749" s="2">
        <v>5945.0</v>
      </c>
      <c r="AA1749" s="2" t="s">
        <v>33</v>
      </c>
    </row>
    <row r="1750">
      <c r="A1750" s="2">
        <v>3575.0</v>
      </c>
      <c r="B1750" s="2" t="s">
        <v>5158</v>
      </c>
      <c r="C1750" s="2" t="s">
        <v>7</v>
      </c>
      <c r="D1750" s="2" t="s">
        <v>5159</v>
      </c>
      <c r="E1750" s="2" t="s">
        <v>5160</v>
      </c>
      <c r="F1750" s="3">
        <v>45950.791666666664</v>
      </c>
      <c r="G1750" s="2">
        <v>7339.0</v>
      </c>
      <c r="H1750" s="2">
        <v>7339.0</v>
      </c>
      <c r="I1750" s="2">
        <v>5744.0</v>
      </c>
      <c r="J1750" s="2">
        <v>58.0</v>
      </c>
      <c r="K1750" s="2">
        <v>49.0</v>
      </c>
      <c r="L1750" s="2">
        <v>2.0</v>
      </c>
      <c r="M1750" s="4">
        <v>4805.0</v>
      </c>
      <c r="N1750" s="2" t="s">
        <v>423</v>
      </c>
      <c r="O1750" s="2">
        <v>119.0</v>
      </c>
      <c r="P1750" s="2" t="s">
        <v>31</v>
      </c>
      <c r="Q1750" s="2" t="s">
        <v>1367</v>
      </c>
      <c r="R1750" s="2">
        <v>46.0</v>
      </c>
      <c r="U1750" s="2" t="b">
        <v>0</v>
      </c>
      <c r="V1750" s="5">
        <v>0.0085</v>
      </c>
      <c r="W1750" s="5">
        <v>0.0408</v>
      </c>
      <c r="X1750" s="5">
        <v>3.48E-4</v>
      </c>
      <c r="Y1750" s="2">
        <v>98.06122449</v>
      </c>
      <c r="AA1750" s="2" t="s">
        <v>423</v>
      </c>
    </row>
    <row r="1751">
      <c r="A1751" s="2">
        <v>3577.0</v>
      </c>
      <c r="B1751" s="2" t="s">
        <v>5161</v>
      </c>
      <c r="C1751" s="2" t="s">
        <v>7</v>
      </c>
      <c r="D1751" s="2" t="s">
        <v>5162</v>
      </c>
      <c r="E1751" s="2" t="s">
        <v>5163</v>
      </c>
      <c r="F1751" s="3">
        <v>45951.458333333336</v>
      </c>
      <c r="G1751" s="2">
        <v>51006.0</v>
      </c>
      <c r="H1751" s="2">
        <v>51006.0</v>
      </c>
      <c r="I1751" s="2">
        <v>40659.0</v>
      </c>
      <c r="J1751" s="2">
        <v>244.0</v>
      </c>
      <c r="K1751" s="2">
        <v>170.0</v>
      </c>
      <c r="L1751" s="2">
        <v>1.0</v>
      </c>
      <c r="M1751" s="4">
        <v>7120.0</v>
      </c>
      <c r="N1751" s="2" t="s">
        <v>36</v>
      </c>
      <c r="O1751" s="2">
        <v>71.0</v>
      </c>
      <c r="P1751" s="2" t="s">
        <v>189</v>
      </c>
      <c r="Q1751" s="2" t="s">
        <v>32</v>
      </c>
      <c r="R1751" s="2">
        <v>38.0</v>
      </c>
      <c r="T1751" s="2" t="s">
        <v>47</v>
      </c>
      <c r="U1751" s="2" t="b">
        <v>0</v>
      </c>
      <c r="V1751" s="5">
        <v>0.0042</v>
      </c>
      <c r="W1751" s="5">
        <v>0.0059</v>
      </c>
      <c r="X1751" s="5">
        <v>2.5E-5</v>
      </c>
      <c r="Y1751" s="2">
        <v>41.88235294</v>
      </c>
      <c r="AA1751" s="2" t="s">
        <v>33</v>
      </c>
    </row>
    <row r="1752">
      <c r="A1752" s="2">
        <v>3576.0</v>
      </c>
      <c r="B1752" s="2" t="s">
        <v>5164</v>
      </c>
      <c r="C1752" s="2" t="s">
        <v>7</v>
      </c>
      <c r="D1752" s="2" t="s">
        <v>5165</v>
      </c>
      <c r="E1752" s="2" t="s">
        <v>5166</v>
      </c>
      <c r="F1752" s="3">
        <v>45951.458333333336</v>
      </c>
      <c r="G1752" s="2">
        <v>66590.0</v>
      </c>
      <c r="H1752" s="2">
        <v>66590.0</v>
      </c>
      <c r="I1752" s="2">
        <v>54331.0</v>
      </c>
      <c r="J1752" s="2">
        <v>249.0</v>
      </c>
      <c r="K1752" s="2">
        <v>187.0</v>
      </c>
      <c r="L1752" s="2">
        <v>1.0</v>
      </c>
      <c r="M1752" s="4">
        <v>1766.0</v>
      </c>
      <c r="N1752" s="2" t="s">
        <v>30</v>
      </c>
      <c r="O1752" s="2">
        <v>70.0</v>
      </c>
      <c r="P1752" s="2" t="s">
        <v>189</v>
      </c>
      <c r="Q1752" s="2" t="s">
        <v>32</v>
      </c>
      <c r="R1752" s="2">
        <v>41.0</v>
      </c>
      <c r="T1752" s="2" t="s">
        <v>47</v>
      </c>
      <c r="U1752" s="2" t="b">
        <v>0</v>
      </c>
      <c r="V1752" s="5">
        <v>0.0034</v>
      </c>
      <c r="W1752" s="5">
        <v>0.0053</v>
      </c>
      <c r="X1752" s="5">
        <v>1.8E-5</v>
      </c>
      <c r="Y1752" s="2">
        <v>9.443850267</v>
      </c>
      <c r="Z1752" s="2">
        <v>3629.0</v>
      </c>
      <c r="AA1752" s="2" t="s">
        <v>33</v>
      </c>
    </row>
    <row r="1753">
      <c r="A1753" s="2">
        <v>3588.0</v>
      </c>
      <c r="B1753" s="2" t="s">
        <v>5167</v>
      </c>
      <c r="C1753" s="2" t="s">
        <v>7</v>
      </c>
      <c r="D1753" s="2" t="s">
        <v>5168</v>
      </c>
      <c r="E1753" s="2" t="s">
        <v>5169</v>
      </c>
      <c r="F1753" s="3">
        <v>45951.583333333336</v>
      </c>
      <c r="G1753" s="2">
        <v>7354.0</v>
      </c>
      <c r="H1753" s="2">
        <v>7354.0</v>
      </c>
      <c r="I1753" s="2">
        <v>5723.0</v>
      </c>
      <c r="J1753" s="2">
        <v>50.0</v>
      </c>
      <c r="K1753" s="2">
        <v>33.0</v>
      </c>
      <c r="L1753" s="2">
        <v>1.0</v>
      </c>
      <c r="M1753" s="4">
        <v>4198.0</v>
      </c>
      <c r="N1753" s="2" t="s">
        <v>423</v>
      </c>
      <c r="O1753" s="2">
        <v>119.0</v>
      </c>
      <c r="P1753" s="2" t="s">
        <v>189</v>
      </c>
      <c r="Q1753" s="2" t="s">
        <v>1367</v>
      </c>
      <c r="R1753" s="2">
        <v>46.0</v>
      </c>
      <c r="T1753" s="2" t="s">
        <v>47</v>
      </c>
      <c r="U1753" s="2" t="b">
        <v>0</v>
      </c>
      <c r="V1753" s="5">
        <v>0.0058</v>
      </c>
      <c r="W1753" s="5">
        <v>0.0303</v>
      </c>
      <c r="X1753" s="5">
        <v>1.75E-4</v>
      </c>
      <c r="Y1753" s="2">
        <v>127.2121212</v>
      </c>
      <c r="AA1753" s="2" t="s">
        <v>423</v>
      </c>
    </row>
    <row r="1754">
      <c r="A1754" s="2">
        <v>3579.0</v>
      </c>
      <c r="B1754" s="2" t="s">
        <v>5170</v>
      </c>
      <c r="C1754" s="2" t="s">
        <v>7</v>
      </c>
      <c r="D1754" s="2" t="s">
        <v>5171</v>
      </c>
      <c r="E1754" s="2" t="s">
        <v>5172</v>
      </c>
      <c r="F1754" s="3">
        <v>45951.625</v>
      </c>
      <c r="G1754" s="2">
        <v>51041.0</v>
      </c>
      <c r="H1754" s="2">
        <v>51041.0</v>
      </c>
      <c r="I1754" s="2">
        <v>40717.0</v>
      </c>
      <c r="J1754" s="2">
        <v>209.0</v>
      </c>
      <c r="K1754" s="2">
        <v>153.0</v>
      </c>
      <c r="L1754" s="2">
        <v>1.0</v>
      </c>
      <c r="M1754" s="4">
        <v>2332.0</v>
      </c>
      <c r="N1754" s="2" t="s">
        <v>36</v>
      </c>
      <c r="O1754" s="2">
        <v>71.0</v>
      </c>
      <c r="P1754" s="2" t="s">
        <v>189</v>
      </c>
      <c r="Q1754" s="2" t="s">
        <v>32</v>
      </c>
      <c r="R1754" s="2">
        <v>31.0</v>
      </c>
      <c r="U1754" s="2" t="b">
        <v>0</v>
      </c>
      <c r="V1754" s="5">
        <v>0.0038</v>
      </c>
      <c r="W1754" s="5">
        <v>0.0065</v>
      </c>
      <c r="X1754" s="5">
        <v>2.5E-5</v>
      </c>
      <c r="Y1754" s="2">
        <v>15.24183007</v>
      </c>
      <c r="AA1754" s="2" t="s">
        <v>33</v>
      </c>
    </row>
    <row r="1755">
      <c r="A1755" s="2">
        <v>3578.0</v>
      </c>
      <c r="B1755" s="2" t="s">
        <v>5173</v>
      </c>
      <c r="C1755" s="2" t="s">
        <v>7</v>
      </c>
      <c r="D1755" s="2" t="s">
        <v>5174</v>
      </c>
      <c r="E1755" s="2" t="s">
        <v>5175</v>
      </c>
      <c r="F1755" s="3">
        <v>45951.625</v>
      </c>
      <c r="G1755" s="2">
        <v>66664.0</v>
      </c>
      <c r="H1755" s="2">
        <v>66664.0</v>
      </c>
      <c r="I1755" s="2">
        <v>54112.0</v>
      </c>
      <c r="J1755" s="2">
        <v>268.0</v>
      </c>
      <c r="K1755" s="2">
        <v>194.0</v>
      </c>
      <c r="L1755" s="2">
        <v>5.0</v>
      </c>
      <c r="M1755" s="4">
        <v>15866.0</v>
      </c>
      <c r="N1755" s="2" t="s">
        <v>30</v>
      </c>
      <c r="O1755" s="2">
        <v>70.0</v>
      </c>
      <c r="P1755" s="2" t="s">
        <v>189</v>
      </c>
      <c r="Q1755" s="2" t="s">
        <v>32</v>
      </c>
      <c r="R1755" s="2">
        <v>31.0</v>
      </c>
      <c r="T1755" s="2" t="s">
        <v>47</v>
      </c>
      <c r="U1755" s="2" t="b">
        <v>0</v>
      </c>
      <c r="V1755" s="5">
        <v>0.0036</v>
      </c>
      <c r="W1755" s="5">
        <v>0.0258</v>
      </c>
      <c r="X1755" s="5">
        <v>9.2E-5</v>
      </c>
      <c r="Y1755" s="2">
        <v>81.78350515</v>
      </c>
      <c r="Z1755" s="2">
        <v>3005.0</v>
      </c>
      <c r="AA1755" s="2" t="s">
        <v>33</v>
      </c>
    </row>
    <row r="1756">
      <c r="A1756" s="2">
        <v>3589.0</v>
      </c>
      <c r="B1756" s="2" t="s">
        <v>5176</v>
      </c>
      <c r="C1756" s="2" t="s">
        <v>7</v>
      </c>
      <c r="D1756" s="2" t="s">
        <v>5177</v>
      </c>
      <c r="E1756" s="2" t="s">
        <v>5178</v>
      </c>
      <c r="F1756" s="3">
        <v>45951.708333333336</v>
      </c>
      <c r="G1756" s="2">
        <v>7363.0</v>
      </c>
      <c r="H1756" s="2">
        <v>7363.0</v>
      </c>
      <c r="I1756" s="2">
        <v>5750.0</v>
      </c>
      <c r="J1756" s="2">
        <v>31.0</v>
      </c>
      <c r="K1756" s="2">
        <v>23.0</v>
      </c>
      <c r="L1756" s="2">
        <v>2.0</v>
      </c>
      <c r="M1756" s="2">
        <v>176.0</v>
      </c>
      <c r="N1756" s="2" t="s">
        <v>423</v>
      </c>
      <c r="O1756" s="2">
        <v>119.0</v>
      </c>
      <c r="P1756" s="2" t="s">
        <v>189</v>
      </c>
      <c r="Q1756" s="2" t="s">
        <v>1367</v>
      </c>
      <c r="R1756" s="2">
        <v>39.0</v>
      </c>
      <c r="T1756" s="2" t="s">
        <v>162</v>
      </c>
      <c r="U1756" s="2" t="b">
        <v>0</v>
      </c>
      <c r="V1756" s="5">
        <v>0.004</v>
      </c>
      <c r="W1756" s="5">
        <v>0.087</v>
      </c>
      <c r="X1756" s="5">
        <v>3.48E-4</v>
      </c>
      <c r="Y1756" s="2">
        <v>7.652173913</v>
      </c>
      <c r="AA1756" s="2" t="s">
        <v>423</v>
      </c>
    </row>
    <row r="1757">
      <c r="A1757" s="2">
        <v>3581.0</v>
      </c>
      <c r="B1757" s="2" t="s">
        <v>5179</v>
      </c>
      <c r="C1757" s="2" t="s">
        <v>7</v>
      </c>
      <c r="D1757" s="2" t="s">
        <v>5180</v>
      </c>
      <c r="E1757" s="2" t="s">
        <v>5181</v>
      </c>
      <c r="F1757" s="3">
        <v>45951.708333333336</v>
      </c>
      <c r="G1757" s="2">
        <v>51033.0</v>
      </c>
      <c r="H1757" s="2">
        <v>51033.0</v>
      </c>
      <c r="I1757" s="2">
        <v>40961.0</v>
      </c>
      <c r="J1757" s="2">
        <v>237.0</v>
      </c>
      <c r="K1757" s="2">
        <v>169.0</v>
      </c>
      <c r="L1757" s="2">
        <v>7.0</v>
      </c>
      <c r="M1757" s="4">
        <v>28140.0</v>
      </c>
      <c r="N1757" s="2" t="s">
        <v>36</v>
      </c>
      <c r="O1757" s="2">
        <v>71.0</v>
      </c>
      <c r="P1757" s="2" t="s">
        <v>189</v>
      </c>
      <c r="Q1757" s="2" t="s">
        <v>32</v>
      </c>
      <c r="R1757" s="2">
        <v>30.0</v>
      </c>
      <c r="T1757" s="2" t="s">
        <v>58</v>
      </c>
      <c r="U1757" s="2" t="b">
        <v>1</v>
      </c>
      <c r="V1757" s="5">
        <v>0.0041</v>
      </c>
      <c r="W1757" s="5">
        <v>0.0414</v>
      </c>
      <c r="X1757" s="5">
        <v>1.71E-4</v>
      </c>
      <c r="Y1757" s="2">
        <v>166.5088757</v>
      </c>
      <c r="AA1757" s="2" t="s">
        <v>33</v>
      </c>
    </row>
    <row r="1758">
      <c r="A1758" s="2">
        <v>3580.0</v>
      </c>
      <c r="B1758" s="2" t="s">
        <v>5182</v>
      </c>
      <c r="C1758" s="2" t="s">
        <v>7</v>
      </c>
      <c r="D1758" s="2" t="s">
        <v>5183</v>
      </c>
      <c r="E1758" s="2" t="s">
        <v>5184</v>
      </c>
      <c r="F1758" s="3">
        <v>45951.708333333336</v>
      </c>
      <c r="G1758" s="2">
        <v>66669.0</v>
      </c>
      <c r="H1758" s="2">
        <v>66669.0</v>
      </c>
      <c r="I1758" s="2">
        <v>54604.0</v>
      </c>
      <c r="J1758" s="2">
        <v>336.0</v>
      </c>
      <c r="K1758" s="2">
        <v>254.0</v>
      </c>
      <c r="L1758" s="2">
        <v>4.0</v>
      </c>
      <c r="M1758" s="4">
        <v>9374.0</v>
      </c>
      <c r="N1758" s="2" t="s">
        <v>30</v>
      </c>
      <c r="O1758" s="2">
        <v>70.0</v>
      </c>
      <c r="P1758" s="2" t="s">
        <v>31</v>
      </c>
      <c r="Q1758" s="2" t="s">
        <v>32</v>
      </c>
      <c r="R1758" s="2">
        <v>30.0</v>
      </c>
      <c r="U1758" s="2" t="b">
        <v>0</v>
      </c>
      <c r="V1758" s="5">
        <v>0.0047</v>
      </c>
      <c r="W1758" s="5">
        <v>0.0157</v>
      </c>
      <c r="X1758" s="5">
        <v>7.3E-5</v>
      </c>
      <c r="Y1758" s="2">
        <v>36.90551181</v>
      </c>
      <c r="Z1758" s="2">
        <v>1483.0</v>
      </c>
      <c r="AA1758" s="2" t="s">
        <v>33</v>
      </c>
    </row>
    <row r="1759">
      <c r="A1759" s="2">
        <v>3590.0</v>
      </c>
      <c r="B1759" s="2" t="s">
        <v>5185</v>
      </c>
      <c r="C1759" s="2" t="s">
        <v>7</v>
      </c>
      <c r="D1759" s="2" t="s">
        <v>5186</v>
      </c>
      <c r="E1759" s="2" t="s">
        <v>5187</v>
      </c>
      <c r="F1759" s="3">
        <v>45951.791666666664</v>
      </c>
      <c r="G1759" s="2">
        <v>7376.0</v>
      </c>
      <c r="H1759" s="2">
        <v>7376.0</v>
      </c>
      <c r="I1759" s="2">
        <v>5744.0</v>
      </c>
      <c r="J1759" s="2">
        <v>60.0</v>
      </c>
      <c r="K1759" s="2">
        <v>43.0</v>
      </c>
      <c r="L1759" s="2">
        <v>1.0</v>
      </c>
      <c r="M1759" s="4">
        <v>4950.0</v>
      </c>
      <c r="N1759" s="2" t="s">
        <v>423</v>
      </c>
      <c r="O1759" s="2">
        <v>119.0</v>
      </c>
      <c r="P1759" s="2" t="s">
        <v>189</v>
      </c>
      <c r="Q1759" s="2" t="s">
        <v>1367</v>
      </c>
      <c r="R1759" s="2">
        <v>56.0</v>
      </c>
      <c r="T1759" s="2" t="s">
        <v>47</v>
      </c>
      <c r="U1759" s="2" t="b">
        <v>0</v>
      </c>
      <c r="V1759" s="5">
        <v>0.0075</v>
      </c>
      <c r="W1759" s="5">
        <v>0.0233</v>
      </c>
      <c r="X1759" s="5">
        <v>1.74E-4</v>
      </c>
      <c r="Y1759" s="2">
        <v>115.1162791</v>
      </c>
      <c r="AA1759" s="2" t="s">
        <v>423</v>
      </c>
    </row>
    <row r="1760">
      <c r="A1760" s="2">
        <v>3583.0</v>
      </c>
      <c r="B1760" s="2" t="s">
        <v>5188</v>
      </c>
      <c r="C1760" s="2" t="s">
        <v>7</v>
      </c>
      <c r="D1760" s="2" t="s">
        <v>5189</v>
      </c>
      <c r="E1760" s="2" t="s">
        <v>5190</v>
      </c>
      <c r="F1760" s="3">
        <v>45952.458333333336</v>
      </c>
      <c r="G1760" s="2">
        <v>51137.0</v>
      </c>
      <c r="H1760" s="2">
        <v>51137.0</v>
      </c>
      <c r="I1760" s="2">
        <v>40503.0</v>
      </c>
      <c r="J1760" s="2">
        <v>250.0</v>
      </c>
      <c r="K1760" s="2">
        <v>213.0</v>
      </c>
      <c r="L1760" s="2">
        <v>4.0</v>
      </c>
      <c r="M1760" s="4">
        <v>19735.0</v>
      </c>
      <c r="N1760" s="2" t="s">
        <v>36</v>
      </c>
      <c r="O1760" s="2">
        <v>71.0</v>
      </c>
      <c r="P1760" s="2" t="s">
        <v>31</v>
      </c>
      <c r="Q1760" s="2" t="s">
        <v>32</v>
      </c>
      <c r="R1760" s="2">
        <v>46.0</v>
      </c>
      <c r="T1760" s="2" t="s">
        <v>47</v>
      </c>
      <c r="U1760" s="2" t="b">
        <v>0</v>
      </c>
      <c r="V1760" s="5">
        <v>0.0053</v>
      </c>
      <c r="W1760" s="5">
        <v>0.0188</v>
      </c>
      <c r="X1760" s="5">
        <v>9.9E-5</v>
      </c>
      <c r="Y1760" s="2">
        <v>92.65258216</v>
      </c>
      <c r="AA1760" s="2" t="s">
        <v>33</v>
      </c>
    </row>
    <row r="1761">
      <c r="A1761" s="2">
        <v>3582.0</v>
      </c>
      <c r="B1761" s="2" t="s">
        <v>5191</v>
      </c>
      <c r="C1761" s="2" t="s">
        <v>7</v>
      </c>
      <c r="D1761" s="2" t="s">
        <v>5192</v>
      </c>
      <c r="E1761" s="2" t="s">
        <v>5193</v>
      </c>
      <c r="F1761" s="3">
        <v>45952.458333333336</v>
      </c>
      <c r="G1761" s="2">
        <v>66762.0</v>
      </c>
      <c r="H1761" s="2">
        <v>66762.0</v>
      </c>
      <c r="I1761" s="2">
        <v>54475.0</v>
      </c>
      <c r="J1761" s="2">
        <v>273.0</v>
      </c>
      <c r="K1761" s="2">
        <v>218.0</v>
      </c>
      <c r="L1761" s="2">
        <v>7.0</v>
      </c>
      <c r="M1761" s="4">
        <v>15697.0</v>
      </c>
      <c r="N1761" s="2" t="s">
        <v>30</v>
      </c>
      <c r="O1761" s="2">
        <v>70.0</v>
      </c>
      <c r="P1761" s="2" t="s">
        <v>189</v>
      </c>
      <c r="Q1761" s="2" t="s">
        <v>32</v>
      </c>
      <c r="R1761" s="2">
        <v>49.0</v>
      </c>
      <c r="U1761" s="2" t="b">
        <v>0</v>
      </c>
      <c r="V1761" s="5">
        <v>0.004</v>
      </c>
      <c r="W1761" s="5">
        <v>0.0321</v>
      </c>
      <c r="X1761" s="5">
        <v>1.28E-4</v>
      </c>
      <c r="Y1761" s="2">
        <v>72.00458716</v>
      </c>
      <c r="Z1761" s="2">
        <v>875.0</v>
      </c>
      <c r="AA1761" s="2" t="s">
        <v>33</v>
      </c>
    </row>
    <row r="1762">
      <c r="A1762" s="2">
        <v>3585.0</v>
      </c>
      <c r="B1762" s="2" t="s">
        <v>5194</v>
      </c>
      <c r="C1762" s="2" t="s">
        <v>7</v>
      </c>
      <c r="D1762" s="2" t="s">
        <v>5195</v>
      </c>
      <c r="E1762" s="2" t="s">
        <v>5196</v>
      </c>
      <c r="F1762" s="3">
        <v>45952.625</v>
      </c>
      <c r="G1762" s="2">
        <v>51123.0</v>
      </c>
      <c r="H1762" s="2">
        <v>51123.0</v>
      </c>
      <c r="I1762" s="2">
        <v>41029.0</v>
      </c>
      <c r="J1762" s="2">
        <v>202.0</v>
      </c>
      <c r="K1762" s="2">
        <v>152.0</v>
      </c>
      <c r="L1762" s="2">
        <v>4.0</v>
      </c>
      <c r="M1762" s="4">
        <v>15267.0</v>
      </c>
      <c r="N1762" s="2" t="s">
        <v>36</v>
      </c>
      <c r="O1762" s="2">
        <v>71.0</v>
      </c>
      <c r="P1762" s="2" t="s">
        <v>189</v>
      </c>
      <c r="Q1762" s="2" t="s">
        <v>32</v>
      </c>
      <c r="R1762" s="2">
        <v>27.0</v>
      </c>
      <c r="U1762" s="2" t="b">
        <v>1</v>
      </c>
      <c r="V1762" s="5">
        <v>0.0037</v>
      </c>
      <c r="W1762" s="5">
        <v>0.0263</v>
      </c>
      <c r="X1762" s="5">
        <v>9.7E-5</v>
      </c>
      <c r="Y1762" s="2">
        <v>100.4407895</v>
      </c>
      <c r="AA1762" s="2" t="s">
        <v>33</v>
      </c>
    </row>
    <row r="1763">
      <c r="A1763" s="2">
        <v>3584.0</v>
      </c>
      <c r="B1763" s="2" t="s">
        <v>5197</v>
      </c>
      <c r="C1763" s="2" t="s">
        <v>7</v>
      </c>
      <c r="D1763" s="2" t="s">
        <v>5198</v>
      </c>
      <c r="E1763" s="2" t="s">
        <v>5199</v>
      </c>
      <c r="F1763" s="3">
        <v>45952.625</v>
      </c>
      <c r="G1763" s="2">
        <v>66740.0</v>
      </c>
      <c r="H1763" s="2">
        <v>66740.0</v>
      </c>
      <c r="I1763" s="2">
        <v>54629.0</v>
      </c>
      <c r="J1763" s="2">
        <v>267.0</v>
      </c>
      <c r="K1763" s="2">
        <v>210.0</v>
      </c>
      <c r="L1763" s="2">
        <v>1.0</v>
      </c>
      <c r="M1763" s="2">
        <v>898.0</v>
      </c>
      <c r="N1763" s="2" t="s">
        <v>30</v>
      </c>
      <c r="O1763" s="2">
        <v>70.0</v>
      </c>
      <c r="P1763" s="2" t="s">
        <v>31</v>
      </c>
      <c r="Q1763" s="2" t="s">
        <v>32</v>
      </c>
      <c r="R1763" s="2">
        <v>27.0</v>
      </c>
      <c r="U1763" s="2" t="b">
        <v>0</v>
      </c>
      <c r="V1763" s="5">
        <v>0.0038</v>
      </c>
      <c r="W1763" s="5">
        <v>0.0048</v>
      </c>
      <c r="X1763" s="5">
        <v>1.8E-5</v>
      </c>
      <c r="Y1763" s="2">
        <v>4.276190476</v>
      </c>
      <c r="Z1763" s="2">
        <v>4763.0</v>
      </c>
      <c r="AA1763" s="2" t="s">
        <v>33</v>
      </c>
    </row>
    <row r="1764">
      <c r="A1764" s="2">
        <v>3591.0</v>
      </c>
      <c r="B1764" s="2" t="s">
        <v>5200</v>
      </c>
      <c r="C1764" s="2" t="s">
        <v>7</v>
      </c>
      <c r="D1764" s="2" t="s">
        <v>5201</v>
      </c>
      <c r="E1764" s="2" t="s">
        <v>5202</v>
      </c>
      <c r="F1764" s="3">
        <v>45952.665972222225</v>
      </c>
      <c r="G1764" s="2">
        <v>7394.0</v>
      </c>
      <c r="H1764" s="2">
        <v>7394.0</v>
      </c>
      <c r="I1764" s="2">
        <v>5769.0</v>
      </c>
      <c r="J1764" s="2">
        <v>57.0</v>
      </c>
      <c r="K1764" s="2">
        <v>43.0</v>
      </c>
      <c r="L1764" s="2">
        <v>1.0</v>
      </c>
      <c r="M1764" s="2">
        <v>276.0</v>
      </c>
      <c r="N1764" s="2" t="s">
        <v>423</v>
      </c>
      <c r="O1764" s="2">
        <v>119.0</v>
      </c>
      <c r="P1764" s="2" t="s">
        <v>31</v>
      </c>
      <c r="Q1764" s="2" t="s">
        <v>1367</v>
      </c>
      <c r="R1764" s="2">
        <v>48.0</v>
      </c>
      <c r="U1764" s="2" t="b">
        <v>0</v>
      </c>
      <c r="V1764" s="5">
        <v>0.0075</v>
      </c>
      <c r="W1764" s="5">
        <v>0.0233</v>
      </c>
      <c r="X1764" s="5">
        <v>1.73E-4</v>
      </c>
      <c r="Y1764" s="2">
        <v>6.418604651</v>
      </c>
      <c r="AA1764" s="2" t="s">
        <v>423</v>
      </c>
    </row>
    <row r="1765">
      <c r="A1765" s="2">
        <v>3587.0</v>
      </c>
      <c r="B1765" s="2" t="s">
        <v>5203</v>
      </c>
      <c r="C1765" s="2" t="s">
        <v>7</v>
      </c>
      <c r="D1765" s="2" t="s">
        <v>5204</v>
      </c>
      <c r="E1765" s="2" t="s">
        <v>5205</v>
      </c>
      <c r="F1765" s="3">
        <v>45952.708333333336</v>
      </c>
      <c r="G1765" s="2">
        <v>51085.0</v>
      </c>
      <c r="H1765" s="2">
        <v>51085.0</v>
      </c>
      <c r="I1765" s="2">
        <v>41050.0</v>
      </c>
      <c r="J1765" s="2">
        <v>242.0</v>
      </c>
      <c r="K1765" s="2">
        <v>196.0</v>
      </c>
      <c r="L1765" s="2">
        <v>3.0</v>
      </c>
      <c r="M1765" s="4">
        <v>10489.0</v>
      </c>
      <c r="N1765" s="2" t="s">
        <v>36</v>
      </c>
      <c r="O1765" s="2">
        <v>71.0</v>
      </c>
      <c r="P1765" s="2" t="s">
        <v>31</v>
      </c>
      <c r="Q1765" s="2" t="s">
        <v>32</v>
      </c>
      <c r="R1765" s="2">
        <v>37.0</v>
      </c>
      <c r="U1765" s="2" t="b">
        <v>1</v>
      </c>
      <c r="V1765" s="5">
        <v>0.0048</v>
      </c>
      <c r="W1765" s="5">
        <v>0.0153</v>
      </c>
      <c r="X1765" s="5">
        <v>7.3E-5</v>
      </c>
      <c r="Y1765" s="2">
        <v>53.51530612</v>
      </c>
      <c r="AA1765" s="2" t="s">
        <v>33</v>
      </c>
    </row>
    <row r="1766">
      <c r="A1766" s="2">
        <v>3586.0</v>
      </c>
      <c r="B1766" s="2" t="s">
        <v>5206</v>
      </c>
      <c r="C1766" s="2" t="s">
        <v>7</v>
      </c>
      <c r="D1766" s="2" t="s">
        <v>5207</v>
      </c>
      <c r="E1766" s="2" t="s">
        <v>5208</v>
      </c>
      <c r="F1766" s="3">
        <v>45952.708333333336</v>
      </c>
      <c r="G1766" s="2">
        <v>66701.0</v>
      </c>
      <c r="H1766" s="2">
        <v>66701.0</v>
      </c>
      <c r="I1766" s="2">
        <v>54561.0</v>
      </c>
      <c r="J1766" s="2">
        <v>298.0</v>
      </c>
      <c r="K1766" s="2">
        <v>249.0</v>
      </c>
      <c r="L1766" s="2">
        <v>4.0</v>
      </c>
      <c r="M1766" s="4">
        <v>8013.0</v>
      </c>
      <c r="N1766" s="2" t="s">
        <v>30</v>
      </c>
      <c r="O1766" s="2">
        <v>70.0</v>
      </c>
      <c r="P1766" s="2" t="s">
        <v>31</v>
      </c>
      <c r="Q1766" s="2" t="s">
        <v>32</v>
      </c>
      <c r="R1766" s="2">
        <v>37.0</v>
      </c>
      <c r="T1766" s="2" t="s">
        <v>4595</v>
      </c>
      <c r="U1766" s="2" t="b">
        <v>0</v>
      </c>
      <c r="V1766" s="5">
        <v>0.0046</v>
      </c>
      <c r="W1766" s="5">
        <v>0.0161</v>
      </c>
      <c r="X1766" s="5">
        <v>7.3E-5</v>
      </c>
      <c r="Y1766" s="2">
        <v>32.18072289</v>
      </c>
      <c r="Z1766" s="2">
        <v>3166.0</v>
      </c>
      <c r="AA1766" s="2" t="s">
        <v>33</v>
      </c>
    </row>
    <row r="1767">
      <c r="A1767" s="2">
        <v>3592.0</v>
      </c>
      <c r="B1767" s="2" t="s">
        <v>5209</v>
      </c>
      <c r="C1767" s="2" t="s">
        <v>7</v>
      </c>
      <c r="D1767" s="2" t="s">
        <v>5210</v>
      </c>
      <c r="E1767" s="2" t="s">
        <v>5211</v>
      </c>
      <c r="F1767" s="3">
        <v>45952.75</v>
      </c>
      <c r="G1767" s="2">
        <v>7415.0</v>
      </c>
      <c r="H1767" s="2">
        <v>7415.0</v>
      </c>
      <c r="I1767" s="2">
        <v>5771.0</v>
      </c>
      <c r="J1767" s="2">
        <v>70.0</v>
      </c>
      <c r="K1767" s="2">
        <v>58.0</v>
      </c>
      <c r="L1767" s="2">
        <v>0.0</v>
      </c>
      <c r="M1767" s="2">
        <v>0.0</v>
      </c>
      <c r="N1767" s="2" t="s">
        <v>423</v>
      </c>
      <c r="O1767" s="2">
        <v>119.0</v>
      </c>
      <c r="P1767" s="2" t="s">
        <v>31</v>
      </c>
      <c r="Q1767" s="2" t="s">
        <v>1367</v>
      </c>
      <c r="R1767" s="2">
        <v>36.0</v>
      </c>
      <c r="U1767" s="2" t="b">
        <v>0</v>
      </c>
      <c r="V1767" s="5">
        <v>0.0101</v>
      </c>
      <c r="W1767" s="5">
        <v>0.0</v>
      </c>
      <c r="X1767" s="5">
        <v>0.0</v>
      </c>
      <c r="Y1767" s="2">
        <v>0.0</v>
      </c>
      <c r="AA1767" s="2" t="s">
        <v>423</v>
      </c>
    </row>
    <row r="1768">
      <c r="A1768" s="2">
        <v>3593.0</v>
      </c>
      <c r="B1768" s="2" t="s">
        <v>5212</v>
      </c>
      <c r="C1768" s="2" t="s">
        <v>7</v>
      </c>
      <c r="D1768" s="2" t="s">
        <v>5213</v>
      </c>
      <c r="E1768" s="2" t="s">
        <v>5214</v>
      </c>
      <c r="F1768" s="3">
        <v>45952.833333333336</v>
      </c>
      <c r="G1768" s="2">
        <v>7426.0</v>
      </c>
      <c r="H1768" s="2">
        <v>7426.0</v>
      </c>
      <c r="I1768" s="2">
        <v>5792.0</v>
      </c>
      <c r="J1768" s="2">
        <v>58.0</v>
      </c>
      <c r="K1768" s="2">
        <v>46.0</v>
      </c>
      <c r="L1768" s="2">
        <v>3.0</v>
      </c>
      <c r="M1768" s="4">
        <v>3158.0</v>
      </c>
      <c r="N1768" s="2" t="s">
        <v>423</v>
      </c>
      <c r="O1768" s="2">
        <v>119.0</v>
      </c>
      <c r="P1768" s="2" t="s">
        <v>31</v>
      </c>
      <c r="Q1768" s="2" t="s">
        <v>1367</v>
      </c>
      <c r="R1768" s="2">
        <v>45.0</v>
      </c>
      <c r="U1768" s="2" t="b">
        <v>0</v>
      </c>
      <c r="V1768" s="5">
        <v>0.0079</v>
      </c>
      <c r="W1768" s="5">
        <v>0.0652</v>
      </c>
      <c r="X1768" s="5">
        <v>5.18E-4</v>
      </c>
      <c r="Y1768" s="2">
        <v>68.65217391</v>
      </c>
      <c r="AA1768" s="2" t="s">
        <v>423</v>
      </c>
    </row>
    <row r="1769">
      <c r="A1769" s="2">
        <v>3606.0</v>
      </c>
      <c r="B1769" s="2" t="s">
        <v>5215</v>
      </c>
      <c r="C1769" s="2" t="s">
        <v>7</v>
      </c>
      <c r="D1769" s="2" t="s">
        <v>5216</v>
      </c>
      <c r="E1769" s="2" t="s">
        <v>5217</v>
      </c>
      <c r="F1769" s="3">
        <v>45953.458333333336</v>
      </c>
      <c r="G1769" s="2">
        <v>51185.0</v>
      </c>
      <c r="H1769" s="2">
        <v>51185.0</v>
      </c>
      <c r="I1769" s="2">
        <v>40664.0</v>
      </c>
      <c r="J1769" s="2">
        <v>189.0</v>
      </c>
      <c r="K1769" s="2">
        <v>161.0</v>
      </c>
      <c r="L1769" s="2">
        <v>1.0</v>
      </c>
      <c r="M1769" s="4">
        <v>2444.0</v>
      </c>
      <c r="N1769" s="2" t="s">
        <v>36</v>
      </c>
      <c r="O1769" s="2">
        <v>71.0</v>
      </c>
      <c r="P1769" s="2" t="s">
        <v>31</v>
      </c>
      <c r="Q1769" s="2" t="s">
        <v>32</v>
      </c>
      <c r="R1769" s="2">
        <v>34.0</v>
      </c>
      <c r="T1769" s="2" t="s">
        <v>47</v>
      </c>
      <c r="U1769" s="2" t="b">
        <v>0</v>
      </c>
      <c r="V1769" s="5">
        <v>0.004</v>
      </c>
      <c r="W1769" s="5">
        <v>0.0062</v>
      </c>
      <c r="X1769" s="5">
        <v>2.5E-5</v>
      </c>
      <c r="Y1769" s="2">
        <v>15.18012422</v>
      </c>
      <c r="AA1769" s="2" t="s">
        <v>33</v>
      </c>
    </row>
    <row r="1770">
      <c r="A1770" s="2">
        <v>3605.0</v>
      </c>
      <c r="B1770" s="2" t="s">
        <v>5218</v>
      </c>
      <c r="C1770" s="2" t="s">
        <v>7</v>
      </c>
      <c r="D1770" s="2" t="s">
        <v>5216</v>
      </c>
      <c r="E1770" s="2" t="s">
        <v>5219</v>
      </c>
      <c r="F1770" s="3">
        <v>45953.458333333336</v>
      </c>
      <c r="G1770" s="2">
        <v>66767.0</v>
      </c>
      <c r="H1770" s="2">
        <v>66767.0</v>
      </c>
      <c r="I1770" s="2">
        <v>54122.0</v>
      </c>
      <c r="J1770" s="2">
        <v>230.0</v>
      </c>
      <c r="K1770" s="2">
        <v>205.0</v>
      </c>
      <c r="L1770" s="2">
        <v>2.0</v>
      </c>
      <c r="M1770" s="4">
        <v>1331.0</v>
      </c>
      <c r="N1770" s="2" t="s">
        <v>30</v>
      </c>
      <c r="O1770" s="2">
        <v>70.0</v>
      </c>
      <c r="P1770" s="2" t="s">
        <v>189</v>
      </c>
      <c r="Q1770" s="2" t="s">
        <v>32</v>
      </c>
      <c r="R1770" s="2">
        <v>34.0</v>
      </c>
      <c r="T1770" s="2" t="s">
        <v>47</v>
      </c>
      <c r="U1770" s="2" t="b">
        <v>0</v>
      </c>
      <c r="V1770" s="5">
        <v>0.0038</v>
      </c>
      <c r="W1770" s="5">
        <v>0.0098</v>
      </c>
      <c r="X1770" s="5">
        <v>3.7E-5</v>
      </c>
      <c r="Y1770" s="2">
        <v>6.492682927</v>
      </c>
      <c r="AA1770" s="2" t="s">
        <v>33</v>
      </c>
    </row>
    <row r="1771">
      <c r="A1771" s="2">
        <v>3594.0</v>
      </c>
      <c r="B1771" s="2" t="s">
        <v>5220</v>
      </c>
      <c r="C1771" s="2" t="s">
        <v>7</v>
      </c>
      <c r="D1771" s="2" t="s">
        <v>3431</v>
      </c>
      <c r="E1771" s="2" t="s">
        <v>5221</v>
      </c>
      <c r="F1771" s="3">
        <v>45953.583333333336</v>
      </c>
      <c r="G1771" s="2">
        <v>7610.0</v>
      </c>
      <c r="H1771" s="2">
        <v>7610.0</v>
      </c>
      <c r="I1771" s="2">
        <v>5951.0</v>
      </c>
      <c r="J1771" s="2">
        <v>36.0</v>
      </c>
      <c r="K1771" s="2">
        <v>33.0</v>
      </c>
      <c r="L1771" s="2">
        <v>0.0</v>
      </c>
      <c r="M1771" s="2">
        <v>0.0</v>
      </c>
      <c r="N1771" s="2" t="s">
        <v>423</v>
      </c>
      <c r="O1771" s="2">
        <v>119.0</v>
      </c>
      <c r="P1771" s="2" t="s">
        <v>189</v>
      </c>
      <c r="Q1771" s="2" t="s">
        <v>1367</v>
      </c>
      <c r="R1771" s="2">
        <v>38.0</v>
      </c>
      <c r="T1771" s="2" t="s">
        <v>162</v>
      </c>
      <c r="U1771" s="2" t="b">
        <v>0</v>
      </c>
      <c r="V1771" s="5">
        <v>0.0055</v>
      </c>
      <c r="W1771" s="5">
        <v>0.0</v>
      </c>
      <c r="X1771" s="5">
        <v>0.0</v>
      </c>
      <c r="Y1771" s="2">
        <v>0.0</v>
      </c>
      <c r="AA1771" s="2" t="s">
        <v>423</v>
      </c>
    </row>
    <row r="1772">
      <c r="A1772" s="2">
        <v>3608.0</v>
      </c>
      <c r="B1772" s="2" t="s">
        <v>5222</v>
      </c>
      <c r="C1772" s="2" t="s">
        <v>7</v>
      </c>
      <c r="D1772" s="2" t="s">
        <v>5223</v>
      </c>
      <c r="E1772" s="2" t="s">
        <v>5224</v>
      </c>
      <c r="F1772" s="3">
        <v>45953.625</v>
      </c>
      <c r="G1772" s="2">
        <v>51241.0</v>
      </c>
      <c r="H1772" s="2">
        <v>51241.0</v>
      </c>
      <c r="I1772" s="2">
        <v>40918.0</v>
      </c>
      <c r="J1772" s="2">
        <v>236.0</v>
      </c>
      <c r="K1772" s="2">
        <v>209.0</v>
      </c>
      <c r="L1772" s="2">
        <v>5.0</v>
      </c>
      <c r="M1772" s="4">
        <v>48354.0</v>
      </c>
      <c r="N1772" s="2" t="s">
        <v>36</v>
      </c>
      <c r="O1772" s="2">
        <v>71.0</v>
      </c>
      <c r="P1772" s="2" t="s">
        <v>189</v>
      </c>
      <c r="Q1772" s="2" t="s">
        <v>32</v>
      </c>
      <c r="R1772" s="2">
        <v>40.0</v>
      </c>
      <c r="T1772" s="2" t="s">
        <v>47</v>
      </c>
      <c r="U1772" s="2" t="b">
        <v>0</v>
      </c>
      <c r="V1772" s="5">
        <v>0.0051</v>
      </c>
      <c r="W1772" s="5">
        <v>0.0239</v>
      </c>
      <c r="X1772" s="5">
        <v>1.22E-4</v>
      </c>
      <c r="Y1772" s="2">
        <v>231.3588517</v>
      </c>
      <c r="AA1772" s="2" t="s">
        <v>33</v>
      </c>
    </row>
    <row r="1773">
      <c r="A1773" s="2">
        <v>3607.0</v>
      </c>
      <c r="B1773" s="2" t="s">
        <v>5225</v>
      </c>
      <c r="C1773" s="2" t="s">
        <v>7</v>
      </c>
      <c r="D1773" s="2" t="s">
        <v>5226</v>
      </c>
      <c r="E1773" s="2" t="s">
        <v>5227</v>
      </c>
      <c r="F1773" s="3">
        <v>45953.625</v>
      </c>
      <c r="G1773" s="2">
        <v>66842.0</v>
      </c>
      <c r="H1773" s="2">
        <v>66842.0</v>
      </c>
      <c r="I1773" s="2">
        <v>54448.0</v>
      </c>
      <c r="J1773" s="2">
        <v>226.0</v>
      </c>
      <c r="K1773" s="2">
        <v>204.0</v>
      </c>
      <c r="L1773" s="2">
        <v>3.0</v>
      </c>
      <c r="M1773" s="4">
        <v>6607.0</v>
      </c>
      <c r="N1773" s="2" t="s">
        <v>30</v>
      </c>
      <c r="O1773" s="2">
        <v>70.0</v>
      </c>
      <c r="P1773" s="2" t="s">
        <v>189</v>
      </c>
      <c r="Q1773" s="2" t="s">
        <v>32</v>
      </c>
      <c r="R1773" s="2">
        <v>44.0</v>
      </c>
      <c r="T1773" s="2" t="s">
        <v>47</v>
      </c>
      <c r="U1773" s="2" t="b">
        <v>0</v>
      </c>
      <c r="V1773" s="5">
        <v>0.0037</v>
      </c>
      <c r="W1773" s="5">
        <v>0.0147</v>
      </c>
      <c r="X1773" s="5">
        <v>5.5E-5</v>
      </c>
      <c r="Y1773" s="2">
        <v>32.3872549</v>
      </c>
      <c r="Z1773" s="2">
        <v>3854.0</v>
      </c>
      <c r="AA1773" s="2" t="s">
        <v>33</v>
      </c>
    </row>
    <row r="1774">
      <c r="A1774" s="2">
        <v>3610.0</v>
      </c>
      <c r="B1774" s="2" t="s">
        <v>5228</v>
      </c>
      <c r="C1774" s="2" t="s">
        <v>7</v>
      </c>
      <c r="D1774" s="2" t="s">
        <v>5229</v>
      </c>
      <c r="E1774" s="2" t="s">
        <v>5230</v>
      </c>
      <c r="F1774" s="3">
        <v>45953.708333333336</v>
      </c>
      <c r="G1774" s="2">
        <v>51215.0</v>
      </c>
      <c r="H1774" s="2">
        <v>51215.0</v>
      </c>
      <c r="I1774" s="2">
        <v>40861.0</v>
      </c>
      <c r="J1774" s="2">
        <v>262.0</v>
      </c>
      <c r="K1774" s="2">
        <v>231.0</v>
      </c>
      <c r="L1774" s="2">
        <v>7.0</v>
      </c>
      <c r="M1774" s="4">
        <v>19450.0</v>
      </c>
      <c r="N1774" s="2" t="s">
        <v>36</v>
      </c>
      <c r="O1774" s="2">
        <v>71.0</v>
      </c>
      <c r="P1774" s="2" t="s">
        <v>189</v>
      </c>
      <c r="Q1774" s="2" t="s">
        <v>32</v>
      </c>
      <c r="R1774" s="2">
        <v>27.0</v>
      </c>
      <c r="U1774" s="2" t="b">
        <v>1</v>
      </c>
      <c r="V1774" s="5">
        <v>0.0057</v>
      </c>
      <c r="W1774" s="5">
        <v>0.0303</v>
      </c>
      <c r="X1774" s="5">
        <v>1.71E-4</v>
      </c>
      <c r="Y1774" s="2">
        <v>84.1991342</v>
      </c>
      <c r="AA1774" s="2" t="s">
        <v>33</v>
      </c>
    </row>
    <row r="1775">
      <c r="A1775" s="2">
        <v>3595.0</v>
      </c>
      <c r="B1775" s="2" t="s">
        <v>5231</v>
      </c>
      <c r="C1775" s="2" t="s">
        <v>7</v>
      </c>
      <c r="D1775" s="2" t="s">
        <v>5232</v>
      </c>
      <c r="E1775" s="2" t="s">
        <v>5233</v>
      </c>
      <c r="F1775" s="3">
        <v>45953.708333333336</v>
      </c>
      <c r="G1775" s="2">
        <v>7609.0</v>
      </c>
      <c r="H1775" s="2">
        <v>7609.0</v>
      </c>
      <c r="I1775" s="2">
        <v>5915.0</v>
      </c>
      <c r="J1775" s="2">
        <v>41.0</v>
      </c>
      <c r="K1775" s="2">
        <v>33.0</v>
      </c>
      <c r="L1775" s="2">
        <v>1.0</v>
      </c>
      <c r="M1775" s="2">
        <v>64.0</v>
      </c>
      <c r="N1775" s="2" t="s">
        <v>423</v>
      </c>
      <c r="O1775" s="2">
        <v>119.0</v>
      </c>
      <c r="P1775" s="2" t="s">
        <v>31</v>
      </c>
      <c r="Q1775" s="2" t="s">
        <v>1367</v>
      </c>
      <c r="R1775" s="2">
        <v>38.0</v>
      </c>
      <c r="U1775" s="2" t="b">
        <v>0</v>
      </c>
      <c r="V1775" s="5">
        <v>0.0056</v>
      </c>
      <c r="W1775" s="5">
        <v>0.0303</v>
      </c>
      <c r="X1775" s="5">
        <v>1.69E-4</v>
      </c>
      <c r="Y1775" s="2">
        <v>1.939393939</v>
      </c>
      <c r="AA1775" s="2" t="s">
        <v>423</v>
      </c>
    </row>
    <row r="1776">
      <c r="A1776" s="2">
        <v>3609.0</v>
      </c>
      <c r="B1776" s="2" t="s">
        <v>5234</v>
      </c>
      <c r="C1776" s="2" t="s">
        <v>7</v>
      </c>
      <c r="D1776" s="2" t="s">
        <v>5235</v>
      </c>
      <c r="E1776" s="2" t="s">
        <v>5236</v>
      </c>
      <c r="F1776" s="3">
        <v>45953.708333333336</v>
      </c>
      <c r="G1776" s="2">
        <v>66842.0</v>
      </c>
      <c r="H1776" s="2">
        <v>66842.0</v>
      </c>
      <c r="I1776" s="2">
        <v>54498.0</v>
      </c>
      <c r="J1776" s="2">
        <v>299.0</v>
      </c>
      <c r="K1776" s="2">
        <v>261.0</v>
      </c>
      <c r="L1776" s="2">
        <v>3.0</v>
      </c>
      <c r="M1776" s="4">
        <v>4460.0</v>
      </c>
      <c r="N1776" s="2" t="s">
        <v>30</v>
      </c>
      <c r="O1776" s="2">
        <v>70.0</v>
      </c>
      <c r="P1776" s="2" t="s">
        <v>31</v>
      </c>
      <c r="Q1776" s="2" t="s">
        <v>32</v>
      </c>
      <c r="R1776" s="2">
        <v>31.0</v>
      </c>
      <c r="T1776" s="2" t="s">
        <v>5237</v>
      </c>
      <c r="U1776" s="2" t="b">
        <v>0</v>
      </c>
      <c r="V1776" s="5">
        <v>0.0048</v>
      </c>
      <c r="W1776" s="5">
        <v>0.0115</v>
      </c>
      <c r="X1776" s="5">
        <v>5.5E-5</v>
      </c>
      <c r="Y1776" s="2">
        <v>17.08812261</v>
      </c>
      <c r="Z1776" s="2">
        <v>5623.0</v>
      </c>
      <c r="AA1776" s="2" t="s">
        <v>33</v>
      </c>
    </row>
    <row r="1777">
      <c r="A1777" s="2">
        <v>3596.0</v>
      </c>
      <c r="B1777" s="2" t="s">
        <v>5238</v>
      </c>
      <c r="C1777" s="2" t="s">
        <v>7</v>
      </c>
      <c r="D1777" s="2" t="s">
        <v>5239</v>
      </c>
      <c r="E1777" s="2" t="s">
        <v>5240</v>
      </c>
      <c r="F1777" s="3">
        <v>45953.791666666664</v>
      </c>
      <c r="G1777" s="2">
        <v>7608.0</v>
      </c>
      <c r="H1777" s="2">
        <v>7608.0</v>
      </c>
      <c r="I1777" s="2">
        <v>5941.0</v>
      </c>
      <c r="J1777" s="2">
        <v>34.0</v>
      </c>
      <c r="K1777" s="2">
        <v>30.0</v>
      </c>
      <c r="L1777" s="2">
        <v>0.0</v>
      </c>
      <c r="M1777" s="2">
        <v>0.0</v>
      </c>
      <c r="N1777" s="2" t="s">
        <v>423</v>
      </c>
      <c r="O1777" s="2">
        <v>119.0</v>
      </c>
      <c r="P1777" s="2" t="s">
        <v>189</v>
      </c>
      <c r="Q1777" s="2" t="s">
        <v>1367</v>
      </c>
      <c r="R1777" s="2">
        <v>43.0</v>
      </c>
      <c r="T1777" s="2" t="s">
        <v>47</v>
      </c>
      <c r="U1777" s="2" t="b">
        <v>0</v>
      </c>
      <c r="V1777" s="5">
        <v>0.005</v>
      </c>
      <c r="W1777" s="5">
        <v>0.0</v>
      </c>
      <c r="X1777" s="5">
        <v>0.0</v>
      </c>
      <c r="Y1777" s="2">
        <v>0.0</v>
      </c>
      <c r="AA1777" s="2" t="s">
        <v>423</v>
      </c>
    </row>
    <row r="1778">
      <c r="A1778" s="2">
        <v>3611.0</v>
      </c>
      <c r="B1778" s="2" t="s">
        <v>5241</v>
      </c>
      <c r="C1778" s="2" t="s">
        <v>7</v>
      </c>
      <c r="D1778" s="2" t="s">
        <v>5242</v>
      </c>
      <c r="E1778" s="2" t="s">
        <v>5243</v>
      </c>
      <c r="F1778" s="3">
        <v>45954.46666666667</v>
      </c>
      <c r="G1778" s="2">
        <v>66856.0</v>
      </c>
      <c r="H1778" s="2">
        <v>66856.0</v>
      </c>
      <c r="I1778" s="2">
        <v>54570.0</v>
      </c>
      <c r="J1778" s="2">
        <v>198.0</v>
      </c>
      <c r="K1778" s="2">
        <v>180.0</v>
      </c>
      <c r="L1778" s="2">
        <v>4.0</v>
      </c>
      <c r="M1778" s="4">
        <v>11160.0</v>
      </c>
      <c r="N1778" s="2" t="s">
        <v>30</v>
      </c>
      <c r="O1778" s="2">
        <v>70.0</v>
      </c>
      <c r="P1778" s="2" t="s">
        <v>189</v>
      </c>
      <c r="Q1778" s="2" t="s">
        <v>32</v>
      </c>
      <c r="R1778" s="2">
        <v>44.0</v>
      </c>
      <c r="T1778" s="2" t="s">
        <v>5244</v>
      </c>
      <c r="U1778" s="2" t="b">
        <v>0</v>
      </c>
      <c r="V1778" s="5">
        <v>0.0033</v>
      </c>
      <c r="W1778" s="5">
        <v>0.0222</v>
      </c>
      <c r="X1778" s="5">
        <v>7.3E-5</v>
      </c>
      <c r="Y1778" s="2">
        <v>62.0</v>
      </c>
      <c r="AA1778" s="2" t="s">
        <v>33</v>
      </c>
    </row>
    <row r="1779">
      <c r="A1779" s="2">
        <v>3612.0</v>
      </c>
      <c r="B1779" s="2" t="s">
        <v>5245</v>
      </c>
      <c r="C1779" s="2" t="s">
        <v>7</v>
      </c>
      <c r="D1779" s="2" t="s">
        <v>5246</v>
      </c>
      <c r="E1779" s="2" t="s">
        <v>5247</v>
      </c>
      <c r="F1779" s="3">
        <v>45954.467361111114</v>
      </c>
      <c r="G1779" s="2">
        <v>51270.0</v>
      </c>
      <c r="H1779" s="2">
        <v>51270.0</v>
      </c>
      <c r="I1779" s="2">
        <v>40868.0</v>
      </c>
      <c r="J1779" s="2">
        <v>159.0</v>
      </c>
      <c r="K1779" s="2">
        <v>133.0</v>
      </c>
      <c r="L1779" s="2">
        <v>2.0</v>
      </c>
      <c r="M1779" s="4">
        <v>3178.0</v>
      </c>
      <c r="N1779" s="2" t="s">
        <v>36</v>
      </c>
      <c r="O1779" s="2">
        <v>71.0</v>
      </c>
      <c r="P1779" s="2" t="s">
        <v>189</v>
      </c>
      <c r="Q1779" s="2" t="s">
        <v>32</v>
      </c>
      <c r="R1779" s="2">
        <v>44.0</v>
      </c>
      <c r="T1779" s="7" t="str">
        <f>IFERROR(__xludf.DUMMYFUNCTION("AI(""has offer Come X Pay X"",D1779)"),"It includes 25% Off")</f>
        <v>It includes 25% Off</v>
      </c>
      <c r="U1779" s="2" t="b">
        <v>0</v>
      </c>
      <c r="V1779" s="5">
        <v>0.0033</v>
      </c>
      <c r="W1779" s="5">
        <v>0.015</v>
      </c>
      <c r="X1779" s="5">
        <v>4.9E-5</v>
      </c>
      <c r="Y1779" s="2">
        <v>23.89473684</v>
      </c>
      <c r="AA1779" s="2" t="s">
        <v>33</v>
      </c>
    </row>
    <row r="1780">
      <c r="A1780" s="2">
        <v>3597.0</v>
      </c>
      <c r="B1780" s="2" t="s">
        <v>5248</v>
      </c>
      <c r="C1780" s="2" t="s">
        <v>7</v>
      </c>
      <c r="D1780" s="2" t="s">
        <v>5249</v>
      </c>
      <c r="E1780" s="2" t="s">
        <v>5250</v>
      </c>
      <c r="F1780" s="3">
        <v>45954.583333333336</v>
      </c>
      <c r="G1780" s="2">
        <v>7607.0</v>
      </c>
      <c r="H1780" s="2">
        <v>7607.0</v>
      </c>
      <c r="I1780" s="2">
        <v>5891.0</v>
      </c>
      <c r="J1780" s="2">
        <v>41.0</v>
      </c>
      <c r="K1780" s="2">
        <v>39.0</v>
      </c>
      <c r="L1780" s="2">
        <v>0.0</v>
      </c>
      <c r="M1780" s="2">
        <v>0.0</v>
      </c>
      <c r="N1780" s="2" t="s">
        <v>423</v>
      </c>
      <c r="O1780" s="2">
        <v>119.0</v>
      </c>
      <c r="P1780" s="2" t="s">
        <v>31</v>
      </c>
      <c r="Q1780" s="2" t="s">
        <v>1367</v>
      </c>
      <c r="R1780" s="2">
        <v>56.0</v>
      </c>
      <c r="U1780" s="2" t="b">
        <v>0</v>
      </c>
      <c r="V1780" s="5">
        <v>0.0066</v>
      </c>
      <c r="W1780" s="5">
        <v>0.0</v>
      </c>
      <c r="X1780" s="5">
        <v>0.0</v>
      </c>
      <c r="Y1780" s="2">
        <v>0.0</v>
      </c>
      <c r="AA1780" s="2" t="s">
        <v>423</v>
      </c>
    </row>
    <row r="1781">
      <c r="A1781" s="2">
        <v>3614.0</v>
      </c>
      <c r="B1781" s="2" t="s">
        <v>5251</v>
      </c>
      <c r="C1781" s="2" t="s">
        <v>7</v>
      </c>
      <c r="D1781" s="2" t="s">
        <v>5252</v>
      </c>
      <c r="E1781" s="2" t="s">
        <v>5253</v>
      </c>
      <c r="F1781" s="3">
        <v>45954.625</v>
      </c>
      <c r="G1781" s="2">
        <v>51260.0</v>
      </c>
      <c r="H1781" s="2">
        <v>51260.0</v>
      </c>
      <c r="I1781" s="2">
        <v>41072.0</v>
      </c>
      <c r="J1781" s="2">
        <v>209.0</v>
      </c>
      <c r="K1781" s="2">
        <v>187.0</v>
      </c>
      <c r="L1781" s="2">
        <v>2.0</v>
      </c>
      <c r="M1781" s="4">
        <v>3280.0</v>
      </c>
      <c r="N1781" s="2" t="s">
        <v>36</v>
      </c>
      <c r="O1781" s="2">
        <v>71.0</v>
      </c>
      <c r="P1781" s="2" t="s">
        <v>31</v>
      </c>
      <c r="Q1781" s="2" t="s">
        <v>32</v>
      </c>
      <c r="R1781" s="2">
        <v>27.0</v>
      </c>
      <c r="T1781" s="2" t="s">
        <v>4595</v>
      </c>
      <c r="U1781" s="2" t="b">
        <v>1</v>
      </c>
      <c r="V1781" s="5">
        <v>0.0046</v>
      </c>
      <c r="W1781" s="5">
        <v>0.0107</v>
      </c>
      <c r="X1781" s="5">
        <v>4.9E-5</v>
      </c>
      <c r="Y1781" s="2">
        <v>17.54010695</v>
      </c>
      <c r="AA1781" s="2" t="s">
        <v>33</v>
      </c>
    </row>
    <row r="1782">
      <c r="A1782" s="2">
        <v>3613.0</v>
      </c>
      <c r="B1782" s="2" t="s">
        <v>5254</v>
      </c>
      <c r="C1782" s="2" t="s">
        <v>7</v>
      </c>
      <c r="D1782" s="2" t="s">
        <v>5255</v>
      </c>
      <c r="E1782" s="2" t="s">
        <v>5256</v>
      </c>
      <c r="F1782" s="3">
        <v>45954.625</v>
      </c>
      <c r="G1782" s="2">
        <v>66900.0</v>
      </c>
      <c r="H1782" s="2">
        <v>66900.0</v>
      </c>
      <c r="I1782" s="2">
        <v>54745.0</v>
      </c>
      <c r="J1782" s="2">
        <v>254.0</v>
      </c>
      <c r="K1782" s="2">
        <v>233.0</v>
      </c>
      <c r="L1782" s="2">
        <v>5.0</v>
      </c>
      <c r="M1782" s="4">
        <v>13807.0</v>
      </c>
      <c r="N1782" s="2" t="s">
        <v>30</v>
      </c>
      <c r="O1782" s="2">
        <v>70.0</v>
      </c>
      <c r="P1782" s="2" t="s">
        <v>189</v>
      </c>
      <c r="Q1782" s="2" t="s">
        <v>32</v>
      </c>
      <c r="R1782" s="2">
        <v>27.0</v>
      </c>
      <c r="T1782" s="2" t="s">
        <v>405</v>
      </c>
      <c r="U1782" s="2" t="b">
        <v>0</v>
      </c>
      <c r="V1782" s="5">
        <v>0.0043</v>
      </c>
      <c r="W1782" s="5">
        <v>0.0215</v>
      </c>
      <c r="X1782" s="5">
        <v>9.1E-5</v>
      </c>
      <c r="Y1782" s="2">
        <v>59.25751073</v>
      </c>
      <c r="Z1782" s="2">
        <v>1594.0</v>
      </c>
      <c r="AA1782" s="2" t="s">
        <v>33</v>
      </c>
    </row>
    <row r="1783">
      <c r="A1783" s="2">
        <v>3598.0</v>
      </c>
      <c r="B1783" s="2" t="s">
        <v>5257</v>
      </c>
      <c r="C1783" s="2" t="s">
        <v>7</v>
      </c>
      <c r="D1783" s="2" t="s">
        <v>5258</v>
      </c>
      <c r="E1783" s="2" t="s">
        <v>5259</v>
      </c>
      <c r="F1783" s="3">
        <v>45954.708333333336</v>
      </c>
      <c r="G1783" s="2">
        <v>7610.0</v>
      </c>
      <c r="H1783" s="2">
        <v>7610.0</v>
      </c>
      <c r="I1783" s="2">
        <v>5929.0</v>
      </c>
      <c r="J1783" s="2">
        <v>45.0</v>
      </c>
      <c r="K1783" s="2">
        <v>38.0</v>
      </c>
      <c r="L1783" s="2">
        <v>1.0</v>
      </c>
      <c r="M1783" s="4">
        <v>3998.0</v>
      </c>
      <c r="N1783" s="2" t="s">
        <v>423</v>
      </c>
      <c r="O1783" s="2">
        <v>119.0</v>
      </c>
      <c r="P1783" s="2" t="s">
        <v>31</v>
      </c>
      <c r="Q1783" s="2" t="s">
        <v>1367</v>
      </c>
      <c r="R1783" s="2">
        <v>41.0</v>
      </c>
      <c r="T1783" s="2" t="s">
        <v>47</v>
      </c>
      <c r="U1783" s="2" t="b">
        <v>0</v>
      </c>
      <c r="V1783" s="5">
        <v>0.0064</v>
      </c>
      <c r="W1783" s="5">
        <v>0.0263</v>
      </c>
      <c r="X1783" s="5">
        <v>1.69E-4</v>
      </c>
      <c r="Y1783" s="2">
        <v>105.2105263</v>
      </c>
      <c r="AA1783" s="2" t="s">
        <v>423</v>
      </c>
    </row>
    <row r="1784">
      <c r="A1784" s="2">
        <v>3616.0</v>
      </c>
      <c r="B1784" s="2" t="s">
        <v>5260</v>
      </c>
      <c r="C1784" s="2" t="s">
        <v>7</v>
      </c>
      <c r="D1784" s="2" t="s">
        <v>5261</v>
      </c>
      <c r="E1784" s="2" t="s">
        <v>5262</v>
      </c>
      <c r="F1784" s="3">
        <v>45954.708333333336</v>
      </c>
      <c r="G1784" s="2">
        <v>51271.0</v>
      </c>
      <c r="H1784" s="2">
        <v>51271.0</v>
      </c>
      <c r="I1784" s="2">
        <v>40769.0</v>
      </c>
      <c r="J1784" s="2">
        <v>149.0</v>
      </c>
      <c r="K1784" s="2">
        <v>132.0</v>
      </c>
      <c r="L1784" s="2">
        <v>2.0</v>
      </c>
      <c r="M1784" s="4">
        <v>3700.0</v>
      </c>
      <c r="N1784" s="2" t="s">
        <v>36</v>
      </c>
      <c r="O1784" s="2">
        <v>71.0</v>
      </c>
      <c r="P1784" s="2" t="s">
        <v>189</v>
      </c>
      <c r="Q1784" s="2" t="s">
        <v>32</v>
      </c>
      <c r="R1784" s="2">
        <v>38.0</v>
      </c>
      <c r="T1784" s="2" t="s">
        <v>3824</v>
      </c>
      <c r="U1784" s="2" t="b">
        <v>0</v>
      </c>
      <c r="V1784" s="5">
        <v>0.0032</v>
      </c>
      <c r="W1784" s="5">
        <v>0.0152</v>
      </c>
      <c r="X1784" s="5">
        <v>4.9E-5</v>
      </c>
      <c r="Y1784" s="2">
        <v>28.03030303</v>
      </c>
      <c r="AA1784" s="2" t="s">
        <v>33</v>
      </c>
    </row>
    <row r="1785">
      <c r="A1785" s="2">
        <v>3615.0</v>
      </c>
      <c r="B1785" s="2" t="s">
        <v>5263</v>
      </c>
      <c r="C1785" s="2" t="s">
        <v>7</v>
      </c>
      <c r="D1785" s="2" t="s">
        <v>5264</v>
      </c>
      <c r="E1785" s="2" t="s">
        <v>5265</v>
      </c>
      <c r="F1785" s="3">
        <v>45954.708333333336</v>
      </c>
      <c r="G1785" s="2">
        <v>66913.0</v>
      </c>
      <c r="H1785" s="2">
        <v>66913.0</v>
      </c>
      <c r="I1785" s="2">
        <v>54797.0</v>
      </c>
      <c r="J1785" s="2">
        <v>178.0</v>
      </c>
      <c r="K1785" s="2">
        <v>152.0</v>
      </c>
      <c r="L1785" s="2">
        <v>0.0</v>
      </c>
      <c r="M1785" s="2">
        <v>0.0</v>
      </c>
      <c r="N1785" s="2" t="s">
        <v>30</v>
      </c>
      <c r="O1785" s="2">
        <v>70.0</v>
      </c>
      <c r="P1785" s="2" t="s">
        <v>31</v>
      </c>
      <c r="Q1785" s="2" t="s">
        <v>32</v>
      </c>
      <c r="R1785" s="2">
        <v>43.0</v>
      </c>
      <c r="U1785" s="2" t="b">
        <v>0</v>
      </c>
      <c r="V1785" s="5">
        <v>0.0028</v>
      </c>
      <c r="W1785" s="5">
        <v>0.0</v>
      </c>
      <c r="X1785" s="5">
        <v>0.0</v>
      </c>
      <c r="Y1785" s="2">
        <v>0.0</v>
      </c>
      <c r="Z1785" s="2">
        <v>5711.0</v>
      </c>
      <c r="AA1785" s="2" t="s">
        <v>33</v>
      </c>
    </row>
    <row r="1786">
      <c r="A1786" s="2">
        <v>3599.0</v>
      </c>
      <c r="B1786" s="2" t="s">
        <v>5266</v>
      </c>
      <c r="C1786" s="2" t="s">
        <v>7</v>
      </c>
      <c r="D1786" s="2" t="s">
        <v>5267</v>
      </c>
      <c r="E1786" s="2" t="s">
        <v>5268</v>
      </c>
      <c r="F1786" s="3">
        <v>45954.791666666664</v>
      </c>
      <c r="G1786" s="2">
        <v>7609.0</v>
      </c>
      <c r="H1786" s="2">
        <v>7609.0</v>
      </c>
      <c r="I1786" s="2">
        <v>5944.0</v>
      </c>
      <c r="J1786" s="2">
        <v>35.0</v>
      </c>
      <c r="K1786" s="2">
        <v>28.0</v>
      </c>
      <c r="L1786" s="2">
        <v>0.0</v>
      </c>
      <c r="M1786" s="2">
        <v>0.0</v>
      </c>
      <c r="N1786" s="2" t="s">
        <v>423</v>
      </c>
      <c r="O1786" s="2">
        <v>119.0</v>
      </c>
      <c r="P1786" s="2" t="s">
        <v>31</v>
      </c>
      <c r="Q1786" s="2" t="s">
        <v>1367</v>
      </c>
      <c r="R1786" s="2">
        <v>38.0</v>
      </c>
      <c r="T1786" s="2" t="s">
        <v>47</v>
      </c>
      <c r="U1786" s="2" t="b">
        <v>0</v>
      </c>
      <c r="V1786" s="5">
        <v>0.0047</v>
      </c>
      <c r="W1786" s="5">
        <v>0.0</v>
      </c>
      <c r="X1786" s="5">
        <v>0.0</v>
      </c>
      <c r="Y1786" s="2">
        <v>0.0</v>
      </c>
      <c r="AA1786" s="2" t="s">
        <v>423</v>
      </c>
    </row>
    <row r="1787">
      <c r="A1787" s="2">
        <v>3618.0</v>
      </c>
      <c r="B1787" s="2" t="s">
        <v>5269</v>
      </c>
      <c r="C1787" s="2" t="s">
        <v>7</v>
      </c>
      <c r="D1787" s="2" t="s">
        <v>5270</v>
      </c>
      <c r="E1787" s="2" t="s">
        <v>5271</v>
      </c>
      <c r="F1787" s="3">
        <v>45955.458333333336</v>
      </c>
      <c r="G1787" s="2">
        <v>51326.0</v>
      </c>
      <c r="H1787" s="2">
        <v>51326.0</v>
      </c>
      <c r="I1787" s="2">
        <v>40435.0</v>
      </c>
      <c r="J1787" s="2">
        <v>212.0</v>
      </c>
      <c r="K1787" s="2">
        <v>186.0</v>
      </c>
      <c r="L1787" s="2">
        <v>2.0</v>
      </c>
      <c r="M1787" s="4">
        <v>7070.0</v>
      </c>
      <c r="N1787" s="2" t="s">
        <v>36</v>
      </c>
      <c r="O1787" s="2">
        <v>71.0</v>
      </c>
      <c r="P1787" s="2" t="s">
        <v>189</v>
      </c>
      <c r="Q1787" s="2" t="s">
        <v>32</v>
      </c>
      <c r="R1787" s="2">
        <v>54.0</v>
      </c>
      <c r="U1787" s="2" t="b">
        <v>0</v>
      </c>
      <c r="V1787" s="5">
        <v>0.0046</v>
      </c>
      <c r="W1787" s="5">
        <v>0.0108</v>
      </c>
      <c r="X1787" s="5">
        <v>4.9E-5</v>
      </c>
      <c r="Y1787" s="2">
        <v>38.01075269</v>
      </c>
      <c r="AA1787" s="2" t="s">
        <v>33</v>
      </c>
    </row>
    <row r="1788">
      <c r="A1788" s="2">
        <v>3617.0</v>
      </c>
      <c r="B1788" s="2" t="s">
        <v>5272</v>
      </c>
      <c r="C1788" s="2" t="s">
        <v>7</v>
      </c>
      <c r="D1788" s="2" t="s">
        <v>5273</v>
      </c>
      <c r="E1788" s="2" t="s">
        <v>5274</v>
      </c>
      <c r="F1788" s="3">
        <v>45955.458333333336</v>
      </c>
      <c r="G1788" s="2">
        <v>66936.0</v>
      </c>
      <c r="H1788" s="2">
        <v>66936.0</v>
      </c>
      <c r="I1788" s="2">
        <v>54029.0</v>
      </c>
      <c r="J1788" s="2">
        <v>210.0</v>
      </c>
      <c r="K1788" s="2">
        <v>180.0</v>
      </c>
      <c r="L1788" s="2">
        <v>2.0</v>
      </c>
      <c r="M1788" s="4">
        <v>4661.0</v>
      </c>
      <c r="N1788" s="2" t="s">
        <v>30</v>
      </c>
      <c r="O1788" s="2">
        <v>70.0</v>
      </c>
      <c r="P1788" s="2" t="s">
        <v>31</v>
      </c>
      <c r="Q1788" s="2" t="s">
        <v>32</v>
      </c>
      <c r="R1788" s="2">
        <v>46.0</v>
      </c>
      <c r="T1788" s="2" t="s">
        <v>47</v>
      </c>
      <c r="U1788" s="2" t="b">
        <v>0</v>
      </c>
      <c r="V1788" s="5">
        <v>0.0033</v>
      </c>
      <c r="W1788" s="5">
        <v>0.0111</v>
      </c>
      <c r="X1788" s="5">
        <v>3.7E-5</v>
      </c>
      <c r="Y1788" s="2">
        <v>25.89444444</v>
      </c>
      <c r="AA1788" s="2" t="s">
        <v>33</v>
      </c>
    </row>
    <row r="1789">
      <c r="A1789" s="2">
        <v>3621.0</v>
      </c>
      <c r="B1789" s="2" t="s">
        <v>5275</v>
      </c>
      <c r="C1789" s="2" t="s">
        <v>1277</v>
      </c>
      <c r="D1789" s="2" t="s">
        <v>5276</v>
      </c>
      <c r="E1789" s="2" t="s">
        <v>5277</v>
      </c>
      <c r="F1789" s="3">
        <v>45955.625</v>
      </c>
      <c r="G1789" s="2">
        <v>0.0</v>
      </c>
      <c r="H1789" s="2">
        <v>0.0</v>
      </c>
      <c r="I1789" s="2">
        <v>0.0</v>
      </c>
      <c r="J1789" s="2">
        <v>0.0</v>
      </c>
      <c r="K1789" s="2">
        <v>0.0</v>
      </c>
      <c r="L1789" s="2">
        <v>0.0</v>
      </c>
      <c r="M1789" s="2">
        <v>0.0</v>
      </c>
      <c r="N1789" s="2" t="s">
        <v>36</v>
      </c>
      <c r="O1789" s="2">
        <v>71.0</v>
      </c>
      <c r="P1789" s="2" t="s">
        <v>189</v>
      </c>
      <c r="Q1789" s="2" t="s">
        <v>32</v>
      </c>
      <c r="R1789" s="2">
        <v>37.0</v>
      </c>
      <c r="T1789" s="2" t="s">
        <v>47</v>
      </c>
      <c r="U1789" s="2" t="b">
        <v>0</v>
      </c>
      <c r="AA1789" s="2" t="s">
        <v>33</v>
      </c>
    </row>
    <row r="1790">
      <c r="A1790" s="2">
        <v>3620.0</v>
      </c>
      <c r="B1790" s="2" t="s">
        <v>5278</v>
      </c>
      <c r="C1790" s="2" t="s">
        <v>1277</v>
      </c>
      <c r="D1790" s="2" t="s">
        <v>5279</v>
      </c>
      <c r="E1790" s="2" t="s">
        <v>5280</v>
      </c>
      <c r="F1790" s="3">
        <v>45955.625</v>
      </c>
      <c r="G1790" s="2">
        <v>0.0</v>
      </c>
      <c r="H1790" s="2">
        <v>0.0</v>
      </c>
      <c r="I1790" s="2">
        <v>0.0</v>
      </c>
      <c r="J1790" s="2">
        <v>0.0</v>
      </c>
      <c r="K1790" s="2">
        <v>0.0</v>
      </c>
      <c r="L1790" s="2">
        <v>0.0</v>
      </c>
      <c r="M1790" s="2">
        <v>0.0</v>
      </c>
      <c r="N1790" s="2" t="s">
        <v>30</v>
      </c>
      <c r="O1790" s="2">
        <v>70.0</v>
      </c>
      <c r="P1790" s="2" t="s">
        <v>189</v>
      </c>
      <c r="Q1790" s="2" t="s">
        <v>32</v>
      </c>
      <c r="R1790" s="2">
        <v>42.0</v>
      </c>
      <c r="U1790" s="2" t="b">
        <v>0</v>
      </c>
      <c r="Z1790" s="2">
        <v>6460.0</v>
      </c>
      <c r="AA1790" s="2" t="s">
        <v>33</v>
      </c>
    </row>
    <row r="1791">
      <c r="A1791" s="2">
        <v>3623.0</v>
      </c>
      <c r="B1791" s="2" t="s">
        <v>5281</v>
      </c>
      <c r="C1791" s="2" t="s">
        <v>1277</v>
      </c>
      <c r="D1791" s="2" t="s">
        <v>5282</v>
      </c>
      <c r="E1791" s="2" t="s">
        <v>5283</v>
      </c>
      <c r="F1791" s="3">
        <v>45955.708333333336</v>
      </c>
      <c r="G1791" s="2">
        <v>0.0</v>
      </c>
      <c r="H1791" s="2">
        <v>0.0</v>
      </c>
      <c r="I1791" s="2">
        <v>0.0</v>
      </c>
      <c r="J1791" s="2">
        <v>0.0</v>
      </c>
      <c r="K1791" s="2">
        <v>0.0</v>
      </c>
      <c r="L1791" s="2">
        <v>0.0</v>
      </c>
      <c r="M1791" s="2">
        <v>0.0</v>
      </c>
      <c r="N1791" s="2" t="s">
        <v>36</v>
      </c>
      <c r="O1791" s="2">
        <v>71.0</v>
      </c>
      <c r="P1791" s="2" t="s">
        <v>31</v>
      </c>
      <c r="Q1791" s="2" t="s">
        <v>32</v>
      </c>
      <c r="R1791" s="2">
        <v>30.0</v>
      </c>
      <c r="T1791" s="2" t="s">
        <v>47</v>
      </c>
      <c r="U1791" s="2" t="b">
        <v>0</v>
      </c>
      <c r="AA1791" s="2" t="s">
        <v>33</v>
      </c>
    </row>
    <row r="1792">
      <c r="A1792" s="2">
        <v>3622.0</v>
      </c>
      <c r="B1792" s="2" t="s">
        <v>5284</v>
      </c>
      <c r="C1792" s="2" t="s">
        <v>1277</v>
      </c>
      <c r="D1792" s="2" t="s">
        <v>5285</v>
      </c>
      <c r="E1792" s="2" t="s">
        <v>5286</v>
      </c>
      <c r="F1792" s="3">
        <v>45955.708333333336</v>
      </c>
      <c r="G1792" s="2">
        <v>0.0</v>
      </c>
      <c r="H1792" s="2">
        <v>0.0</v>
      </c>
      <c r="I1792" s="2">
        <v>0.0</v>
      </c>
      <c r="J1792" s="2">
        <v>0.0</v>
      </c>
      <c r="K1792" s="2">
        <v>0.0</v>
      </c>
      <c r="L1792" s="2">
        <v>0.0</v>
      </c>
      <c r="M1792" s="2">
        <v>0.0</v>
      </c>
      <c r="N1792" s="2" t="s">
        <v>30</v>
      </c>
      <c r="O1792" s="2">
        <v>70.0</v>
      </c>
      <c r="P1792" s="2" t="s">
        <v>189</v>
      </c>
      <c r="Q1792" s="2" t="s">
        <v>32</v>
      </c>
      <c r="R1792" s="2">
        <v>35.0</v>
      </c>
      <c r="T1792" s="2" t="s">
        <v>47</v>
      </c>
      <c r="U1792" s="2" t="b">
        <v>0</v>
      </c>
      <c r="Z1792" s="2">
        <v>3905.0</v>
      </c>
      <c r="AA1792" s="2" t="s">
        <v>33</v>
      </c>
    </row>
    <row r="1793">
      <c r="A1793" s="2">
        <v>3601.0</v>
      </c>
      <c r="B1793" s="2" t="s">
        <v>5287</v>
      </c>
      <c r="C1793" s="2" t="s">
        <v>7</v>
      </c>
      <c r="D1793" s="2" t="s">
        <v>5288</v>
      </c>
      <c r="E1793" s="2" t="s">
        <v>5289</v>
      </c>
      <c r="F1793" s="3">
        <v>45955.708333333336</v>
      </c>
      <c r="G1793" s="2">
        <v>7660.0</v>
      </c>
      <c r="H1793" s="2">
        <v>7660.0</v>
      </c>
      <c r="I1793" s="2">
        <v>5935.0</v>
      </c>
      <c r="J1793" s="2">
        <v>37.0</v>
      </c>
      <c r="K1793" s="2">
        <v>33.0</v>
      </c>
      <c r="L1793" s="2">
        <v>0.0</v>
      </c>
      <c r="M1793" s="2">
        <v>0.0</v>
      </c>
      <c r="N1793" s="2" t="s">
        <v>423</v>
      </c>
      <c r="O1793" s="2">
        <v>119.0</v>
      </c>
      <c r="P1793" s="2" t="s">
        <v>31</v>
      </c>
      <c r="Q1793" s="2" t="s">
        <v>1367</v>
      </c>
      <c r="R1793" s="2">
        <v>28.0</v>
      </c>
      <c r="T1793" s="2" t="s">
        <v>47</v>
      </c>
      <c r="U1793" s="2" t="b">
        <v>0</v>
      </c>
      <c r="V1793" s="5">
        <v>0.0056</v>
      </c>
      <c r="W1793" s="5">
        <v>0.0</v>
      </c>
      <c r="X1793" s="5">
        <v>0.0</v>
      </c>
      <c r="Y1793" s="2">
        <v>0.0</v>
      </c>
      <c r="AA1793" s="2" t="s">
        <v>423</v>
      </c>
    </row>
    <row r="1794">
      <c r="A1794" s="2">
        <v>3625.0</v>
      </c>
      <c r="B1794" s="2" t="s">
        <v>5290</v>
      </c>
      <c r="C1794" s="2" t="s">
        <v>1277</v>
      </c>
      <c r="D1794" s="2" t="s">
        <v>5291</v>
      </c>
      <c r="E1794" s="2" t="s">
        <v>5292</v>
      </c>
      <c r="F1794" s="3">
        <v>45956.458333333336</v>
      </c>
      <c r="G1794" s="2">
        <v>0.0</v>
      </c>
      <c r="H1794" s="2">
        <v>0.0</v>
      </c>
      <c r="I1794" s="2">
        <v>0.0</v>
      </c>
      <c r="J1794" s="2">
        <v>0.0</v>
      </c>
      <c r="K1794" s="2">
        <v>0.0</v>
      </c>
      <c r="L1794" s="2">
        <v>0.0</v>
      </c>
      <c r="M1794" s="2">
        <v>0.0</v>
      </c>
      <c r="N1794" s="2" t="s">
        <v>36</v>
      </c>
      <c r="O1794" s="2">
        <v>71.0</v>
      </c>
      <c r="P1794" s="2" t="s">
        <v>189</v>
      </c>
      <c r="Q1794" s="2" t="s">
        <v>32</v>
      </c>
      <c r="R1794" s="2">
        <v>41.0</v>
      </c>
      <c r="T1794" s="2" t="s">
        <v>47</v>
      </c>
      <c r="U1794" s="2" t="b">
        <v>0</v>
      </c>
      <c r="AA1794" s="2" t="s">
        <v>33</v>
      </c>
    </row>
    <row r="1795">
      <c r="A1795" s="2">
        <v>3624.0</v>
      </c>
      <c r="B1795" s="2" t="s">
        <v>5293</v>
      </c>
      <c r="C1795" s="2" t="s">
        <v>1277</v>
      </c>
      <c r="D1795" s="2" t="s">
        <v>5294</v>
      </c>
      <c r="E1795" s="2" t="s">
        <v>5295</v>
      </c>
      <c r="F1795" s="3">
        <v>45956.458333333336</v>
      </c>
      <c r="G1795" s="2">
        <v>0.0</v>
      </c>
      <c r="H1795" s="2">
        <v>0.0</v>
      </c>
      <c r="I1795" s="2">
        <v>0.0</v>
      </c>
      <c r="J1795" s="2">
        <v>0.0</v>
      </c>
      <c r="K1795" s="2">
        <v>0.0</v>
      </c>
      <c r="L1795" s="2">
        <v>0.0</v>
      </c>
      <c r="M1795" s="2">
        <v>0.0</v>
      </c>
      <c r="N1795" s="2" t="s">
        <v>30</v>
      </c>
      <c r="O1795" s="2">
        <v>70.0</v>
      </c>
      <c r="P1795" s="2" t="s">
        <v>189</v>
      </c>
      <c r="Q1795" s="2" t="s">
        <v>32</v>
      </c>
      <c r="R1795" s="2">
        <v>41.0</v>
      </c>
      <c r="T1795" s="2" t="s">
        <v>5296</v>
      </c>
      <c r="U1795" s="2" t="b">
        <v>0</v>
      </c>
      <c r="Z1795" s="2">
        <v>3377.0</v>
      </c>
      <c r="AA1795" s="2" t="s">
        <v>33</v>
      </c>
    </row>
    <row r="1796">
      <c r="A1796" s="2">
        <v>3602.0</v>
      </c>
      <c r="B1796" s="2" t="s">
        <v>5297</v>
      </c>
      <c r="C1796" s="2" t="s">
        <v>7</v>
      </c>
      <c r="D1796" s="2" t="s">
        <v>5298</v>
      </c>
      <c r="E1796" s="2" t="s">
        <v>5299</v>
      </c>
      <c r="F1796" s="3">
        <v>45956.583333333336</v>
      </c>
      <c r="G1796" s="2">
        <v>7629.0</v>
      </c>
      <c r="H1796" s="2">
        <v>7629.0</v>
      </c>
      <c r="I1796" s="2">
        <v>5927.0</v>
      </c>
      <c r="J1796" s="2">
        <v>41.0</v>
      </c>
      <c r="K1796" s="2">
        <v>34.0</v>
      </c>
      <c r="L1796" s="2">
        <v>0.0</v>
      </c>
      <c r="M1796" s="2">
        <v>0.0</v>
      </c>
      <c r="N1796" s="2" t="s">
        <v>423</v>
      </c>
      <c r="O1796" s="2">
        <v>119.0</v>
      </c>
      <c r="P1796" s="2" t="s">
        <v>189</v>
      </c>
      <c r="Q1796" s="2" t="s">
        <v>1367</v>
      </c>
      <c r="R1796" s="2">
        <v>47.0</v>
      </c>
      <c r="T1796" s="2" t="s">
        <v>47</v>
      </c>
      <c r="U1796" s="2" t="b">
        <v>0</v>
      </c>
      <c r="V1796" s="5">
        <v>0.0057</v>
      </c>
      <c r="W1796" s="5">
        <v>0.0</v>
      </c>
      <c r="X1796" s="5">
        <v>0.0</v>
      </c>
      <c r="Y1796" s="2">
        <v>0.0</v>
      </c>
      <c r="AA1796" s="2" t="s">
        <v>423</v>
      </c>
    </row>
    <row r="1797">
      <c r="A1797" s="2">
        <v>3627.0</v>
      </c>
      <c r="B1797" s="2" t="s">
        <v>5300</v>
      </c>
      <c r="C1797" s="2" t="s">
        <v>1277</v>
      </c>
      <c r="D1797" s="2" t="s">
        <v>5301</v>
      </c>
      <c r="E1797" s="2" t="s">
        <v>5302</v>
      </c>
      <c r="F1797" s="3">
        <v>45956.625</v>
      </c>
      <c r="G1797" s="2">
        <v>0.0</v>
      </c>
      <c r="H1797" s="2">
        <v>0.0</v>
      </c>
      <c r="I1797" s="2">
        <v>0.0</v>
      </c>
      <c r="J1797" s="2">
        <v>0.0</v>
      </c>
      <c r="K1797" s="2">
        <v>0.0</v>
      </c>
      <c r="L1797" s="2">
        <v>0.0</v>
      </c>
      <c r="M1797" s="2">
        <v>0.0</v>
      </c>
      <c r="N1797" s="2" t="s">
        <v>36</v>
      </c>
      <c r="O1797" s="2">
        <v>71.0</v>
      </c>
      <c r="P1797" s="2" t="s">
        <v>189</v>
      </c>
      <c r="Q1797" s="2" t="s">
        <v>32</v>
      </c>
      <c r="R1797" s="2">
        <v>41.0</v>
      </c>
      <c r="T1797" s="2" t="s">
        <v>58</v>
      </c>
      <c r="U1797" s="2" t="b">
        <v>1</v>
      </c>
      <c r="AA1797" s="2" t="s">
        <v>33</v>
      </c>
    </row>
    <row r="1798">
      <c r="A1798" s="2">
        <v>3626.0</v>
      </c>
      <c r="B1798" s="2" t="s">
        <v>5303</v>
      </c>
      <c r="C1798" s="2" t="s">
        <v>1277</v>
      </c>
      <c r="D1798" s="2" t="s">
        <v>5304</v>
      </c>
      <c r="E1798" s="2" t="s">
        <v>5305</v>
      </c>
      <c r="F1798" s="3">
        <v>45956.625</v>
      </c>
      <c r="G1798" s="2">
        <v>0.0</v>
      </c>
      <c r="H1798" s="2">
        <v>0.0</v>
      </c>
      <c r="I1798" s="2">
        <v>0.0</v>
      </c>
      <c r="J1798" s="2">
        <v>0.0</v>
      </c>
      <c r="K1798" s="2">
        <v>0.0</v>
      </c>
      <c r="L1798" s="2">
        <v>0.0</v>
      </c>
      <c r="M1798" s="2">
        <v>0.0</v>
      </c>
      <c r="N1798" s="2" t="s">
        <v>30</v>
      </c>
      <c r="O1798" s="2">
        <v>70.0</v>
      </c>
      <c r="P1798" s="2" t="s">
        <v>189</v>
      </c>
      <c r="Q1798" s="2" t="s">
        <v>32</v>
      </c>
      <c r="R1798" s="2">
        <v>41.0</v>
      </c>
      <c r="T1798" s="2" t="s">
        <v>405</v>
      </c>
      <c r="U1798" s="2" t="b">
        <v>0</v>
      </c>
      <c r="Z1798" s="2">
        <v>835.0</v>
      </c>
      <c r="AA1798" s="2" t="s">
        <v>33</v>
      </c>
    </row>
    <row r="1799">
      <c r="A1799" s="2">
        <v>3603.0</v>
      </c>
      <c r="B1799" s="2" t="s">
        <v>5306</v>
      </c>
      <c r="C1799" s="2" t="s">
        <v>7</v>
      </c>
      <c r="D1799" s="2" t="s">
        <v>5307</v>
      </c>
      <c r="E1799" s="2" t="s">
        <v>5308</v>
      </c>
      <c r="F1799" s="3">
        <v>45956.708333333336</v>
      </c>
      <c r="G1799" s="2">
        <v>7632.0</v>
      </c>
      <c r="H1799" s="2">
        <v>7632.0</v>
      </c>
      <c r="I1799" s="2">
        <v>5926.0</v>
      </c>
      <c r="J1799" s="2">
        <v>32.0</v>
      </c>
      <c r="K1799" s="2">
        <v>32.0</v>
      </c>
      <c r="L1799" s="2">
        <v>0.0</v>
      </c>
      <c r="M1799" s="2">
        <v>0.0</v>
      </c>
      <c r="N1799" s="2" t="s">
        <v>423</v>
      </c>
      <c r="O1799" s="2">
        <v>119.0</v>
      </c>
      <c r="P1799" s="2" t="s">
        <v>189</v>
      </c>
      <c r="Q1799" s="2" t="s">
        <v>1367</v>
      </c>
      <c r="R1799" s="2">
        <v>46.0</v>
      </c>
      <c r="T1799" s="2" t="s">
        <v>47</v>
      </c>
      <c r="U1799" s="2" t="b">
        <v>0</v>
      </c>
      <c r="V1799" s="5">
        <v>0.0054</v>
      </c>
      <c r="W1799" s="5">
        <v>0.0</v>
      </c>
      <c r="X1799" s="5">
        <v>0.0</v>
      </c>
      <c r="Y1799" s="2">
        <v>0.0</v>
      </c>
      <c r="AA1799" s="2" t="s">
        <v>423</v>
      </c>
    </row>
    <row r="1800">
      <c r="A1800" s="2">
        <v>3629.0</v>
      </c>
      <c r="B1800" s="2" t="s">
        <v>5309</v>
      </c>
      <c r="C1800" s="2" t="s">
        <v>1277</v>
      </c>
      <c r="D1800" s="2" t="s">
        <v>5310</v>
      </c>
      <c r="E1800" s="2" t="s">
        <v>5311</v>
      </c>
      <c r="F1800" s="3">
        <v>45956.708333333336</v>
      </c>
      <c r="G1800" s="2">
        <v>0.0</v>
      </c>
      <c r="H1800" s="2">
        <v>0.0</v>
      </c>
      <c r="I1800" s="2">
        <v>0.0</v>
      </c>
      <c r="J1800" s="2">
        <v>0.0</v>
      </c>
      <c r="K1800" s="2">
        <v>0.0</v>
      </c>
      <c r="L1800" s="2">
        <v>0.0</v>
      </c>
      <c r="M1800" s="2">
        <v>0.0</v>
      </c>
      <c r="N1800" s="2" t="s">
        <v>36</v>
      </c>
      <c r="O1800" s="2">
        <v>71.0</v>
      </c>
      <c r="P1800" s="2" t="s">
        <v>31</v>
      </c>
      <c r="Q1800" s="2" t="s">
        <v>32</v>
      </c>
      <c r="R1800" s="2">
        <v>38.0</v>
      </c>
      <c r="U1800" s="2" t="b">
        <v>0</v>
      </c>
      <c r="AA1800" s="2" t="s">
        <v>33</v>
      </c>
    </row>
    <row r="1801">
      <c r="A1801" s="2">
        <v>3628.0</v>
      </c>
      <c r="B1801" s="2" t="s">
        <v>5312</v>
      </c>
      <c r="C1801" s="2" t="s">
        <v>1277</v>
      </c>
      <c r="D1801" s="2" t="s">
        <v>5313</v>
      </c>
      <c r="E1801" s="2" t="s">
        <v>5314</v>
      </c>
      <c r="F1801" s="3">
        <v>45956.708333333336</v>
      </c>
      <c r="G1801" s="2">
        <v>0.0</v>
      </c>
      <c r="H1801" s="2">
        <v>0.0</v>
      </c>
      <c r="I1801" s="2">
        <v>0.0</v>
      </c>
      <c r="J1801" s="2">
        <v>0.0</v>
      </c>
      <c r="K1801" s="2">
        <v>0.0</v>
      </c>
      <c r="L1801" s="2">
        <v>0.0</v>
      </c>
      <c r="M1801" s="2">
        <v>0.0</v>
      </c>
      <c r="N1801" s="2" t="s">
        <v>30</v>
      </c>
      <c r="O1801" s="2">
        <v>70.0</v>
      </c>
      <c r="P1801" s="2" t="s">
        <v>31</v>
      </c>
      <c r="Q1801" s="2" t="s">
        <v>32</v>
      </c>
      <c r="R1801" s="2">
        <v>41.0</v>
      </c>
      <c r="U1801" s="2" t="b">
        <v>0</v>
      </c>
      <c r="Z1801" s="2" t="s">
        <v>3110</v>
      </c>
      <c r="AA1801" s="2" t="s">
        <v>33</v>
      </c>
    </row>
    <row r="1802">
      <c r="A1802" s="2">
        <v>3604.0</v>
      </c>
      <c r="B1802" s="2" t="s">
        <v>5315</v>
      </c>
      <c r="C1802" s="2" t="s">
        <v>7</v>
      </c>
      <c r="D1802" s="2" t="s">
        <v>5316</v>
      </c>
      <c r="E1802" s="2" t="s">
        <v>5317</v>
      </c>
      <c r="F1802" s="3">
        <v>45956.791666666664</v>
      </c>
      <c r="G1802" s="2">
        <v>7640.0</v>
      </c>
      <c r="H1802" s="2">
        <v>7640.0</v>
      </c>
      <c r="I1802" s="2">
        <v>5875.0</v>
      </c>
      <c r="J1802" s="2">
        <v>49.0</v>
      </c>
      <c r="K1802" s="2">
        <v>44.0</v>
      </c>
      <c r="L1802" s="2">
        <v>0.0</v>
      </c>
      <c r="M1802" s="2">
        <v>0.0</v>
      </c>
      <c r="N1802" s="2" t="s">
        <v>423</v>
      </c>
      <c r="O1802" s="2">
        <v>119.0</v>
      </c>
      <c r="P1802" s="2" t="s">
        <v>189</v>
      </c>
      <c r="Q1802" s="2" t="s">
        <v>1367</v>
      </c>
      <c r="R1802" s="2">
        <v>40.0</v>
      </c>
      <c r="U1802" s="2" t="b">
        <v>0</v>
      </c>
      <c r="V1802" s="5">
        <v>0.0075</v>
      </c>
      <c r="W1802" s="5">
        <v>0.0</v>
      </c>
      <c r="X1802" s="5">
        <v>0.0</v>
      </c>
      <c r="Y1802" s="2">
        <v>0.0</v>
      </c>
      <c r="AA1802" s="2" t="s">
        <v>423</v>
      </c>
    </row>
    <row r="1803">
      <c r="A1803" s="2">
        <v>3632.0</v>
      </c>
      <c r="B1803" s="2" t="s">
        <v>5318</v>
      </c>
      <c r="C1803" s="2" t="s">
        <v>7</v>
      </c>
      <c r="D1803" s="2" t="s">
        <v>5319</v>
      </c>
      <c r="E1803" s="2" t="s">
        <v>5320</v>
      </c>
      <c r="F1803" s="3">
        <v>45957.59166666667</v>
      </c>
      <c r="G1803" s="2">
        <v>65514.0</v>
      </c>
      <c r="H1803" s="2">
        <v>65514.0</v>
      </c>
      <c r="I1803" s="2">
        <v>26449.0</v>
      </c>
      <c r="J1803" s="2">
        <v>211.0</v>
      </c>
      <c r="K1803" s="2">
        <v>199.0</v>
      </c>
      <c r="L1803" s="2">
        <v>5.0</v>
      </c>
      <c r="M1803" s="4">
        <v>13802.0</v>
      </c>
      <c r="N1803" s="2" t="s">
        <v>30</v>
      </c>
      <c r="O1803" s="2">
        <v>70.0</v>
      </c>
      <c r="P1803" s="2" t="s">
        <v>189</v>
      </c>
      <c r="Q1803" s="2" t="s">
        <v>32</v>
      </c>
      <c r="R1803" s="2">
        <v>29.0</v>
      </c>
      <c r="U1803" s="2" t="b">
        <v>0</v>
      </c>
      <c r="V1803" s="5">
        <v>0.0075</v>
      </c>
      <c r="W1803" s="5">
        <v>0.0251</v>
      </c>
      <c r="X1803" s="5">
        <v>1.89E-4</v>
      </c>
      <c r="Y1803" s="2">
        <v>69.35678392</v>
      </c>
      <c r="Z1803" s="2">
        <v>4669.0</v>
      </c>
      <c r="AA1803" s="2" t="s">
        <v>33</v>
      </c>
    </row>
    <row r="1804">
      <c r="A1804" s="2">
        <v>3633.0</v>
      </c>
      <c r="B1804" s="2" t="s">
        <v>5321</v>
      </c>
      <c r="C1804" s="2" t="s">
        <v>7</v>
      </c>
      <c r="D1804" s="2" t="s">
        <v>5322</v>
      </c>
      <c r="E1804" s="2" t="s">
        <v>5323</v>
      </c>
      <c r="F1804" s="3">
        <v>45957.59375</v>
      </c>
      <c r="G1804" s="2">
        <v>50681.0</v>
      </c>
      <c r="H1804" s="2">
        <v>50681.0</v>
      </c>
      <c r="I1804" s="2">
        <v>33165.0</v>
      </c>
      <c r="J1804" s="2">
        <v>194.0</v>
      </c>
      <c r="K1804" s="2">
        <v>177.0</v>
      </c>
      <c r="L1804" s="2">
        <v>0.0</v>
      </c>
      <c r="M1804" s="2">
        <v>0.0</v>
      </c>
      <c r="N1804" s="2" t="s">
        <v>36</v>
      </c>
      <c r="O1804" s="2">
        <v>71.0</v>
      </c>
      <c r="P1804" s="2" t="s">
        <v>189</v>
      </c>
      <c r="Q1804" s="2" t="s">
        <v>32</v>
      </c>
      <c r="R1804" s="2">
        <v>29.0</v>
      </c>
      <c r="U1804" s="2" t="b">
        <v>1</v>
      </c>
      <c r="V1804" s="5">
        <v>0.0053</v>
      </c>
      <c r="W1804" s="5">
        <v>0.0</v>
      </c>
      <c r="X1804" s="5">
        <v>0.0</v>
      </c>
      <c r="Y1804" s="2">
        <v>0.0</v>
      </c>
      <c r="AA1804" s="2" t="s">
        <v>33</v>
      </c>
    </row>
    <row r="1805">
      <c r="A1805" s="2">
        <v>3635.0</v>
      </c>
      <c r="B1805" s="2" t="s">
        <v>5324</v>
      </c>
      <c r="C1805" s="2" t="s">
        <v>7</v>
      </c>
      <c r="D1805" s="2" t="s">
        <v>5325</v>
      </c>
      <c r="F1805" s="3">
        <v>45957.666666666664</v>
      </c>
      <c r="G1805" s="2">
        <v>50352.0</v>
      </c>
      <c r="H1805" s="2">
        <v>50352.0</v>
      </c>
      <c r="I1805" s="2">
        <v>40485.0</v>
      </c>
      <c r="J1805" s="2">
        <v>182.0</v>
      </c>
      <c r="K1805" s="2">
        <v>155.0</v>
      </c>
      <c r="L1805" s="2">
        <v>3.0</v>
      </c>
      <c r="M1805" s="4">
        <v>8628.0</v>
      </c>
      <c r="N1805" s="2" t="s">
        <v>36</v>
      </c>
      <c r="O1805" s="2">
        <v>71.0</v>
      </c>
      <c r="P1805" s="2" t="s">
        <v>31</v>
      </c>
      <c r="Q1805" s="2" t="s">
        <v>32</v>
      </c>
      <c r="R1805" s="2">
        <v>36.0</v>
      </c>
      <c r="T1805" s="2" t="s">
        <v>5326</v>
      </c>
      <c r="U1805" s="2" t="b">
        <v>0</v>
      </c>
      <c r="V1805" s="5">
        <v>0.0038</v>
      </c>
      <c r="W1805" s="5">
        <v>0.0194</v>
      </c>
      <c r="X1805" s="5">
        <v>7.4E-5</v>
      </c>
      <c r="Y1805" s="2">
        <v>55.66451613</v>
      </c>
      <c r="AA1805" s="2" t="s">
        <v>33</v>
      </c>
    </row>
    <row r="1806">
      <c r="A1806" s="2">
        <v>3634.0</v>
      </c>
      <c r="B1806" s="2" t="s">
        <v>5327</v>
      </c>
      <c r="C1806" s="2" t="s">
        <v>7</v>
      </c>
      <c r="D1806" s="2" t="s">
        <v>5328</v>
      </c>
      <c r="F1806" s="3">
        <v>45957.666666666664</v>
      </c>
      <c r="G1806" s="2">
        <v>65216.0</v>
      </c>
      <c r="H1806" s="2">
        <v>65216.0</v>
      </c>
      <c r="I1806" s="2">
        <v>53323.0</v>
      </c>
      <c r="J1806" s="2">
        <v>258.0</v>
      </c>
      <c r="K1806" s="2">
        <v>226.0</v>
      </c>
      <c r="L1806" s="2">
        <v>4.0</v>
      </c>
      <c r="M1806" s="4">
        <v>24283.0</v>
      </c>
      <c r="N1806" s="2" t="s">
        <v>30</v>
      </c>
      <c r="O1806" s="2">
        <v>70.0</v>
      </c>
      <c r="P1806" s="2" t="s">
        <v>31</v>
      </c>
      <c r="Q1806" s="2" t="s">
        <v>32</v>
      </c>
      <c r="R1806" s="2">
        <v>29.0</v>
      </c>
      <c r="U1806" s="2" t="b">
        <v>0</v>
      </c>
      <c r="V1806" s="5">
        <v>0.0042</v>
      </c>
      <c r="W1806" s="5">
        <v>0.0177</v>
      </c>
      <c r="X1806" s="5">
        <v>7.5E-5</v>
      </c>
      <c r="Y1806" s="2">
        <v>107.4469027</v>
      </c>
      <c r="AA1806" s="2" t="s">
        <v>33</v>
      </c>
    </row>
    <row r="1807">
      <c r="A1807" s="2">
        <v>3637.0</v>
      </c>
      <c r="B1807" s="2" t="s">
        <v>5329</v>
      </c>
      <c r="C1807" s="2" t="s">
        <v>7</v>
      </c>
      <c r="D1807" s="2" t="s">
        <v>5330</v>
      </c>
      <c r="E1807" s="2" t="s">
        <v>5331</v>
      </c>
      <c r="F1807" s="3">
        <v>45957.75</v>
      </c>
      <c r="G1807" s="2">
        <v>50407.0</v>
      </c>
      <c r="H1807" s="2">
        <v>50407.0</v>
      </c>
      <c r="I1807" s="2">
        <v>40261.0</v>
      </c>
      <c r="J1807" s="2">
        <v>182.0</v>
      </c>
      <c r="K1807" s="2">
        <v>166.0</v>
      </c>
      <c r="L1807" s="2">
        <v>2.0</v>
      </c>
      <c r="M1807" s="4">
        <v>4374.0</v>
      </c>
      <c r="N1807" s="2" t="s">
        <v>36</v>
      </c>
      <c r="O1807" s="2">
        <v>71.0</v>
      </c>
      <c r="P1807" s="2" t="s">
        <v>189</v>
      </c>
      <c r="Q1807" s="2" t="s">
        <v>32</v>
      </c>
      <c r="R1807" s="2">
        <v>39.0</v>
      </c>
      <c r="U1807" s="2" t="b">
        <v>0</v>
      </c>
      <c r="V1807" s="5">
        <v>0.0041</v>
      </c>
      <c r="W1807" s="5">
        <v>0.012</v>
      </c>
      <c r="X1807" s="5">
        <v>5.0E-5</v>
      </c>
      <c r="Y1807" s="2">
        <v>26.34939759</v>
      </c>
      <c r="AA1807" s="2" t="s">
        <v>33</v>
      </c>
    </row>
    <row r="1808">
      <c r="A1808" s="2">
        <v>3636.0</v>
      </c>
      <c r="B1808" s="2" t="s">
        <v>5332</v>
      </c>
      <c r="C1808" s="2" t="s">
        <v>7</v>
      </c>
      <c r="D1808" s="2" t="s">
        <v>5333</v>
      </c>
      <c r="E1808" s="2" t="s">
        <v>5334</v>
      </c>
      <c r="F1808" s="3">
        <v>45957.75</v>
      </c>
      <c r="G1808" s="2">
        <v>65268.0</v>
      </c>
      <c r="H1808" s="2">
        <v>65268.0</v>
      </c>
      <c r="I1808" s="2">
        <v>53064.0</v>
      </c>
      <c r="J1808" s="2">
        <v>228.0</v>
      </c>
      <c r="K1808" s="2">
        <v>211.0</v>
      </c>
      <c r="L1808" s="2">
        <v>3.0</v>
      </c>
      <c r="M1808" s="4">
        <v>7454.0</v>
      </c>
      <c r="N1808" s="2" t="s">
        <v>30</v>
      </c>
      <c r="O1808" s="2">
        <v>70.0</v>
      </c>
      <c r="P1808" s="2" t="s">
        <v>189</v>
      </c>
      <c r="Q1808" s="2" t="s">
        <v>32</v>
      </c>
      <c r="R1808" s="2">
        <v>44.0</v>
      </c>
      <c r="T1808" s="2" t="s">
        <v>47</v>
      </c>
      <c r="U1808" s="2" t="b">
        <v>0</v>
      </c>
      <c r="V1808" s="5">
        <v>0.004</v>
      </c>
      <c r="W1808" s="5">
        <v>0.0142</v>
      </c>
      <c r="X1808" s="5">
        <v>5.7E-5</v>
      </c>
      <c r="Y1808" s="2">
        <v>35.32701422</v>
      </c>
      <c r="Z1808" s="2">
        <v>6460.0</v>
      </c>
      <c r="AA1808" s="2" t="s">
        <v>33</v>
      </c>
    </row>
    <row r="1809">
      <c r="A1809" s="2">
        <v>3639.0</v>
      </c>
      <c r="B1809" s="2" t="s">
        <v>5335</v>
      </c>
      <c r="C1809" s="2" t="s">
        <v>7</v>
      </c>
      <c r="D1809" s="2" t="s">
        <v>5291</v>
      </c>
      <c r="E1809" s="2" t="s">
        <v>5292</v>
      </c>
      <c r="F1809" s="3">
        <v>45958.458333333336</v>
      </c>
      <c r="G1809" s="2">
        <v>50536.0</v>
      </c>
      <c r="H1809" s="2">
        <v>50536.0</v>
      </c>
      <c r="I1809" s="2">
        <v>40108.0</v>
      </c>
      <c r="J1809" s="2">
        <v>156.0</v>
      </c>
      <c r="K1809" s="2">
        <v>148.0</v>
      </c>
      <c r="L1809" s="2">
        <v>2.0</v>
      </c>
      <c r="M1809" s="4">
        <v>2678.0</v>
      </c>
      <c r="N1809" s="2" t="s">
        <v>36</v>
      </c>
      <c r="O1809" s="2">
        <v>71.0</v>
      </c>
      <c r="P1809" s="2" t="s">
        <v>189</v>
      </c>
      <c r="Q1809" s="2" t="s">
        <v>32</v>
      </c>
      <c r="R1809" s="2">
        <v>41.0</v>
      </c>
      <c r="T1809" s="2" t="s">
        <v>47</v>
      </c>
      <c r="U1809" s="2" t="b">
        <v>0</v>
      </c>
      <c r="V1809" s="5">
        <v>0.0037</v>
      </c>
      <c r="W1809" s="5">
        <v>0.0135</v>
      </c>
      <c r="X1809" s="5">
        <v>5.0E-5</v>
      </c>
      <c r="Y1809" s="2">
        <v>18.09459459</v>
      </c>
      <c r="AA1809" s="2" t="s">
        <v>33</v>
      </c>
    </row>
    <row r="1810">
      <c r="A1810" s="2">
        <v>3638.0</v>
      </c>
      <c r="B1810" s="2" t="s">
        <v>5336</v>
      </c>
      <c r="C1810" s="2" t="s">
        <v>7</v>
      </c>
      <c r="D1810" s="2" t="s">
        <v>5294</v>
      </c>
      <c r="E1810" s="2" t="s">
        <v>5295</v>
      </c>
      <c r="F1810" s="3">
        <v>45958.458333333336</v>
      </c>
      <c r="G1810" s="2">
        <v>65367.0</v>
      </c>
      <c r="H1810" s="2">
        <v>65367.0</v>
      </c>
      <c r="I1810" s="2">
        <v>52827.0</v>
      </c>
      <c r="J1810" s="2">
        <v>195.0</v>
      </c>
      <c r="K1810" s="2">
        <v>164.0</v>
      </c>
      <c r="L1810" s="2">
        <v>7.0</v>
      </c>
      <c r="M1810" s="4">
        <v>15363.0</v>
      </c>
      <c r="N1810" s="2" t="s">
        <v>30</v>
      </c>
      <c r="O1810" s="2">
        <v>70.0</v>
      </c>
      <c r="P1810" s="2" t="s">
        <v>189</v>
      </c>
      <c r="Q1810" s="2" t="s">
        <v>32</v>
      </c>
      <c r="R1810" s="2">
        <v>41.0</v>
      </c>
      <c r="T1810" s="2" t="s">
        <v>47</v>
      </c>
      <c r="U1810" s="2" t="b">
        <v>0</v>
      </c>
      <c r="V1810" s="5">
        <v>0.0031</v>
      </c>
      <c r="W1810" s="5">
        <v>0.0427</v>
      </c>
      <c r="X1810" s="5">
        <v>1.33E-4</v>
      </c>
      <c r="Y1810" s="2">
        <v>93.67682927</v>
      </c>
      <c r="Z1810" s="2">
        <v>3377.0</v>
      </c>
      <c r="AA1810" s="2" t="s">
        <v>33</v>
      </c>
    </row>
    <row r="1811">
      <c r="A1811" s="2">
        <v>3641.0</v>
      </c>
      <c r="B1811" s="2" t="s">
        <v>5337</v>
      </c>
      <c r="C1811" s="2" t="s">
        <v>7</v>
      </c>
      <c r="D1811" s="2" t="s">
        <v>5301</v>
      </c>
      <c r="E1811" s="2" t="s">
        <v>5302</v>
      </c>
      <c r="F1811" s="3">
        <v>45958.625</v>
      </c>
      <c r="G1811" s="2">
        <v>50517.0</v>
      </c>
      <c r="H1811" s="2">
        <v>50517.0</v>
      </c>
      <c r="I1811" s="2">
        <v>40036.0</v>
      </c>
      <c r="J1811" s="2">
        <v>184.0</v>
      </c>
      <c r="K1811" s="2">
        <v>170.0</v>
      </c>
      <c r="L1811" s="2">
        <v>3.0</v>
      </c>
      <c r="M1811" s="4">
        <v>4376.0</v>
      </c>
      <c r="N1811" s="2" t="s">
        <v>36</v>
      </c>
      <c r="O1811" s="2">
        <v>71.0</v>
      </c>
      <c r="P1811" s="2" t="s">
        <v>31</v>
      </c>
      <c r="Q1811" s="2" t="s">
        <v>32</v>
      </c>
      <c r="R1811" s="2">
        <v>41.0</v>
      </c>
      <c r="T1811" s="2" t="s">
        <v>58</v>
      </c>
      <c r="U1811" s="2" t="b">
        <v>1</v>
      </c>
      <c r="V1811" s="5">
        <v>0.0042</v>
      </c>
      <c r="W1811" s="5">
        <v>0.0176</v>
      </c>
      <c r="X1811" s="5">
        <v>7.5E-5</v>
      </c>
      <c r="Y1811" s="2">
        <v>25.74117647</v>
      </c>
      <c r="AA1811" s="2" t="s">
        <v>33</v>
      </c>
    </row>
    <row r="1812">
      <c r="A1812" s="2">
        <v>3640.0</v>
      </c>
      <c r="B1812" s="2" t="s">
        <v>5338</v>
      </c>
      <c r="C1812" s="2" t="s">
        <v>7</v>
      </c>
      <c r="D1812" s="2" t="s">
        <v>5304</v>
      </c>
      <c r="E1812" s="2" t="s">
        <v>5339</v>
      </c>
      <c r="F1812" s="3">
        <v>45958.625</v>
      </c>
      <c r="G1812" s="2">
        <v>65393.0</v>
      </c>
      <c r="H1812" s="2">
        <v>65393.0</v>
      </c>
      <c r="I1812" s="2">
        <v>52846.0</v>
      </c>
      <c r="J1812" s="2">
        <v>213.0</v>
      </c>
      <c r="K1812" s="2">
        <v>200.0</v>
      </c>
      <c r="L1812" s="2">
        <v>3.0</v>
      </c>
      <c r="M1812" s="4">
        <v>16458.0</v>
      </c>
      <c r="N1812" s="2" t="s">
        <v>30</v>
      </c>
      <c r="O1812" s="2">
        <v>70.0</v>
      </c>
      <c r="P1812" s="2" t="s">
        <v>189</v>
      </c>
      <c r="Q1812" s="2" t="s">
        <v>32</v>
      </c>
      <c r="R1812" s="2">
        <v>41.0</v>
      </c>
      <c r="U1812" s="2" t="b">
        <v>0</v>
      </c>
      <c r="V1812" s="5">
        <v>0.0038</v>
      </c>
      <c r="W1812" s="5">
        <v>0.015</v>
      </c>
      <c r="X1812" s="5">
        <v>5.7E-5</v>
      </c>
      <c r="Y1812" s="2">
        <v>82.29</v>
      </c>
      <c r="Z1812" s="2">
        <v>835.0</v>
      </c>
      <c r="AA1812" s="2" t="s">
        <v>33</v>
      </c>
    </row>
    <row r="1813">
      <c r="A1813" s="2">
        <v>3643.0</v>
      </c>
      <c r="B1813" s="2" t="s">
        <v>5340</v>
      </c>
      <c r="C1813" s="2" t="s">
        <v>7</v>
      </c>
      <c r="D1813" s="2" t="s">
        <v>5310</v>
      </c>
      <c r="E1813" s="2" t="s">
        <v>5311</v>
      </c>
      <c r="F1813" s="3">
        <v>45958.708333333336</v>
      </c>
      <c r="G1813" s="2">
        <v>50514.0</v>
      </c>
      <c r="H1813" s="2">
        <v>50514.0</v>
      </c>
      <c r="I1813" s="2">
        <v>40330.0</v>
      </c>
      <c r="J1813" s="2">
        <v>215.0</v>
      </c>
      <c r="K1813" s="2">
        <v>192.0</v>
      </c>
      <c r="L1813" s="2">
        <v>3.0</v>
      </c>
      <c r="M1813" s="4">
        <v>9681.0</v>
      </c>
      <c r="N1813" s="2" t="s">
        <v>36</v>
      </c>
      <c r="O1813" s="2">
        <v>71.0</v>
      </c>
      <c r="P1813" s="2" t="s">
        <v>189</v>
      </c>
      <c r="Q1813" s="2" t="s">
        <v>32</v>
      </c>
      <c r="R1813" s="2">
        <v>38.0</v>
      </c>
      <c r="U1813" s="2" t="b">
        <v>0</v>
      </c>
      <c r="V1813" s="5">
        <v>0.0048</v>
      </c>
      <c r="W1813" s="5">
        <v>0.0156</v>
      </c>
      <c r="X1813" s="5">
        <v>7.4E-5</v>
      </c>
      <c r="Y1813" s="2">
        <v>50.421875</v>
      </c>
      <c r="AA1813" s="2" t="s">
        <v>33</v>
      </c>
    </row>
    <row r="1814">
      <c r="A1814" s="2">
        <v>3642.0</v>
      </c>
      <c r="B1814" s="2" t="s">
        <v>5341</v>
      </c>
      <c r="C1814" s="2" t="s">
        <v>7</v>
      </c>
      <c r="D1814" s="2" t="s">
        <v>5313</v>
      </c>
      <c r="E1814" s="2" t="s">
        <v>5314</v>
      </c>
      <c r="F1814" s="3">
        <v>45958.708333333336</v>
      </c>
      <c r="G1814" s="2">
        <v>65382.0</v>
      </c>
      <c r="H1814" s="2">
        <v>65382.0</v>
      </c>
      <c r="I1814" s="2">
        <v>52988.0</v>
      </c>
      <c r="J1814" s="2">
        <v>197.0</v>
      </c>
      <c r="K1814" s="2">
        <v>184.0</v>
      </c>
      <c r="L1814" s="2">
        <v>3.0</v>
      </c>
      <c r="M1814" s="4">
        <v>2487.0</v>
      </c>
      <c r="N1814" s="2" t="s">
        <v>30</v>
      </c>
      <c r="O1814" s="2">
        <v>70.0</v>
      </c>
      <c r="P1814" s="2" t="s">
        <v>189</v>
      </c>
      <c r="Q1814" s="2" t="s">
        <v>32</v>
      </c>
      <c r="R1814" s="2">
        <v>41.0</v>
      </c>
      <c r="U1814" s="2" t="b">
        <v>0</v>
      </c>
      <c r="V1814" s="5">
        <v>0.0035</v>
      </c>
      <c r="W1814" s="5">
        <v>0.0163</v>
      </c>
      <c r="X1814" s="5">
        <v>5.7E-5</v>
      </c>
      <c r="Y1814" s="2">
        <v>13.51630435</v>
      </c>
      <c r="Z1814" s="2" t="s">
        <v>3110</v>
      </c>
      <c r="AA1814" s="2" t="s">
        <v>33</v>
      </c>
    </row>
    <row r="1815">
      <c r="A1815" s="2">
        <v>3645.0</v>
      </c>
      <c r="B1815" s="2" t="s">
        <v>5342</v>
      </c>
      <c r="C1815" s="2" t="s">
        <v>7</v>
      </c>
      <c r="D1815" s="2" t="s">
        <v>5343</v>
      </c>
      <c r="E1815" s="2" t="s">
        <v>5344</v>
      </c>
      <c r="F1815" s="3">
        <v>45959.458333333336</v>
      </c>
      <c r="G1815" s="2">
        <v>50603.0</v>
      </c>
      <c r="H1815" s="2">
        <v>50603.0</v>
      </c>
      <c r="I1815" s="2">
        <v>34212.0</v>
      </c>
      <c r="J1815" s="2">
        <v>151.0</v>
      </c>
      <c r="K1815" s="2">
        <v>137.0</v>
      </c>
      <c r="L1815" s="2">
        <v>0.0</v>
      </c>
      <c r="M1815" s="2">
        <v>0.0</v>
      </c>
      <c r="N1815" s="2" t="s">
        <v>36</v>
      </c>
      <c r="O1815" s="2">
        <v>71.0</v>
      </c>
      <c r="P1815" s="2" t="s">
        <v>189</v>
      </c>
      <c r="Q1815" s="2" t="s">
        <v>32</v>
      </c>
      <c r="R1815" s="2">
        <v>58.0</v>
      </c>
      <c r="T1815" s="2" t="s">
        <v>47</v>
      </c>
      <c r="U1815" s="2" t="b">
        <v>0</v>
      </c>
      <c r="V1815" s="5">
        <v>0.004</v>
      </c>
      <c r="W1815" s="5">
        <v>0.0</v>
      </c>
      <c r="X1815" s="5">
        <v>0.0</v>
      </c>
      <c r="Y1815" s="2">
        <v>0.0</v>
      </c>
      <c r="AA1815" s="2" t="s">
        <v>33</v>
      </c>
    </row>
    <row r="1816">
      <c r="A1816" s="2">
        <v>3644.0</v>
      </c>
      <c r="B1816" s="2" t="s">
        <v>5345</v>
      </c>
      <c r="C1816" s="2" t="s">
        <v>7</v>
      </c>
      <c r="D1816" s="2" t="s">
        <v>4076</v>
      </c>
      <c r="E1816" s="2" t="s">
        <v>4077</v>
      </c>
      <c r="F1816" s="3">
        <v>45959.458333333336</v>
      </c>
      <c r="G1816" s="2">
        <v>65553.0</v>
      </c>
      <c r="H1816" s="2">
        <v>65553.0</v>
      </c>
      <c r="I1816" s="2">
        <v>41653.0</v>
      </c>
      <c r="J1816" s="2">
        <v>159.0</v>
      </c>
      <c r="K1816" s="2">
        <v>135.0</v>
      </c>
      <c r="L1816" s="2">
        <v>4.0</v>
      </c>
      <c r="M1816" s="4">
        <v>13794.0</v>
      </c>
      <c r="N1816" s="2" t="s">
        <v>30</v>
      </c>
      <c r="O1816" s="2">
        <v>70.0</v>
      </c>
      <c r="P1816" s="2" t="s">
        <v>189</v>
      </c>
      <c r="Q1816" s="2" t="s">
        <v>32</v>
      </c>
      <c r="R1816" s="2">
        <v>43.0</v>
      </c>
      <c r="U1816" s="2" t="b">
        <v>0</v>
      </c>
      <c r="V1816" s="5">
        <v>0.0032</v>
      </c>
      <c r="W1816" s="5">
        <v>0.0296</v>
      </c>
      <c r="X1816" s="5">
        <v>9.6E-5</v>
      </c>
      <c r="Y1816" s="2">
        <v>102.1777778</v>
      </c>
      <c r="AA1816" s="2" t="s">
        <v>33</v>
      </c>
    </row>
    <row r="1817">
      <c r="A1817" s="2">
        <v>3647.0</v>
      </c>
      <c r="B1817" s="2" t="s">
        <v>5346</v>
      </c>
      <c r="C1817" s="2" t="s">
        <v>7</v>
      </c>
      <c r="D1817" s="2" t="s">
        <v>5347</v>
      </c>
      <c r="E1817" s="2" t="s">
        <v>5348</v>
      </c>
      <c r="F1817" s="3">
        <v>45959.625</v>
      </c>
      <c r="G1817" s="2">
        <v>50615.0</v>
      </c>
      <c r="H1817" s="2">
        <v>50615.0</v>
      </c>
      <c r="I1817" s="2">
        <v>40387.0</v>
      </c>
      <c r="J1817" s="2">
        <v>176.0</v>
      </c>
      <c r="K1817" s="2">
        <v>159.0</v>
      </c>
      <c r="L1817" s="2">
        <v>2.0</v>
      </c>
      <c r="M1817" s="4">
        <v>5796.0</v>
      </c>
      <c r="N1817" s="2" t="s">
        <v>36</v>
      </c>
      <c r="O1817" s="2">
        <v>71.0</v>
      </c>
      <c r="P1817" s="2" t="s">
        <v>31</v>
      </c>
      <c r="Q1817" s="2" t="s">
        <v>32</v>
      </c>
      <c r="R1817" s="2">
        <v>32.0</v>
      </c>
      <c r="T1817" s="2" t="s">
        <v>4084</v>
      </c>
      <c r="U1817" s="2" t="b">
        <v>1</v>
      </c>
      <c r="V1817" s="5">
        <v>0.0039</v>
      </c>
      <c r="W1817" s="5">
        <v>0.0126</v>
      </c>
      <c r="X1817" s="5">
        <v>5.0E-5</v>
      </c>
      <c r="Y1817" s="2">
        <v>36.45283019</v>
      </c>
      <c r="AA1817" s="2" t="s">
        <v>33</v>
      </c>
    </row>
    <row r="1818">
      <c r="A1818" s="2">
        <v>3646.0</v>
      </c>
      <c r="B1818" s="2" t="s">
        <v>5349</v>
      </c>
      <c r="C1818" s="2" t="s">
        <v>7</v>
      </c>
      <c r="D1818" s="2" t="s">
        <v>5350</v>
      </c>
      <c r="E1818" s="2" t="s">
        <v>5351</v>
      </c>
      <c r="F1818" s="3">
        <v>45959.625</v>
      </c>
      <c r="G1818" s="2">
        <v>65592.0</v>
      </c>
      <c r="H1818" s="2">
        <v>65592.0</v>
      </c>
      <c r="I1818" s="2">
        <v>53397.0</v>
      </c>
      <c r="J1818" s="2">
        <v>208.0</v>
      </c>
      <c r="K1818" s="2">
        <v>190.0</v>
      </c>
      <c r="L1818" s="2">
        <v>2.0</v>
      </c>
      <c r="M1818" s="4">
        <v>1980.0</v>
      </c>
      <c r="N1818" s="2" t="s">
        <v>30</v>
      </c>
      <c r="O1818" s="2">
        <v>70.0</v>
      </c>
      <c r="P1818" s="2" t="s">
        <v>189</v>
      </c>
      <c r="Q1818" s="2" t="s">
        <v>32</v>
      </c>
      <c r="R1818" s="2">
        <v>32.0</v>
      </c>
      <c r="U1818" s="2" t="b">
        <v>0</v>
      </c>
      <c r="V1818" s="5">
        <v>0.0036</v>
      </c>
      <c r="W1818" s="5">
        <v>0.0105</v>
      </c>
      <c r="X1818" s="5">
        <v>3.7E-5</v>
      </c>
      <c r="Y1818" s="2">
        <v>10.42105263</v>
      </c>
      <c r="Z1818" s="2">
        <v>1483.0</v>
      </c>
      <c r="AA1818" s="2" t="s">
        <v>33</v>
      </c>
    </row>
    <row r="1819">
      <c r="A1819" s="2">
        <v>3649.0</v>
      </c>
      <c r="B1819" s="2" t="s">
        <v>5352</v>
      </c>
      <c r="C1819" s="2" t="s">
        <v>7</v>
      </c>
      <c r="D1819" s="2" t="s">
        <v>5353</v>
      </c>
      <c r="E1819" s="2" t="s">
        <v>5354</v>
      </c>
      <c r="F1819" s="3">
        <v>45959.708333333336</v>
      </c>
      <c r="G1819" s="2">
        <v>50540.0</v>
      </c>
      <c r="H1819" s="2">
        <v>50540.0</v>
      </c>
      <c r="I1819" s="2">
        <v>40357.0</v>
      </c>
      <c r="J1819" s="2">
        <v>179.0</v>
      </c>
      <c r="K1819" s="2">
        <v>161.0</v>
      </c>
      <c r="L1819" s="2">
        <v>4.0</v>
      </c>
      <c r="M1819" s="4">
        <v>7786.0</v>
      </c>
      <c r="N1819" s="2" t="s">
        <v>36</v>
      </c>
      <c r="O1819" s="2">
        <v>71.0</v>
      </c>
      <c r="P1819" s="2" t="s">
        <v>189</v>
      </c>
      <c r="Q1819" s="2" t="s">
        <v>32</v>
      </c>
      <c r="R1819" s="2">
        <v>35.0</v>
      </c>
      <c r="T1819" s="2" t="s">
        <v>47</v>
      </c>
      <c r="U1819" s="2" t="b">
        <v>0</v>
      </c>
      <c r="V1819" s="5">
        <v>0.004</v>
      </c>
      <c r="W1819" s="5">
        <v>0.0248</v>
      </c>
      <c r="X1819" s="5">
        <v>9.9E-5</v>
      </c>
      <c r="Y1819" s="2">
        <v>48.36024845</v>
      </c>
      <c r="AA1819" s="2" t="s">
        <v>33</v>
      </c>
    </row>
    <row r="1820">
      <c r="A1820" s="2">
        <v>3648.0</v>
      </c>
      <c r="B1820" s="2" t="s">
        <v>5355</v>
      </c>
      <c r="C1820" s="2" t="s">
        <v>7</v>
      </c>
      <c r="D1820" s="2" t="s">
        <v>5356</v>
      </c>
      <c r="E1820" s="2" t="s">
        <v>5357</v>
      </c>
      <c r="F1820" s="3">
        <v>45959.708333333336</v>
      </c>
      <c r="G1820" s="2">
        <v>65589.0</v>
      </c>
      <c r="H1820" s="2">
        <v>65589.0</v>
      </c>
      <c r="I1820" s="2">
        <v>53235.0</v>
      </c>
      <c r="J1820" s="2">
        <v>199.0</v>
      </c>
      <c r="K1820" s="2">
        <v>171.0</v>
      </c>
      <c r="L1820" s="2">
        <v>0.0</v>
      </c>
      <c r="M1820" s="2">
        <v>0.0</v>
      </c>
      <c r="N1820" s="2" t="s">
        <v>30</v>
      </c>
      <c r="O1820" s="2">
        <v>70.0</v>
      </c>
      <c r="P1820" s="2" t="s">
        <v>189</v>
      </c>
      <c r="Q1820" s="2" t="s">
        <v>32</v>
      </c>
      <c r="R1820" s="2">
        <v>35.0</v>
      </c>
      <c r="T1820" s="2" t="s">
        <v>47</v>
      </c>
      <c r="U1820" s="2" t="b">
        <v>0</v>
      </c>
      <c r="V1820" s="5">
        <v>0.0032</v>
      </c>
      <c r="W1820" s="5">
        <v>0.0</v>
      </c>
      <c r="X1820" s="5">
        <v>0.0</v>
      </c>
      <c r="Y1820" s="2">
        <v>0.0</v>
      </c>
      <c r="AA1820" s="2" t="s">
        <v>33</v>
      </c>
    </row>
    <row r="1821">
      <c r="A1821" s="2">
        <v>3650.0</v>
      </c>
      <c r="B1821" s="2" t="s">
        <v>5358</v>
      </c>
      <c r="C1821" s="2" t="s">
        <v>7</v>
      </c>
      <c r="D1821" s="2" t="s">
        <v>5359</v>
      </c>
      <c r="E1821" s="2" t="s">
        <v>5360</v>
      </c>
      <c r="F1821" s="3">
        <v>45960.47638888889</v>
      </c>
      <c r="G1821" s="2">
        <v>65655.0</v>
      </c>
      <c r="H1821" s="2">
        <v>65655.0</v>
      </c>
      <c r="I1821" s="2">
        <v>53192.0</v>
      </c>
      <c r="J1821" s="2">
        <v>220.0</v>
      </c>
      <c r="K1821" s="2">
        <v>190.0</v>
      </c>
      <c r="L1821" s="2">
        <v>4.0</v>
      </c>
      <c r="M1821" s="4">
        <v>14847.0</v>
      </c>
      <c r="N1821" s="2" t="s">
        <v>30</v>
      </c>
      <c r="O1821" s="2">
        <v>70.0</v>
      </c>
      <c r="P1821" s="2" t="s">
        <v>189</v>
      </c>
      <c r="Q1821" s="2" t="s">
        <v>32</v>
      </c>
      <c r="R1821" s="2">
        <v>41.0</v>
      </c>
      <c r="T1821" s="2" t="s">
        <v>58</v>
      </c>
      <c r="U1821" s="2" t="b">
        <v>0</v>
      </c>
      <c r="V1821" s="5">
        <v>0.0036</v>
      </c>
      <c r="W1821" s="5">
        <v>0.0211</v>
      </c>
      <c r="X1821" s="5">
        <v>7.5E-5</v>
      </c>
      <c r="Y1821" s="2">
        <v>78.14210526</v>
      </c>
      <c r="Z1821" s="2">
        <v>984.0</v>
      </c>
      <c r="AA1821" s="2" t="s">
        <v>33</v>
      </c>
    </row>
    <row r="1822">
      <c r="A1822" s="2">
        <v>3651.0</v>
      </c>
      <c r="B1822" s="2" t="s">
        <v>5361</v>
      </c>
      <c r="C1822" s="2" t="s">
        <v>7</v>
      </c>
      <c r="D1822" s="2" t="s">
        <v>5362</v>
      </c>
      <c r="E1822" s="2" t="s">
        <v>5363</v>
      </c>
      <c r="F1822" s="3">
        <v>45960.47708333333</v>
      </c>
      <c r="G1822" s="2">
        <v>50634.0</v>
      </c>
      <c r="H1822" s="2">
        <v>50634.0</v>
      </c>
      <c r="I1822" s="2">
        <v>40178.0</v>
      </c>
      <c r="J1822" s="2">
        <v>167.0</v>
      </c>
      <c r="K1822" s="2">
        <v>149.0</v>
      </c>
      <c r="L1822" s="2">
        <v>2.0</v>
      </c>
      <c r="M1822" s="4">
        <v>4796.0</v>
      </c>
      <c r="N1822" s="2" t="s">
        <v>36</v>
      </c>
      <c r="O1822" s="2">
        <v>71.0</v>
      </c>
      <c r="P1822" s="2" t="s">
        <v>189</v>
      </c>
      <c r="Q1822" s="2" t="s">
        <v>32</v>
      </c>
      <c r="R1822" s="2">
        <v>46.0</v>
      </c>
      <c r="T1822" s="2" t="s">
        <v>58</v>
      </c>
      <c r="U1822" s="2" t="b">
        <v>1</v>
      </c>
      <c r="V1822" s="5">
        <v>0.0037</v>
      </c>
      <c r="W1822" s="5">
        <v>0.0134</v>
      </c>
      <c r="X1822" s="5">
        <v>5.0E-5</v>
      </c>
      <c r="Y1822" s="2">
        <v>32.18791946</v>
      </c>
      <c r="AA1822" s="2" t="s">
        <v>33</v>
      </c>
    </row>
    <row r="1823">
      <c r="A1823" s="2">
        <v>3653.0</v>
      </c>
      <c r="B1823" s="2" t="s">
        <v>5364</v>
      </c>
      <c r="C1823" s="2" t="s">
        <v>7</v>
      </c>
      <c r="D1823" s="2" t="s">
        <v>5365</v>
      </c>
      <c r="E1823" s="2" t="s">
        <v>5366</v>
      </c>
      <c r="F1823" s="3">
        <v>45960.625</v>
      </c>
      <c r="G1823" s="2">
        <v>50610.0</v>
      </c>
      <c r="H1823" s="2">
        <v>50610.0</v>
      </c>
      <c r="I1823" s="2">
        <v>40490.0</v>
      </c>
      <c r="J1823" s="2">
        <v>194.0</v>
      </c>
      <c r="K1823" s="2">
        <v>167.0</v>
      </c>
      <c r="L1823" s="2">
        <v>4.0</v>
      </c>
      <c r="M1823" s="4">
        <v>8658.0</v>
      </c>
      <c r="N1823" s="2" t="s">
        <v>36</v>
      </c>
      <c r="O1823" s="2">
        <v>71.0</v>
      </c>
      <c r="P1823" s="2" t="s">
        <v>189</v>
      </c>
      <c r="Q1823" s="2" t="s">
        <v>32</v>
      </c>
      <c r="R1823" s="2">
        <v>46.0</v>
      </c>
      <c r="U1823" s="2" t="b">
        <v>1</v>
      </c>
      <c r="V1823" s="5">
        <v>0.0041</v>
      </c>
      <c r="W1823" s="5">
        <v>0.024</v>
      </c>
      <c r="X1823" s="5">
        <v>9.9E-5</v>
      </c>
      <c r="Y1823" s="2">
        <v>51.84431138</v>
      </c>
      <c r="AA1823" s="2" t="s">
        <v>33</v>
      </c>
    </row>
    <row r="1824">
      <c r="A1824" s="2">
        <v>3652.0</v>
      </c>
      <c r="B1824" s="2" t="s">
        <v>5367</v>
      </c>
      <c r="C1824" s="2" t="s">
        <v>7</v>
      </c>
      <c r="D1824" s="2" t="s">
        <v>5368</v>
      </c>
      <c r="E1824" s="2" t="s">
        <v>5369</v>
      </c>
      <c r="F1824" s="3">
        <v>45960.625</v>
      </c>
      <c r="G1824" s="2">
        <v>65621.0</v>
      </c>
      <c r="H1824" s="2">
        <v>65621.0</v>
      </c>
      <c r="I1824" s="2">
        <v>53394.0</v>
      </c>
      <c r="J1824" s="2">
        <v>218.0</v>
      </c>
      <c r="K1824" s="2">
        <v>196.0</v>
      </c>
      <c r="L1824" s="2">
        <v>2.0</v>
      </c>
      <c r="M1824" s="4">
        <v>13104.0</v>
      </c>
      <c r="N1824" s="2" t="s">
        <v>30</v>
      </c>
      <c r="O1824" s="2">
        <v>70.0</v>
      </c>
      <c r="P1824" s="2" t="s">
        <v>31</v>
      </c>
      <c r="Q1824" s="2" t="s">
        <v>32</v>
      </c>
      <c r="R1824" s="2">
        <v>46.0</v>
      </c>
      <c r="U1824" s="2" t="b">
        <v>0</v>
      </c>
      <c r="V1824" s="5">
        <v>0.0037</v>
      </c>
      <c r="W1824" s="5">
        <v>0.0102</v>
      </c>
      <c r="X1824" s="5">
        <v>3.7E-5</v>
      </c>
      <c r="Y1824" s="2">
        <v>66.85714286</v>
      </c>
      <c r="AA1824" s="2" t="s">
        <v>33</v>
      </c>
    </row>
    <row r="1825">
      <c r="A1825" s="2">
        <v>3655.0</v>
      </c>
      <c r="B1825" s="2" t="s">
        <v>5370</v>
      </c>
      <c r="C1825" s="2" t="s">
        <v>7</v>
      </c>
      <c r="D1825" s="2" t="s">
        <v>5371</v>
      </c>
      <c r="E1825" s="2" t="s">
        <v>5372</v>
      </c>
      <c r="F1825" s="3">
        <v>45960.708333333336</v>
      </c>
      <c r="G1825" s="2">
        <v>50657.0</v>
      </c>
      <c r="H1825" s="2">
        <v>50657.0</v>
      </c>
      <c r="I1825" s="2">
        <v>40339.0</v>
      </c>
      <c r="J1825" s="2">
        <v>166.0</v>
      </c>
      <c r="K1825" s="2">
        <v>149.0</v>
      </c>
      <c r="L1825" s="2">
        <v>4.0</v>
      </c>
      <c r="M1825" s="4">
        <v>5992.0</v>
      </c>
      <c r="N1825" s="2" t="s">
        <v>36</v>
      </c>
      <c r="O1825" s="2">
        <v>71.0</v>
      </c>
      <c r="P1825" s="2" t="s">
        <v>189</v>
      </c>
      <c r="Q1825" s="2" t="s">
        <v>32</v>
      </c>
      <c r="R1825" s="2">
        <v>36.0</v>
      </c>
      <c r="T1825" s="2" t="s">
        <v>47</v>
      </c>
      <c r="U1825" s="2" t="b">
        <v>0</v>
      </c>
      <c r="V1825" s="5">
        <v>0.0037</v>
      </c>
      <c r="W1825" s="5">
        <v>0.0268</v>
      </c>
      <c r="X1825" s="5">
        <v>9.9E-5</v>
      </c>
      <c r="Y1825" s="2">
        <v>40.2147651</v>
      </c>
      <c r="AA1825" s="2" t="s">
        <v>33</v>
      </c>
    </row>
    <row r="1826">
      <c r="A1826" s="2">
        <v>3654.0</v>
      </c>
      <c r="B1826" s="2" t="s">
        <v>5373</v>
      </c>
      <c r="C1826" s="2" t="s">
        <v>7</v>
      </c>
      <c r="D1826" s="2" t="s">
        <v>5374</v>
      </c>
      <c r="E1826" s="2" t="s">
        <v>5375</v>
      </c>
      <c r="F1826" s="3">
        <v>45960.708333333336</v>
      </c>
      <c r="G1826" s="2">
        <v>65672.0</v>
      </c>
      <c r="H1826" s="2">
        <v>65672.0</v>
      </c>
      <c r="I1826" s="2">
        <v>53259.0</v>
      </c>
      <c r="J1826" s="2">
        <v>158.0</v>
      </c>
      <c r="K1826" s="2">
        <v>144.0</v>
      </c>
      <c r="L1826" s="2">
        <v>1.0</v>
      </c>
      <c r="M1826" s="4">
        <v>5450.0</v>
      </c>
      <c r="N1826" s="2" t="s">
        <v>30</v>
      </c>
      <c r="O1826" s="2">
        <v>70.0</v>
      </c>
      <c r="P1826" s="2" t="s">
        <v>189</v>
      </c>
      <c r="Q1826" s="2" t="s">
        <v>32</v>
      </c>
      <c r="R1826" s="2">
        <v>37.0</v>
      </c>
      <c r="U1826" s="2" t="b">
        <v>0</v>
      </c>
      <c r="V1826" s="5">
        <v>0.0027</v>
      </c>
      <c r="W1826" s="5">
        <v>0.0069</v>
      </c>
      <c r="X1826" s="5">
        <v>1.9E-5</v>
      </c>
      <c r="Y1826" s="2">
        <v>37.84722222</v>
      </c>
      <c r="Z1826" s="2">
        <v>2169.0</v>
      </c>
      <c r="AA1826" s="2" t="s">
        <v>33</v>
      </c>
    </row>
    <row r="1827">
      <c r="A1827" s="2">
        <v>3657.0</v>
      </c>
      <c r="B1827" s="2" t="s">
        <v>5376</v>
      </c>
      <c r="C1827" s="2" t="s">
        <v>7</v>
      </c>
      <c r="D1827" s="2" t="s">
        <v>5377</v>
      </c>
      <c r="E1827" s="2" t="s">
        <v>5378</v>
      </c>
      <c r="F1827" s="3">
        <v>45961.458333333336</v>
      </c>
      <c r="G1827" s="2">
        <v>50739.0</v>
      </c>
      <c r="H1827" s="2">
        <v>50739.0</v>
      </c>
      <c r="I1827" s="2">
        <v>40183.0</v>
      </c>
      <c r="J1827" s="2">
        <v>156.0</v>
      </c>
      <c r="K1827" s="2">
        <v>134.0</v>
      </c>
      <c r="L1827" s="2">
        <v>2.0</v>
      </c>
      <c r="M1827" s="4">
        <v>4913.0</v>
      </c>
      <c r="N1827" s="2" t="s">
        <v>36</v>
      </c>
      <c r="O1827" s="2">
        <v>71.0</v>
      </c>
      <c r="P1827" s="2" t="s">
        <v>189</v>
      </c>
      <c r="Q1827" s="2" t="s">
        <v>32</v>
      </c>
      <c r="R1827" s="2">
        <v>31.0</v>
      </c>
      <c r="U1827" s="2" t="b">
        <v>0</v>
      </c>
      <c r="V1827" s="5">
        <v>0.0033</v>
      </c>
      <c r="W1827" s="5">
        <v>0.0149</v>
      </c>
      <c r="X1827" s="5">
        <v>5.0E-5</v>
      </c>
      <c r="Y1827" s="2">
        <v>36.6641791</v>
      </c>
      <c r="AA1827" s="2" t="s">
        <v>33</v>
      </c>
    </row>
    <row r="1828">
      <c r="A1828" s="2">
        <v>3656.0</v>
      </c>
      <c r="B1828" s="2" t="s">
        <v>5379</v>
      </c>
      <c r="C1828" s="2" t="s">
        <v>7</v>
      </c>
      <c r="D1828" s="2" t="s">
        <v>5380</v>
      </c>
      <c r="E1828" s="2" t="s">
        <v>5381</v>
      </c>
      <c r="F1828" s="3">
        <v>45961.458333333336</v>
      </c>
      <c r="G1828" s="2">
        <v>65807.0</v>
      </c>
      <c r="H1828" s="2">
        <v>65807.0</v>
      </c>
      <c r="I1828" s="2">
        <v>53223.0</v>
      </c>
      <c r="J1828" s="2">
        <v>177.0</v>
      </c>
      <c r="K1828" s="2">
        <v>150.0</v>
      </c>
      <c r="L1828" s="2">
        <v>2.0</v>
      </c>
      <c r="M1828" s="4">
        <v>2302.0</v>
      </c>
      <c r="N1828" s="2" t="s">
        <v>30</v>
      </c>
      <c r="O1828" s="2">
        <v>70.0</v>
      </c>
      <c r="P1828" s="2" t="s">
        <v>189</v>
      </c>
      <c r="Q1828" s="2" t="s">
        <v>32</v>
      </c>
      <c r="R1828" s="2">
        <v>35.0</v>
      </c>
      <c r="T1828" s="7" t="str">
        <f>IFERROR(__xludf.DUMMYFUNCTION("AI(""has offer Come X Pay X"",D1828)"),"Has Offer")</f>
        <v>Has Offer</v>
      </c>
      <c r="U1828" s="2" t="b">
        <v>0</v>
      </c>
      <c r="V1828" s="5">
        <v>0.0028</v>
      </c>
      <c r="W1828" s="5">
        <v>0.0133</v>
      </c>
      <c r="X1828" s="5">
        <v>3.8E-5</v>
      </c>
      <c r="Y1828" s="2">
        <v>15.34666667</v>
      </c>
      <c r="AA1828" s="2" t="s">
        <v>33</v>
      </c>
    </row>
    <row r="1829">
      <c r="A1829" s="2">
        <v>3674.0</v>
      </c>
      <c r="B1829" s="2" t="s">
        <v>5382</v>
      </c>
      <c r="C1829" s="2" t="s">
        <v>7</v>
      </c>
      <c r="D1829" s="2" t="s">
        <v>5210</v>
      </c>
      <c r="E1829" s="2" t="e">
        <v>#N/A</v>
      </c>
      <c r="F1829" s="3">
        <v>45961.5</v>
      </c>
      <c r="G1829" s="2">
        <v>7479.0</v>
      </c>
      <c r="H1829" s="2">
        <v>7479.0</v>
      </c>
      <c r="I1829" s="2">
        <v>5707.0</v>
      </c>
      <c r="J1829" s="2">
        <v>49.0</v>
      </c>
      <c r="K1829" s="2">
        <v>46.0</v>
      </c>
      <c r="L1829" s="2">
        <v>1.0</v>
      </c>
      <c r="M1829" s="2">
        <v>248.0</v>
      </c>
      <c r="N1829" s="2" t="s">
        <v>423</v>
      </c>
      <c r="O1829" s="2">
        <v>119.0</v>
      </c>
      <c r="P1829" s="2" t="s">
        <v>189</v>
      </c>
      <c r="Q1829" s="2" t="s">
        <v>1367</v>
      </c>
      <c r="R1829" s="2">
        <v>36.0</v>
      </c>
      <c r="U1829" s="2" t="b">
        <v>0</v>
      </c>
      <c r="V1829" s="5">
        <v>0.0081</v>
      </c>
      <c r="W1829" s="5">
        <v>0.0217</v>
      </c>
      <c r="X1829" s="5">
        <v>1.75E-4</v>
      </c>
      <c r="Y1829" s="2">
        <v>5.391304348</v>
      </c>
      <c r="AA1829" s="2" t="s">
        <v>423</v>
      </c>
    </row>
    <row r="1830">
      <c r="A1830" s="2">
        <v>3659.0</v>
      </c>
      <c r="B1830" s="2" t="s">
        <v>5383</v>
      </c>
      <c r="C1830" s="2" t="s">
        <v>7</v>
      </c>
      <c r="D1830" s="2" t="s">
        <v>5384</v>
      </c>
      <c r="E1830" s="2" t="s">
        <v>5385</v>
      </c>
      <c r="F1830" s="3">
        <v>45961.625</v>
      </c>
      <c r="G1830" s="2">
        <v>50766.0</v>
      </c>
      <c r="H1830" s="2">
        <v>50766.0</v>
      </c>
      <c r="I1830" s="2">
        <v>40323.0</v>
      </c>
      <c r="J1830" s="2">
        <v>149.0</v>
      </c>
      <c r="K1830" s="2">
        <v>135.0</v>
      </c>
      <c r="L1830" s="2">
        <v>1.0</v>
      </c>
      <c r="M1830" s="2">
        <v>507.0</v>
      </c>
      <c r="N1830" s="2" t="s">
        <v>36</v>
      </c>
      <c r="O1830" s="2">
        <v>71.0</v>
      </c>
      <c r="P1830" s="2" t="s">
        <v>31</v>
      </c>
      <c r="Q1830" s="2" t="s">
        <v>32</v>
      </c>
      <c r="R1830" s="2">
        <v>39.0</v>
      </c>
      <c r="T1830" s="2" t="s">
        <v>47</v>
      </c>
      <c r="U1830" s="2" t="b">
        <v>0</v>
      </c>
      <c r="V1830" s="5">
        <v>0.0033</v>
      </c>
      <c r="W1830" s="5">
        <v>0.0074</v>
      </c>
      <c r="X1830" s="5">
        <v>2.5E-5</v>
      </c>
      <c r="Y1830" s="2">
        <v>3.755555556</v>
      </c>
      <c r="AA1830" s="2" t="s">
        <v>33</v>
      </c>
    </row>
    <row r="1831">
      <c r="A1831" s="2">
        <v>3658.0</v>
      </c>
      <c r="B1831" s="2" t="s">
        <v>5386</v>
      </c>
      <c r="C1831" s="2" t="s">
        <v>7</v>
      </c>
      <c r="D1831" s="2" t="s">
        <v>5387</v>
      </c>
      <c r="E1831" s="2" t="s">
        <v>5388</v>
      </c>
      <c r="F1831" s="3">
        <v>45961.625</v>
      </c>
      <c r="G1831" s="2">
        <v>65854.0</v>
      </c>
      <c r="H1831" s="2">
        <v>65854.0</v>
      </c>
      <c r="I1831" s="2">
        <v>53338.0</v>
      </c>
      <c r="J1831" s="2">
        <v>135.0</v>
      </c>
      <c r="K1831" s="2">
        <v>124.0</v>
      </c>
      <c r="L1831" s="2">
        <v>2.0</v>
      </c>
      <c r="M1831" s="4">
        <v>6410.0</v>
      </c>
      <c r="N1831" s="2" t="s">
        <v>30</v>
      </c>
      <c r="O1831" s="2">
        <v>70.0</v>
      </c>
      <c r="P1831" s="2" t="s">
        <v>189</v>
      </c>
      <c r="Q1831" s="2" t="s">
        <v>32</v>
      </c>
      <c r="R1831" s="2">
        <v>36.0</v>
      </c>
      <c r="U1831" s="2" t="b">
        <v>0</v>
      </c>
      <c r="V1831" s="5">
        <v>0.0023</v>
      </c>
      <c r="W1831" s="5">
        <v>0.0161</v>
      </c>
      <c r="X1831" s="5">
        <v>3.7E-5</v>
      </c>
      <c r="Y1831" s="2">
        <v>51.69354839</v>
      </c>
      <c r="Z1831" s="2">
        <v>4889.0</v>
      </c>
      <c r="AA1831" s="2" t="s">
        <v>33</v>
      </c>
    </row>
    <row r="1832">
      <c r="A1832" s="2">
        <v>3675.0</v>
      </c>
      <c r="B1832" s="2" t="s">
        <v>5389</v>
      </c>
      <c r="C1832" s="2" t="s">
        <v>7</v>
      </c>
      <c r="D1832" s="2" t="s">
        <v>5390</v>
      </c>
      <c r="E1832" s="2" t="s">
        <v>5391</v>
      </c>
      <c r="F1832" s="3">
        <v>45961.666666666664</v>
      </c>
      <c r="G1832" s="2">
        <v>7323.0</v>
      </c>
      <c r="H1832" s="2">
        <v>7323.0</v>
      </c>
      <c r="I1832" s="2">
        <v>5745.0</v>
      </c>
      <c r="J1832" s="2">
        <v>30.0</v>
      </c>
      <c r="K1832" s="2">
        <v>27.0</v>
      </c>
      <c r="L1832" s="2">
        <v>0.0</v>
      </c>
      <c r="M1832" s="2">
        <v>0.0</v>
      </c>
      <c r="N1832" s="2" t="s">
        <v>423</v>
      </c>
      <c r="O1832" s="2">
        <v>119.0</v>
      </c>
      <c r="P1832" s="2" t="s">
        <v>189</v>
      </c>
      <c r="Q1832" s="2" t="s">
        <v>1367</v>
      </c>
      <c r="R1832" s="2">
        <v>39.0</v>
      </c>
      <c r="U1832" s="2" t="b">
        <v>0</v>
      </c>
      <c r="V1832" s="5">
        <v>0.0047</v>
      </c>
      <c r="W1832" s="5">
        <v>0.0</v>
      </c>
      <c r="X1832" s="5">
        <v>0.0</v>
      </c>
      <c r="Y1832" s="2">
        <v>0.0</v>
      </c>
      <c r="AA1832" s="2" t="s">
        <v>423</v>
      </c>
    </row>
    <row r="1833">
      <c r="A1833" s="2">
        <v>3661.0</v>
      </c>
      <c r="B1833" s="2" t="s">
        <v>5392</v>
      </c>
      <c r="C1833" s="2" t="s">
        <v>7</v>
      </c>
      <c r="D1833" s="2" t="s">
        <v>5393</v>
      </c>
      <c r="E1833" s="2" t="s">
        <v>5394</v>
      </c>
      <c r="F1833" s="3">
        <v>45961.708333333336</v>
      </c>
      <c r="G1833" s="2">
        <v>50763.0</v>
      </c>
      <c r="H1833" s="2">
        <v>50763.0</v>
      </c>
      <c r="I1833" s="2">
        <v>40370.0</v>
      </c>
      <c r="J1833" s="2">
        <v>127.0</v>
      </c>
      <c r="K1833" s="2">
        <v>117.0</v>
      </c>
      <c r="L1833" s="2">
        <v>2.0</v>
      </c>
      <c r="M1833" s="4">
        <v>6996.0</v>
      </c>
      <c r="N1833" s="2" t="s">
        <v>36</v>
      </c>
      <c r="O1833" s="2">
        <v>71.0</v>
      </c>
      <c r="P1833" s="2" t="s">
        <v>189</v>
      </c>
      <c r="Q1833" s="2" t="s">
        <v>32</v>
      </c>
      <c r="R1833" s="2">
        <v>43.0</v>
      </c>
      <c r="T1833" s="2" t="s">
        <v>58</v>
      </c>
      <c r="U1833" s="2" t="b">
        <v>0</v>
      </c>
      <c r="V1833" s="5">
        <v>0.0029</v>
      </c>
      <c r="W1833" s="5">
        <v>0.0171</v>
      </c>
      <c r="X1833" s="5">
        <v>5.0E-5</v>
      </c>
      <c r="Y1833" s="2">
        <v>59.79487179</v>
      </c>
      <c r="AA1833" s="2" t="s">
        <v>33</v>
      </c>
    </row>
    <row r="1834">
      <c r="A1834" s="2">
        <v>3660.0</v>
      </c>
      <c r="B1834" s="2" t="s">
        <v>5395</v>
      </c>
      <c r="C1834" s="2" t="s">
        <v>7</v>
      </c>
      <c r="D1834" s="2" t="s">
        <v>5396</v>
      </c>
      <c r="E1834" s="2" t="s">
        <v>5397</v>
      </c>
      <c r="F1834" s="3">
        <v>45961.708333333336</v>
      </c>
      <c r="G1834" s="2">
        <v>65872.0</v>
      </c>
      <c r="H1834" s="2">
        <v>65872.0</v>
      </c>
      <c r="I1834" s="2">
        <v>53188.0</v>
      </c>
      <c r="J1834" s="2">
        <v>176.0</v>
      </c>
      <c r="K1834" s="2">
        <v>160.0</v>
      </c>
      <c r="L1834" s="2">
        <v>2.0</v>
      </c>
      <c r="M1834" s="4">
        <v>3735.0</v>
      </c>
      <c r="N1834" s="2" t="s">
        <v>30</v>
      </c>
      <c r="O1834" s="2">
        <v>70.0</v>
      </c>
      <c r="P1834" s="2" t="s">
        <v>189</v>
      </c>
      <c r="Q1834" s="2" t="s">
        <v>32</v>
      </c>
      <c r="R1834" s="2">
        <v>36.0</v>
      </c>
      <c r="U1834" s="2" t="b">
        <v>0</v>
      </c>
      <c r="V1834" s="5">
        <v>0.003</v>
      </c>
      <c r="W1834" s="5">
        <v>0.0125</v>
      </c>
      <c r="X1834" s="5">
        <v>3.8E-5</v>
      </c>
      <c r="Y1834" s="2">
        <v>23.34375</v>
      </c>
      <c r="AA1834" s="2" t="s">
        <v>33</v>
      </c>
    </row>
    <row r="1835">
      <c r="A1835" s="2">
        <v>3676.0</v>
      </c>
      <c r="B1835" s="2" t="s">
        <v>5398</v>
      </c>
      <c r="C1835" s="2" t="s">
        <v>7</v>
      </c>
      <c r="D1835" s="2" t="s">
        <v>5399</v>
      </c>
      <c r="E1835" s="2" t="s">
        <v>5400</v>
      </c>
      <c r="F1835" s="3">
        <v>45961.75</v>
      </c>
      <c r="G1835" s="2">
        <v>7308.0</v>
      </c>
      <c r="H1835" s="2">
        <v>7308.0</v>
      </c>
      <c r="I1835" s="2">
        <v>5670.0</v>
      </c>
      <c r="J1835" s="2">
        <v>29.0</v>
      </c>
      <c r="K1835" s="2">
        <v>27.0</v>
      </c>
      <c r="L1835" s="2">
        <v>0.0</v>
      </c>
      <c r="M1835" s="2">
        <v>0.0</v>
      </c>
      <c r="N1835" s="2" t="s">
        <v>423</v>
      </c>
      <c r="O1835" s="2">
        <v>119.0</v>
      </c>
      <c r="P1835" s="2" t="s">
        <v>189</v>
      </c>
      <c r="Q1835" s="2" t="s">
        <v>1367</v>
      </c>
      <c r="R1835" s="2">
        <v>36.0</v>
      </c>
      <c r="T1835" s="7" t="str">
        <f>IFERROR(__xludf.DUMMYFUNCTION("AI(""has offer Come X Pay X"",D1835)"),"X's payment platform, X Money, offers real-time, peer-to-peer money transfers and a secure digital wallet for users.")</f>
        <v>X's payment platform, X Money, offers real-time, peer-to-peer money transfers and a secure digital wallet for users.</v>
      </c>
      <c r="U1835" s="2" t="b">
        <v>0</v>
      </c>
      <c r="V1835" s="5">
        <v>0.0048</v>
      </c>
      <c r="W1835" s="5">
        <v>0.0</v>
      </c>
      <c r="X1835" s="5">
        <v>0.0</v>
      </c>
      <c r="Y1835" s="2">
        <v>0.0</v>
      </c>
      <c r="AA1835" s="2" t="s">
        <v>423</v>
      </c>
    </row>
    <row r="1836">
      <c r="A1836" s="2">
        <v>3663.0</v>
      </c>
      <c r="B1836" s="2" t="s">
        <v>5401</v>
      </c>
      <c r="C1836" s="2" t="s">
        <v>7</v>
      </c>
      <c r="D1836" s="2" t="s">
        <v>5402</v>
      </c>
      <c r="E1836" s="2" t="s">
        <v>5403</v>
      </c>
      <c r="F1836" s="6">
        <v>45962.458333333336</v>
      </c>
      <c r="G1836" s="2">
        <v>50796.0</v>
      </c>
      <c r="H1836" s="2">
        <v>50796.0</v>
      </c>
      <c r="I1836" s="2">
        <v>40105.0</v>
      </c>
      <c r="J1836" s="2">
        <v>173.0</v>
      </c>
      <c r="K1836" s="2">
        <v>160.0</v>
      </c>
      <c r="L1836" s="2">
        <v>0.0</v>
      </c>
      <c r="M1836" s="2">
        <v>0.0</v>
      </c>
      <c r="N1836" s="2" t="s">
        <v>36</v>
      </c>
      <c r="O1836" s="2">
        <v>71.0</v>
      </c>
      <c r="P1836" s="2" t="s">
        <v>189</v>
      </c>
      <c r="Q1836" s="2" t="s">
        <v>32</v>
      </c>
      <c r="R1836" s="2">
        <v>35.0</v>
      </c>
      <c r="U1836" s="2" t="b">
        <v>0</v>
      </c>
      <c r="V1836" s="5">
        <v>0.004</v>
      </c>
      <c r="W1836" s="5">
        <v>0.0</v>
      </c>
      <c r="X1836" s="5">
        <v>0.0</v>
      </c>
      <c r="Y1836" s="2">
        <v>0.0</v>
      </c>
      <c r="AA1836" s="2" t="s">
        <v>33</v>
      </c>
    </row>
    <row r="1837">
      <c r="A1837" s="2">
        <v>3662.0</v>
      </c>
      <c r="B1837" s="2" t="s">
        <v>5404</v>
      </c>
      <c r="C1837" s="2" t="s">
        <v>7</v>
      </c>
      <c r="D1837" s="2" t="s">
        <v>5405</v>
      </c>
      <c r="E1837" s="2" t="s">
        <v>5406</v>
      </c>
      <c r="F1837" s="6">
        <v>45962.458333333336</v>
      </c>
      <c r="G1837" s="2">
        <v>65939.0</v>
      </c>
      <c r="H1837" s="2">
        <v>65939.0</v>
      </c>
      <c r="I1837" s="2">
        <v>53191.0</v>
      </c>
      <c r="J1837" s="2">
        <v>172.0</v>
      </c>
      <c r="K1837" s="2">
        <v>155.0</v>
      </c>
      <c r="L1837" s="2">
        <v>5.0</v>
      </c>
      <c r="M1837" s="4">
        <v>13288.0</v>
      </c>
      <c r="N1837" s="2" t="s">
        <v>30</v>
      </c>
      <c r="O1837" s="2">
        <v>70.0</v>
      </c>
      <c r="P1837" s="2" t="s">
        <v>189</v>
      </c>
      <c r="Q1837" s="2" t="s">
        <v>32</v>
      </c>
      <c r="R1837" s="2">
        <v>34.0</v>
      </c>
      <c r="U1837" s="2" t="b">
        <v>0</v>
      </c>
      <c r="V1837" s="5">
        <v>0.0029</v>
      </c>
      <c r="W1837" s="5">
        <v>0.0323</v>
      </c>
      <c r="X1837" s="5">
        <v>9.4E-5</v>
      </c>
      <c r="Y1837" s="2">
        <v>85.72903226</v>
      </c>
      <c r="AA1837" s="2" t="s">
        <v>33</v>
      </c>
    </row>
    <row r="1838">
      <c r="A1838" s="2">
        <v>3677.0</v>
      </c>
      <c r="B1838" s="2" t="s">
        <v>5407</v>
      </c>
      <c r="C1838" s="2" t="s">
        <v>7</v>
      </c>
      <c r="D1838" s="2" t="s">
        <v>5408</v>
      </c>
      <c r="E1838" s="2" t="s">
        <v>5409</v>
      </c>
      <c r="F1838" s="6">
        <v>45962.5</v>
      </c>
      <c r="G1838" s="2">
        <v>7293.0</v>
      </c>
      <c r="H1838" s="2">
        <v>7293.0</v>
      </c>
      <c r="I1838" s="2">
        <v>5685.0</v>
      </c>
      <c r="J1838" s="2">
        <v>31.0</v>
      </c>
      <c r="K1838" s="2">
        <v>31.0</v>
      </c>
      <c r="L1838" s="2">
        <v>0.0</v>
      </c>
      <c r="M1838" s="2">
        <v>0.0</v>
      </c>
      <c r="N1838" s="2" t="s">
        <v>423</v>
      </c>
      <c r="O1838" s="2">
        <v>119.0</v>
      </c>
      <c r="P1838" s="2" t="s">
        <v>189</v>
      </c>
      <c r="Q1838" s="2" t="s">
        <v>1367</v>
      </c>
      <c r="R1838" s="2">
        <v>38.0</v>
      </c>
      <c r="U1838" s="2" t="b">
        <v>0</v>
      </c>
      <c r="V1838" s="5">
        <v>0.0055</v>
      </c>
      <c r="W1838" s="5">
        <v>0.0</v>
      </c>
      <c r="X1838" s="5">
        <v>0.0</v>
      </c>
      <c r="Y1838" s="2">
        <v>0.0</v>
      </c>
      <c r="AA1838" s="2" t="s">
        <v>423</v>
      </c>
    </row>
    <row r="1839">
      <c r="A1839" s="2">
        <v>3665.0</v>
      </c>
      <c r="B1839" s="2" t="s">
        <v>5410</v>
      </c>
      <c r="C1839" s="2" t="s">
        <v>7</v>
      </c>
      <c r="D1839" s="2" t="s">
        <v>5411</v>
      </c>
      <c r="E1839" s="2" t="s">
        <v>5412</v>
      </c>
      <c r="F1839" s="6">
        <v>45962.625</v>
      </c>
      <c r="G1839" s="2">
        <v>50857.0</v>
      </c>
      <c r="H1839" s="2">
        <v>50857.0</v>
      </c>
      <c r="I1839" s="2">
        <v>40443.0</v>
      </c>
      <c r="J1839" s="2">
        <v>204.0</v>
      </c>
      <c r="K1839" s="2">
        <v>188.0</v>
      </c>
      <c r="L1839" s="2">
        <v>3.0</v>
      </c>
      <c r="M1839" s="4">
        <v>13296.0</v>
      </c>
      <c r="N1839" s="2" t="s">
        <v>36</v>
      </c>
      <c r="O1839" s="2">
        <v>71.0</v>
      </c>
      <c r="P1839" s="2" t="s">
        <v>31</v>
      </c>
      <c r="Q1839" s="2" t="s">
        <v>32</v>
      </c>
      <c r="R1839" s="2">
        <v>41.0</v>
      </c>
      <c r="T1839" s="2" t="s">
        <v>58</v>
      </c>
      <c r="U1839" s="2" t="b">
        <v>1</v>
      </c>
      <c r="V1839" s="5">
        <v>0.0046</v>
      </c>
      <c r="W1839" s="5">
        <v>0.016</v>
      </c>
      <c r="X1839" s="5">
        <v>7.4E-5</v>
      </c>
      <c r="Y1839" s="2">
        <v>70.72340426</v>
      </c>
      <c r="AA1839" s="2" t="s">
        <v>33</v>
      </c>
    </row>
    <row r="1840">
      <c r="A1840" s="2">
        <v>3664.0</v>
      </c>
      <c r="B1840" s="2" t="s">
        <v>5413</v>
      </c>
      <c r="C1840" s="2" t="s">
        <v>7</v>
      </c>
      <c r="D1840" s="2" t="s">
        <v>5414</v>
      </c>
      <c r="E1840" s="2" t="s">
        <v>5415</v>
      </c>
      <c r="F1840" s="6">
        <v>45962.625</v>
      </c>
      <c r="G1840" s="2">
        <v>66025.0</v>
      </c>
      <c r="H1840" s="2">
        <v>66025.0</v>
      </c>
      <c r="I1840" s="2">
        <v>53460.0</v>
      </c>
      <c r="J1840" s="2">
        <v>189.0</v>
      </c>
      <c r="K1840" s="2">
        <v>182.0</v>
      </c>
      <c r="L1840" s="2">
        <v>6.0</v>
      </c>
      <c r="M1840" s="4">
        <v>9860.0</v>
      </c>
      <c r="N1840" s="2" t="s">
        <v>30</v>
      </c>
      <c r="O1840" s="2">
        <v>70.0</v>
      </c>
      <c r="P1840" s="2" t="s">
        <v>31</v>
      </c>
      <c r="Q1840" s="2" t="s">
        <v>32</v>
      </c>
      <c r="R1840" s="2">
        <v>38.0</v>
      </c>
      <c r="U1840" s="2" t="b">
        <v>0</v>
      </c>
      <c r="V1840" s="5">
        <v>0.0034</v>
      </c>
      <c r="W1840" s="5">
        <v>0.033</v>
      </c>
      <c r="X1840" s="5">
        <v>1.12E-4</v>
      </c>
      <c r="Y1840" s="2">
        <v>54.17582418</v>
      </c>
      <c r="Z1840" s="2">
        <v>4412.0</v>
      </c>
      <c r="AA1840" s="2" t="s">
        <v>33</v>
      </c>
    </row>
    <row r="1841">
      <c r="A1841" s="2">
        <v>3678.0</v>
      </c>
      <c r="B1841" s="2" t="s">
        <v>5416</v>
      </c>
      <c r="C1841" s="2" t="s">
        <v>7</v>
      </c>
      <c r="D1841" s="2" t="s">
        <v>5417</v>
      </c>
      <c r="E1841" s="2" t="s">
        <v>5418</v>
      </c>
      <c r="F1841" s="6">
        <v>45962.666666666664</v>
      </c>
      <c r="G1841" s="2">
        <v>7281.0</v>
      </c>
      <c r="H1841" s="2">
        <v>7281.0</v>
      </c>
      <c r="I1841" s="2">
        <v>5714.0</v>
      </c>
      <c r="J1841" s="2">
        <v>24.0</v>
      </c>
      <c r="K1841" s="2">
        <v>23.0</v>
      </c>
      <c r="L1841" s="2">
        <v>0.0</v>
      </c>
      <c r="M1841" s="2">
        <v>0.0</v>
      </c>
      <c r="N1841" s="2" t="s">
        <v>423</v>
      </c>
      <c r="O1841" s="2">
        <v>119.0</v>
      </c>
      <c r="P1841" s="2" t="s">
        <v>31</v>
      </c>
      <c r="Q1841" s="2" t="s">
        <v>1367</v>
      </c>
      <c r="R1841" s="2">
        <v>39.0</v>
      </c>
      <c r="T1841" s="2" t="s">
        <v>47</v>
      </c>
      <c r="U1841" s="2" t="b">
        <v>0</v>
      </c>
      <c r="V1841" s="5">
        <v>0.004</v>
      </c>
      <c r="W1841" s="5">
        <v>0.0</v>
      </c>
      <c r="X1841" s="5">
        <v>0.0</v>
      </c>
      <c r="Y1841" s="2">
        <v>0.0</v>
      </c>
      <c r="AA1841" s="2" t="s">
        <v>423</v>
      </c>
    </row>
    <row r="1842">
      <c r="A1842" s="2">
        <v>3667.0</v>
      </c>
      <c r="B1842" s="2" t="s">
        <v>5419</v>
      </c>
      <c r="C1842" s="2" t="s">
        <v>7</v>
      </c>
      <c r="D1842" s="2" t="s">
        <v>5362</v>
      </c>
      <c r="E1842" s="2" t="s">
        <v>5420</v>
      </c>
      <c r="F1842" s="6">
        <v>45962.708333333336</v>
      </c>
      <c r="G1842" s="2">
        <v>50866.0</v>
      </c>
      <c r="H1842" s="2">
        <v>50866.0</v>
      </c>
      <c r="I1842" s="2">
        <v>40376.0</v>
      </c>
      <c r="J1842" s="2">
        <v>147.0</v>
      </c>
      <c r="K1842" s="2">
        <v>139.0</v>
      </c>
      <c r="L1842" s="2">
        <v>4.0</v>
      </c>
      <c r="M1842" s="4">
        <v>17257.0</v>
      </c>
      <c r="N1842" s="2" t="s">
        <v>36</v>
      </c>
      <c r="O1842" s="2">
        <v>71.0</v>
      </c>
      <c r="P1842" s="2" t="s">
        <v>189</v>
      </c>
      <c r="Q1842" s="2" t="s">
        <v>32</v>
      </c>
      <c r="R1842" s="2">
        <v>46.0</v>
      </c>
      <c r="U1842" s="2" t="b">
        <v>1</v>
      </c>
      <c r="V1842" s="5">
        <v>0.0034</v>
      </c>
      <c r="W1842" s="5">
        <v>0.0288</v>
      </c>
      <c r="X1842" s="5">
        <v>9.9E-5</v>
      </c>
      <c r="Y1842" s="2">
        <v>124.1510791</v>
      </c>
      <c r="AA1842" s="2" t="s">
        <v>33</v>
      </c>
    </row>
    <row r="1843">
      <c r="A1843" s="2">
        <v>3666.0</v>
      </c>
      <c r="B1843" s="2" t="s">
        <v>5421</v>
      </c>
      <c r="C1843" s="2" t="s">
        <v>7</v>
      </c>
      <c r="D1843" s="2" t="s">
        <v>5359</v>
      </c>
      <c r="E1843" s="2" t="s">
        <v>5422</v>
      </c>
      <c r="F1843" s="6">
        <v>45962.708333333336</v>
      </c>
      <c r="G1843" s="2">
        <v>66028.0</v>
      </c>
      <c r="H1843" s="2">
        <v>66028.0</v>
      </c>
      <c r="I1843" s="2">
        <v>53135.0</v>
      </c>
      <c r="J1843" s="2">
        <v>178.0</v>
      </c>
      <c r="K1843" s="2">
        <v>156.0</v>
      </c>
      <c r="L1843" s="2">
        <v>1.0</v>
      </c>
      <c r="M1843" s="4">
        <v>3164.0</v>
      </c>
      <c r="N1843" s="2" t="s">
        <v>30</v>
      </c>
      <c r="O1843" s="2">
        <v>70.0</v>
      </c>
      <c r="P1843" s="2" t="s">
        <v>189</v>
      </c>
      <c r="Q1843" s="2" t="s">
        <v>32</v>
      </c>
      <c r="R1843" s="2">
        <v>41.0</v>
      </c>
      <c r="U1843" s="2" t="b">
        <v>0</v>
      </c>
      <c r="V1843" s="5">
        <v>0.0029</v>
      </c>
      <c r="W1843" s="5">
        <v>0.0064</v>
      </c>
      <c r="X1843" s="5">
        <v>1.9E-5</v>
      </c>
      <c r="Y1843" s="2">
        <v>20.28205128</v>
      </c>
      <c r="Z1843" s="2">
        <v>984.0</v>
      </c>
      <c r="AA1843" s="2" t="s">
        <v>33</v>
      </c>
    </row>
    <row r="1844">
      <c r="A1844" s="2">
        <v>3679.0</v>
      </c>
      <c r="B1844" s="2" t="s">
        <v>5423</v>
      </c>
      <c r="C1844" s="2" t="s">
        <v>7</v>
      </c>
      <c r="D1844" s="2" t="s">
        <v>5424</v>
      </c>
      <c r="E1844" s="2" t="s">
        <v>5425</v>
      </c>
      <c r="F1844" s="6">
        <v>45962.75</v>
      </c>
      <c r="G1844" s="2">
        <v>7292.0</v>
      </c>
      <c r="H1844" s="2">
        <v>7292.0</v>
      </c>
      <c r="I1844" s="2">
        <v>5722.0</v>
      </c>
      <c r="J1844" s="2">
        <v>25.0</v>
      </c>
      <c r="K1844" s="2">
        <v>23.0</v>
      </c>
      <c r="L1844" s="2">
        <v>1.0</v>
      </c>
      <c r="M1844" s="2">
        <v>158.0</v>
      </c>
      <c r="N1844" s="2" t="s">
        <v>423</v>
      </c>
      <c r="O1844" s="2">
        <v>119.0</v>
      </c>
      <c r="P1844" s="2" t="s">
        <v>31</v>
      </c>
      <c r="Q1844" s="2" t="s">
        <v>1367</v>
      </c>
      <c r="R1844" s="2">
        <v>46.0</v>
      </c>
      <c r="U1844" s="2" t="b">
        <v>0</v>
      </c>
      <c r="V1844" s="5">
        <v>0.004</v>
      </c>
      <c r="W1844" s="5">
        <v>0.0435</v>
      </c>
      <c r="X1844" s="5">
        <v>1.75E-4</v>
      </c>
      <c r="Y1844" s="2">
        <v>6.869565217</v>
      </c>
      <c r="AA1844" s="2" t="s">
        <v>423</v>
      </c>
    </row>
    <row r="1845">
      <c r="A1845" s="2">
        <v>3669.0</v>
      </c>
      <c r="B1845" s="2" t="s">
        <v>5426</v>
      </c>
      <c r="C1845" s="2" t="s">
        <v>7</v>
      </c>
      <c r="D1845" s="2" t="s">
        <v>5427</v>
      </c>
      <c r="E1845" s="2" t="s">
        <v>5428</v>
      </c>
      <c r="F1845" s="6">
        <v>45963.458333333336</v>
      </c>
      <c r="G1845" s="2">
        <v>51152.0</v>
      </c>
      <c r="H1845" s="2">
        <v>51152.0</v>
      </c>
      <c r="I1845" s="2">
        <v>40373.0</v>
      </c>
      <c r="J1845" s="2">
        <v>207.0</v>
      </c>
      <c r="K1845" s="2">
        <v>184.0</v>
      </c>
      <c r="L1845" s="2">
        <v>3.0</v>
      </c>
      <c r="M1845" s="4">
        <v>2340.0</v>
      </c>
      <c r="N1845" s="2" t="s">
        <v>36</v>
      </c>
      <c r="O1845" s="2">
        <v>71.0</v>
      </c>
      <c r="P1845" s="2" t="s">
        <v>189</v>
      </c>
      <c r="Q1845" s="2" t="s">
        <v>32</v>
      </c>
      <c r="R1845" s="2">
        <v>33.0</v>
      </c>
      <c r="T1845" s="2" t="s">
        <v>1785</v>
      </c>
      <c r="U1845" s="2" t="b">
        <v>1</v>
      </c>
      <c r="V1845" s="5">
        <v>0.0046</v>
      </c>
      <c r="W1845" s="5">
        <v>0.0163</v>
      </c>
      <c r="X1845" s="5">
        <v>7.4E-5</v>
      </c>
      <c r="Y1845" s="2">
        <v>12.7173913</v>
      </c>
      <c r="AA1845" s="2" t="s">
        <v>33</v>
      </c>
    </row>
    <row r="1846">
      <c r="A1846" s="2">
        <v>3668.0</v>
      </c>
      <c r="B1846" s="2" t="s">
        <v>5429</v>
      </c>
      <c r="C1846" s="2" t="s">
        <v>7</v>
      </c>
      <c r="D1846" s="2" t="s">
        <v>5430</v>
      </c>
      <c r="E1846" s="2" t="s">
        <v>5431</v>
      </c>
      <c r="F1846" s="6">
        <v>45963.458333333336</v>
      </c>
      <c r="G1846" s="2">
        <v>66410.0</v>
      </c>
      <c r="H1846" s="2">
        <v>66410.0</v>
      </c>
      <c r="I1846" s="2">
        <v>53513.0</v>
      </c>
      <c r="J1846" s="2">
        <v>235.0</v>
      </c>
      <c r="K1846" s="2">
        <v>217.0</v>
      </c>
      <c r="L1846" s="2">
        <v>3.0</v>
      </c>
      <c r="M1846" s="4">
        <v>28764.0</v>
      </c>
      <c r="N1846" s="2" t="s">
        <v>30</v>
      </c>
      <c r="O1846" s="2">
        <v>70.0</v>
      </c>
      <c r="P1846" s="2" t="s">
        <v>189</v>
      </c>
      <c r="Q1846" s="2" t="s">
        <v>32</v>
      </c>
      <c r="R1846" s="2">
        <v>33.0</v>
      </c>
      <c r="T1846" s="2" t="s">
        <v>143</v>
      </c>
      <c r="U1846" s="2" t="b">
        <v>0</v>
      </c>
      <c r="V1846" s="5">
        <v>0.0041</v>
      </c>
      <c r="W1846" s="5">
        <v>0.0138</v>
      </c>
      <c r="X1846" s="5">
        <v>5.6E-5</v>
      </c>
      <c r="Y1846" s="2">
        <v>132.5529954</v>
      </c>
      <c r="Z1846" s="2" t="s">
        <v>1215</v>
      </c>
      <c r="AA1846" s="2" t="s">
        <v>33</v>
      </c>
    </row>
    <row r="1847">
      <c r="A1847" s="2">
        <v>3680.0</v>
      </c>
      <c r="B1847" s="2" t="s">
        <v>5432</v>
      </c>
      <c r="C1847" s="2" t="s">
        <v>7</v>
      </c>
      <c r="D1847" s="2" t="s">
        <v>5433</v>
      </c>
      <c r="E1847" s="2" t="s">
        <v>5434</v>
      </c>
      <c r="F1847" s="6">
        <v>45963.5</v>
      </c>
      <c r="G1847" s="2">
        <v>7303.0</v>
      </c>
      <c r="H1847" s="2">
        <v>7303.0</v>
      </c>
      <c r="I1847" s="2">
        <v>5731.0</v>
      </c>
      <c r="J1847" s="2">
        <v>35.0</v>
      </c>
      <c r="K1847" s="2">
        <v>34.0</v>
      </c>
      <c r="L1847" s="2">
        <v>1.0</v>
      </c>
      <c r="M1847" s="2">
        <v>165.0</v>
      </c>
      <c r="N1847" s="2" t="s">
        <v>423</v>
      </c>
      <c r="O1847" s="2">
        <v>119.0</v>
      </c>
      <c r="P1847" s="2" t="s">
        <v>31</v>
      </c>
      <c r="Q1847" s="2" t="s">
        <v>1367</v>
      </c>
      <c r="R1847" s="2">
        <v>49.0</v>
      </c>
      <c r="U1847" s="2" t="b">
        <v>0</v>
      </c>
      <c r="V1847" s="5">
        <v>0.0059</v>
      </c>
      <c r="W1847" s="5">
        <v>0.0294</v>
      </c>
      <c r="X1847" s="5">
        <v>1.74E-4</v>
      </c>
      <c r="Y1847" s="2">
        <v>4.852941176</v>
      </c>
      <c r="AA1847" s="2" t="s">
        <v>423</v>
      </c>
    </row>
    <row r="1848">
      <c r="A1848" s="2">
        <v>3671.0</v>
      </c>
      <c r="B1848" s="2" t="s">
        <v>5435</v>
      </c>
      <c r="C1848" s="2" t="s">
        <v>7</v>
      </c>
      <c r="D1848" s="2" t="s">
        <v>5436</v>
      </c>
      <c r="E1848" s="2" t="s">
        <v>5437</v>
      </c>
      <c r="F1848" s="6">
        <v>45963.625</v>
      </c>
      <c r="G1848" s="2">
        <v>51222.0</v>
      </c>
      <c r="H1848" s="2">
        <v>51222.0</v>
      </c>
      <c r="I1848" s="2">
        <v>40814.0</v>
      </c>
      <c r="J1848" s="2">
        <v>151.0</v>
      </c>
      <c r="K1848" s="2">
        <v>132.0</v>
      </c>
      <c r="L1848" s="2">
        <v>3.0</v>
      </c>
      <c r="M1848" s="4">
        <v>12490.0</v>
      </c>
      <c r="N1848" s="2" t="s">
        <v>36</v>
      </c>
      <c r="O1848" s="2">
        <v>71.0</v>
      </c>
      <c r="P1848" s="2" t="s">
        <v>31</v>
      </c>
      <c r="Q1848" s="2" t="s">
        <v>32</v>
      </c>
      <c r="R1848" s="2">
        <v>39.0</v>
      </c>
      <c r="T1848" s="2" t="s">
        <v>47</v>
      </c>
      <c r="U1848" s="2" t="b">
        <v>0</v>
      </c>
      <c r="V1848" s="5">
        <v>0.0032</v>
      </c>
      <c r="W1848" s="5">
        <v>0.0227</v>
      </c>
      <c r="X1848" s="5">
        <v>7.4E-5</v>
      </c>
      <c r="Y1848" s="2">
        <v>94.62121212</v>
      </c>
      <c r="AA1848" s="2" t="s">
        <v>33</v>
      </c>
    </row>
    <row r="1849">
      <c r="A1849" s="2">
        <v>3670.0</v>
      </c>
      <c r="B1849" s="2" t="s">
        <v>5438</v>
      </c>
      <c r="C1849" s="2" t="s">
        <v>7</v>
      </c>
      <c r="D1849" s="2" t="s">
        <v>5439</v>
      </c>
      <c r="E1849" s="2" t="s">
        <v>5440</v>
      </c>
      <c r="F1849" s="6">
        <v>45963.625</v>
      </c>
      <c r="G1849" s="2">
        <v>66506.0</v>
      </c>
      <c r="H1849" s="2">
        <v>66506.0</v>
      </c>
      <c r="I1849" s="2">
        <v>54005.0</v>
      </c>
      <c r="J1849" s="2">
        <v>193.0</v>
      </c>
      <c r="K1849" s="2">
        <v>178.0</v>
      </c>
      <c r="L1849" s="2">
        <v>0.0</v>
      </c>
      <c r="M1849" s="2">
        <v>0.0</v>
      </c>
      <c r="N1849" s="2" t="s">
        <v>30</v>
      </c>
      <c r="O1849" s="2">
        <v>70.0</v>
      </c>
      <c r="P1849" s="2" t="s">
        <v>189</v>
      </c>
      <c r="Q1849" s="2" t="s">
        <v>32</v>
      </c>
      <c r="R1849" s="2">
        <v>39.0</v>
      </c>
      <c r="T1849" s="2" t="s">
        <v>162</v>
      </c>
      <c r="U1849" s="2" t="b">
        <v>0</v>
      </c>
      <c r="V1849" s="5">
        <v>0.0033</v>
      </c>
      <c r="W1849" s="5">
        <v>0.0</v>
      </c>
      <c r="X1849" s="5">
        <v>0.0</v>
      </c>
      <c r="Y1849" s="2">
        <v>0.0</v>
      </c>
      <c r="AA1849" s="2" t="s">
        <v>33</v>
      </c>
    </row>
    <row r="1850">
      <c r="A1850" s="2">
        <v>3681.0</v>
      </c>
      <c r="B1850" s="2" t="s">
        <v>5441</v>
      </c>
      <c r="C1850" s="2" t="s">
        <v>7</v>
      </c>
      <c r="D1850" s="2" t="s">
        <v>5442</v>
      </c>
      <c r="E1850" s="2" t="s">
        <v>5443</v>
      </c>
      <c r="F1850" s="6">
        <v>45963.666666666664</v>
      </c>
      <c r="G1850" s="2">
        <v>7316.0</v>
      </c>
      <c r="H1850" s="2">
        <v>7316.0</v>
      </c>
      <c r="I1850" s="2">
        <v>5755.0</v>
      </c>
      <c r="J1850" s="2">
        <v>35.0</v>
      </c>
      <c r="K1850" s="2">
        <v>32.0</v>
      </c>
      <c r="L1850" s="2">
        <v>1.0</v>
      </c>
      <c r="M1850" s="2">
        <v>469.0</v>
      </c>
      <c r="N1850" s="2" t="s">
        <v>423</v>
      </c>
      <c r="O1850" s="2">
        <v>119.0</v>
      </c>
      <c r="P1850" s="2" t="s">
        <v>189</v>
      </c>
      <c r="Q1850" s="2" t="s">
        <v>1367</v>
      </c>
      <c r="R1850" s="2">
        <v>34.0</v>
      </c>
      <c r="U1850" s="2" t="b">
        <v>0</v>
      </c>
      <c r="V1850" s="5">
        <v>0.0056</v>
      </c>
      <c r="W1850" s="5">
        <v>0.0313</v>
      </c>
      <c r="X1850" s="5">
        <v>1.74E-4</v>
      </c>
      <c r="Y1850" s="2">
        <v>14.65625</v>
      </c>
      <c r="AA1850" s="2" t="s">
        <v>423</v>
      </c>
    </row>
    <row r="1851">
      <c r="A1851" s="2">
        <v>3673.0</v>
      </c>
      <c r="B1851" s="2" t="s">
        <v>5444</v>
      </c>
      <c r="C1851" s="2" t="s">
        <v>7</v>
      </c>
      <c r="D1851" s="2" t="s">
        <v>5445</v>
      </c>
      <c r="E1851" s="2" t="s">
        <v>5446</v>
      </c>
      <c r="F1851" s="6">
        <v>45963.708333333336</v>
      </c>
      <c r="G1851" s="2">
        <v>51278.0</v>
      </c>
      <c r="H1851" s="2">
        <v>51278.0</v>
      </c>
      <c r="I1851" s="2">
        <v>40731.0</v>
      </c>
      <c r="J1851" s="2">
        <v>191.0</v>
      </c>
      <c r="K1851" s="2">
        <v>176.0</v>
      </c>
      <c r="L1851" s="2">
        <v>2.0</v>
      </c>
      <c r="M1851" s="4">
        <v>10574.0</v>
      </c>
      <c r="N1851" s="2" t="s">
        <v>36</v>
      </c>
      <c r="O1851" s="2">
        <v>71.0</v>
      </c>
      <c r="P1851" s="2" t="s">
        <v>31</v>
      </c>
      <c r="Q1851" s="2" t="s">
        <v>32</v>
      </c>
      <c r="R1851" s="2">
        <v>47.0</v>
      </c>
      <c r="T1851" s="2" t="s">
        <v>47</v>
      </c>
      <c r="U1851" s="2" t="b">
        <v>0</v>
      </c>
      <c r="V1851" s="5">
        <v>0.0043</v>
      </c>
      <c r="W1851" s="5">
        <v>0.0114</v>
      </c>
      <c r="X1851" s="5">
        <v>4.9E-5</v>
      </c>
      <c r="Y1851" s="2">
        <v>60.07954545</v>
      </c>
      <c r="AA1851" s="2" t="s">
        <v>33</v>
      </c>
    </row>
    <row r="1852">
      <c r="A1852" s="2">
        <v>3672.0</v>
      </c>
      <c r="B1852" s="2" t="s">
        <v>5447</v>
      </c>
      <c r="C1852" s="2" t="s">
        <v>7</v>
      </c>
      <c r="D1852" s="2" t="s">
        <v>5448</v>
      </c>
      <c r="E1852" s="2" t="s">
        <v>5449</v>
      </c>
      <c r="F1852" s="6">
        <v>45963.708333333336</v>
      </c>
      <c r="G1852" s="2">
        <v>66565.0</v>
      </c>
      <c r="H1852" s="2">
        <v>66565.0</v>
      </c>
      <c r="I1852" s="2">
        <v>53867.0</v>
      </c>
      <c r="J1852" s="2">
        <v>207.0</v>
      </c>
      <c r="K1852" s="2">
        <v>187.0</v>
      </c>
      <c r="L1852" s="2">
        <v>4.0</v>
      </c>
      <c r="M1852" s="4">
        <v>18189.0</v>
      </c>
      <c r="N1852" s="2" t="s">
        <v>30</v>
      </c>
      <c r="O1852" s="2">
        <v>70.0</v>
      </c>
      <c r="P1852" s="2" t="s">
        <v>31</v>
      </c>
      <c r="Q1852" s="2" t="s">
        <v>32</v>
      </c>
      <c r="R1852" s="2">
        <v>41.0</v>
      </c>
      <c r="U1852" s="2" t="b">
        <v>0</v>
      </c>
      <c r="V1852" s="5">
        <v>0.0035</v>
      </c>
      <c r="W1852" s="5">
        <v>0.0214</v>
      </c>
      <c r="X1852" s="5">
        <v>7.4E-5</v>
      </c>
      <c r="Y1852" s="2">
        <v>97.26737968</v>
      </c>
      <c r="AA1852" s="2" t="s">
        <v>33</v>
      </c>
    </row>
    <row r="1853">
      <c r="A1853" s="2">
        <v>3682.0</v>
      </c>
      <c r="B1853" s="2" t="s">
        <v>5450</v>
      </c>
      <c r="C1853" s="2" t="s">
        <v>7</v>
      </c>
      <c r="D1853" s="2" t="s">
        <v>5451</v>
      </c>
      <c r="E1853" s="2" t="s">
        <v>5452</v>
      </c>
      <c r="F1853" s="6">
        <v>45963.75</v>
      </c>
      <c r="G1853" s="2">
        <v>7307.0</v>
      </c>
      <c r="H1853" s="2">
        <v>7307.0</v>
      </c>
      <c r="I1853" s="2">
        <v>5740.0</v>
      </c>
      <c r="J1853" s="2">
        <v>28.0</v>
      </c>
      <c r="K1853" s="2">
        <v>25.0</v>
      </c>
      <c r="L1853" s="2">
        <v>0.0</v>
      </c>
      <c r="M1853" s="2">
        <v>0.0</v>
      </c>
      <c r="N1853" s="2" t="s">
        <v>423</v>
      </c>
      <c r="O1853" s="2">
        <v>119.0</v>
      </c>
      <c r="P1853" s="2" t="s">
        <v>189</v>
      </c>
      <c r="Q1853" s="2" t="s">
        <v>1367</v>
      </c>
      <c r="R1853" s="2">
        <v>45.0</v>
      </c>
      <c r="T1853" s="2" t="s">
        <v>47</v>
      </c>
      <c r="U1853" s="2" t="b">
        <v>0</v>
      </c>
      <c r="V1853" s="5">
        <v>0.0044</v>
      </c>
      <c r="W1853" s="5">
        <v>0.0</v>
      </c>
      <c r="X1853" s="5">
        <v>0.0</v>
      </c>
      <c r="Y1853" s="2">
        <v>0.0</v>
      </c>
      <c r="AA1853" s="2" t="s">
        <v>423</v>
      </c>
    </row>
    <row r="1854">
      <c r="A1854" s="2">
        <v>3683.0</v>
      </c>
      <c r="B1854" s="2" t="s">
        <v>5453</v>
      </c>
      <c r="C1854" s="2" t="s">
        <v>7</v>
      </c>
      <c r="D1854" s="2" t="s">
        <v>5454</v>
      </c>
      <c r="E1854" s="2" t="s">
        <v>5455</v>
      </c>
      <c r="F1854" s="6">
        <v>45964.51597222222</v>
      </c>
      <c r="G1854" s="2">
        <v>66731.0</v>
      </c>
      <c r="H1854" s="2">
        <v>66731.0</v>
      </c>
      <c r="I1854" s="2">
        <v>54337.0</v>
      </c>
      <c r="J1854" s="2">
        <v>231.0</v>
      </c>
      <c r="K1854" s="2">
        <v>211.0</v>
      </c>
      <c r="L1854" s="2">
        <v>3.0</v>
      </c>
      <c r="M1854" s="4">
        <v>14578.0</v>
      </c>
      <c r="N1854" s="2" t="s">
        <v>30</v>
      </c>
      <c r="O1854" s="2">
        <v>70.0</v>
      </c>
      <c r="P1854" s="2" t="s">
        <v>31</v>
      </c>
      <c r="Q1854" s="2" t="s">
        <v>1367</v>
      </c>
      <c r="R1854" s="2">
        <v>40.0</v>
      </c>
      <c r="U1854" s="2" t="b">
        <v>0</v>
      </c>
      <c r="V1854" s="5">
        <v>0.0039</v>
      </c>
      <c r="W1854" s="5">
        <v>0.0142</v>
      </c>
      <c r="X1854" s="5">
        <v>5.5E-5</v>
      </c>
      <c r="Y1854" s="2">
        <v>69.09004739</v>
      </c>
      <c r="Z1854" s="2">
        <v>6462.0</v>
      </c>
      <c r="AA1854" s="2" t="s">
        <v>33</v>
      </c>
    </row>
    <row r="1855">
      <c r="A1855" s="2">
        <v>3684.0</v>
      </c>
      <c r="B1855" s="2" t="s">
        <v>5456</v>
      </c>
      <c r="C1855" s="2" t="s">
        <v>7</v>
      </c>
      <c r="D1855" s="2" t="s">
        <v>5457</v>
      </c>
      <c r="E1855" s="2" t="s">
        <v>5458</v>
      </c>
      <c r="F1855" s="6">
        <v>45964.51875</v>
      </c>
      <c r="G1855" s="2">
        <v>51425.0</v>
      </c>
      <c r="H1855" s="2">
        <v>51425.0</v>
      </c>
      <c r="I1855" s="2">
        <v>40974.0</v>
      </c>
      <c r="J1855" s="2">
        <v>165.0</v>
      </c>
      <c r="K1855" s="2">
        <v>153.0</v>
      </c>
      <c r="L1855" s="2">
        <v>2.0</v>
      </c>
      <c r="M1855" s="4">
        <v>8388.0</v>
      </c>
      <c r="N1855" s="2" t="s">
        <v>36</v>
      </c>
      <c r="O1855" s="2">
        <v>71.0</v>
      </c>
      <c r="P1855" s="2" t="s">
        <v>189</v>
      </c>
      <c r="Q1855" s="2" t="s">
        <v>1367</v>
      </c>
      <c r="R1855" s="2">
        <v>40.0</v>
      </c>
      <c r="T1855" s="2" t="s">
        <v>58</v>
      </c>
      <c r="U1855" s="2" t="b">
        <v>1</v>
      </c>
      <c r="V1855" s="5">
        <v>0.0037</v>
      </c>
      <c r="W1855" s="5">
        <v>0.0131</v>
      </c>
      <c r="X1855" s="5">
        <v>4.9E-5</v>
      </c>
      <c r="Y1855" s="2">
        <v>54.82352941</v>
      </c>
      <c r="AA1855" s="2" t="s">
        <v>33</v>
      </c>
    </row>
    <row r="1856">
      <c r="A1856" s="2">
        <v>3685.0</v>
      </c>
      <c r="B1856" s="2" t="s">
        <v>5459</v>
      </c>
      <c r="C1856" s="2" t="s">
        <v>7</v>
      </c>
      <c r="D1856" s="2" t="s">
        <v>5460</v>
      </c>
      <c r="E1856" s="2" t="s">
        <v>5461</v>
      </c>
      <c r="F1856" s="6">
        <v>45964.64375</v>
      </c>
      <c r="G1856" s="2">
        <v>66743.0</v>
      </c>
      <c r="H1856" s="2">
        <v>66743.0</v>
      </c>
      <c r="I1856" s="2">
        <v>54089.0</v>
      </c>
      <c r="J1856" s="2">
        <v>183.0</v>
      </c>
      <c r="K1856" s="2">
        <v>170.0</v>
      </c>
      <c r="L1856" s="2">
        <v>6.0</v>
      </c>
      <c r="M1856" s="4">
        <v>23268.0</v>
      </c>
      <c r="N1856" s="2" t="s">
        <v>30</v>
      </c>
      <c r="O1856" s="2">
        <v>70.0</v>
      </c>
      <c r="P1856" s="2" t="s">
        <v>189</v>
      </c>
      <c r="Q1856" s="2" t="s">
        <v>1367</v>
      </c>
      <c r="R1856" s="2">
        <v>41.0</v>
      </c>
      <c r="U1856" s="2" t="b">
        <v>0</v>
      </c>
      <c r="V1856" s="5">
        <v>0.0031</v>
      </c>
      <c r="W1856" s="5">
        <v>0.0353</v>
      </c>
      <c r="X1856" s="5">
        <v>1.11E-4</v>
      </c>
      <c r="Y1856" s="2">
        <v>136.8705882</v>
      </c>
      <c r="AA1856" s="2" t="s">
        <v>33</v>
      </c>
    </row>
    <row r="1857">
      <c r="A1857" s="2">
        <v>3686.0</v>
      </c>
      <c r="B1857" s="2" t="s">
        <v>5462</v>
      </c>
      <c r="C1857" s="2" t="s">
        <v>7</v>
      </c>
      <c r="D1857" s="2" t="s">
        <v>5463</v>
      </c>
      <c r="E1857" s="2" t="s">
        <v>5464</v>
      </c>
      <c r="F1857" s="6">
        <v>45964.64513888889</v>
      </c>
      <c r="G1857" s="2">
        <v>51435.0</v>
      </c>
      <c r="H1857" s="2">
        <v>51435.0</v>
      </c>
      <c r="I1857" s="2">
        <v>40848.0</v>
      </c>
      <c r="J1857" s="2">
        <v>154.0</v>
      </c>
      <c r="K1857" s="2">
        <v>142.0</v>
      </c>
      <c r="L1857" s="2">
        <v>0.0</v>
      </c>
      <c r="M1857" s="2">
        <v>0.0</v>
      </c>
      <c r="N1857" s="2" t="s">
        <v>36</v>
      </c>
      <c r="O1857" s="2">
        <v>71.0</v>
      </c>
      <c r="P1857" s="2" t="s">
        <v>189</v>
      </c>
      <c r="Q1857" s="2" t="s">
        <v>1367</v>
      </c>
      <c r="R1857" s="2">
        <v>41.0</v>
      </c>
      <c r="T1857" s="2" t="s">
        <v>1185</v>
      </c>
      <c r="U1857" s="2" t="b">
        <v>1</v>
      </c>
      <c r="V1857" s="5">
        <v>0.0035</v>
      </c>
      <c r="W1857" s="5">
        <v>0.0</v>
      </c>
      <c r="X1857" s="5">
        <v>0.0</v>
      </c>
      <c r="Y1857" s="2">
        <v>0.0</v>
      </c>
      <c r="AA1857" s="2" t="s">
        <v>33</v>
      </c>
    </row>
    <row r="1858">
      <c r="A1858" s="2">
        <v>3689.0</v>
      </c>
      <c r="B1858" s="2" t="s">
        <v>5465</v>
      </c>
      <c r="C1858" s="2" t="s">
        <v>7</v>
      </c>
      <c r="D1858" s="2" t="s">
        <v>5466</v>
      </c>
      <c r="E1858" s="2" t="s">
        <v>5467</v>
      </c>
      <c r="F1858" s="6">
        <v>45964.66805555556</v>
      </c>
      <c r="G1858" s="2">
        <v>7328.0</v>
      </c>
      <c r="H1858" s="2">
        <v>7328.0</v>
      </c>
      <c r="I1858" s="2">
        <v>5759.0</v>
      </c>
      <c r="J1858" s="2">
        <v>26.0</v>
      </c>
      <c r="K1858" s="2">
        <v>26.0</v>
      </c>
      <c r="L1858" s="2">
        <v>0.0</v>
      </c>
      <c r="M1858" s="2">
        <v>0.0</v>
      </c>
      <c r="N1858" s="2" t="s">
        <v>423</v>
      </c>
      <c r="O1858" s="2">
        <v>119.0</v>
      </c>
      <c r="P1858" s="2" t="s">
        <v>31</v>
      </c>
      <c r="Q1858" s="2" t="s">
        <v>1367</v>
      </c>
      <c r="R1858" s="2">
        <v>29.0</v>
      </c>
      <c r="T1858" s="2" t="s">
        <v>47</v>
      </c>
      <c r="U1858" s="2" t="b">
        <v>0</v>
      </c>
      <c r="V1858" s="5">
        <v>0.0045</v>
      </c>
      <c r="W1858" s="5">
        <v>0.0</v>
      </c>
      <c r="X1858" s="5">
        <v>0.0</v>
      </c>
      <c r="Y1858" s="2">
        <v>0.0</v>
      </c>
      <c r="AA1858" s="2" t="s">
        <v>423</v>
      </c>
    </row>
    <row r="1859">
      <c r="A1859" s="2">
        <v>3688.0</v>
      </c>
      <c r="B1859" s="2" t="s">
        <v>5468</v>
      </c>
      <c r="C1859" s="2" t="s">
        <v>7</v>
      </c>
      <c r="D1859" s="2" t="s">
        <v>5469</v>
      </c>
      <c r="E1859" s="2" t="s">
        <v>5470</v>
      </c>
      <c r="F1859" s="6">
        <v>45964.708333333336</v>
      </c>
      <c r="G1859" s="2">
        <v>51418.0</v>
      </c>
      <c r="H1859" s="2">
        <v>51418.0</v>
      </c>
      <c r="I1859" s="2">
        <v>41204.0</v>
      </c>
      <c r="J1859" s="2">
        <v>158.0</v>
      </c>
      <c r="K1859" s="2">
        <v>143.0</v>
      </c>
      <c r="L1859" s="2">
        <v>4.0</v>
      </c>
      <c r="M1859" s="4">
        <v>8273.0</v>
      </c>
      <c r="N1859" s="2" t="s">
        <v>36</v>
      </c>
      <c r="O1859" s="2">
        <v>71.0</v>
      </c>
      <c r="P1859" s="2" t="s">
        <v>189</v>
      </c>
      <c r="Q1859" s="2" t="s">
        <v>1367</v>
      </c>
      <c r="R1859" s="2">
        <v>40.0</v>
      </c>
      <c r="T1859" s="7" t="str">
        <f>IFERROR(__xludf.DUMMYFUNCTION("AI(""has offer Come X Pay X"",D1859)"),"Percentage Discount")</f>
        <v>Percentage Discount</v>
      </c>
      <c r="U1859" s="2" t="b">
        <v>0</v>
      </c>
      <c r="V1859" s="5">
        <v>0.0035</v>
      </c>
      <c r="W1859" s="5">
        <v>0.028</v>
      </c>
      <c r="X1859" s="5">
        <v>9.7E-5</v>
      </c>
      <c r="Y1859" s="2">
        <v>57.85314685</v>
      </c>
      <c r="AA1859" s="2" t="s">
        <v>33</v>
      </c>
    </row>
    <row r="1860">
      <c r="A1860" s="2">
        <v>3687.0</v>
      </c>
      <c r="B1860" s="2" t="s">
        <v>5471</v>
      </c>
      <c r="C1860" s="2" t="s">
        <v>7</v>
      </c>
      <c r="D1860" s="2" t="s">
        <v>5472</v>
      </c>
      <c r="E1860" s="2" t="s">
        <v>5473</v>
      </c>
      <c r="F1860" s="6">
        <v>45964.708333333336</v>
      </c>
      <c r="G1860" s="2">
        <v>66744.0</v>
      </c>
      <c r="H1860" s="2">
        <v>66744.0</v>
      </c>
      <c r="I1860" s="2">
        <v>54367.0</v>
      </c>
      <c r="J1860" s="2">
        <v>149.0</v>
      </c>
      <c r="K1860" s="2">
        <v>140.0</v>
      </c>
      <c r="L1860" s="2">
        <v>0.0</v>
      </c>
      <c r="M1860" s="2">
        <v>0.0</v>
      </c>
      <c r="N1860" s="2" t="s">
        <v>30</v>
      </c>
      <c r="O1860" s="2">
        <v>70.0</v>
      </c>
      <c r="P1860" s="2" t="s">
        <v>189</v>
      </c>
      <c r="Q1860" s="2" t="s">
        <v>1367</v>
      </c>
      <c r="R1860" s="2">
        <v>40.0</v>
      </c>
      <c r="U1860" s="2" t="b">
        <v>0</v>
      </c>
      <c r="V1860" s="5">
        <v>0.0026</v>
      </c>
      <c r="W1860" s="5">
        <v>0.0</v>
      </c>
      <c r="X1860" s="5">
        <v>0.0</v>
      </c>
      <c r="Y1860" s="2">
        <v>0.0</v>
      </c>
      <c r="AA1860" s="2" t="s">
        <v>33</v>
      </c>
    </row>
    <row r="1861">
      <c r="A1861" s="2">
        <v>3692.0</v>
      </c>
      <c r="B1861" s="2" t="s">
        <v>5474</v>
      </c>
      <c r="C1861" s="2" t="s">
        <v>7</v>
      </c>
      <c r="D1861" s="2" t="s">
        <v>5475</v>
      </c>
      <c r="F1861" s="6">
        <v>45964.72430555556</v>
      </c>
      <c r="G1861" s="2">
        <v>1.0</v>
      </c>
      <c r="H1861" s="2">
        <v>1.0</v>
      </c>
      <c r="I1861" s="2">
        <v>1.0</v>
      </c>
      <c r="J1861" s="2">
        <v>0.0</v>
      </c>
      <c r="K1861" s="2">
        <v>0.0</v>
      </c>
      <c r="L1861" s="2">
        <v>0.0</v>
      </c>
      <c r="M1861" s="2">
        <v>0.0</v>
      </c>
      <c r="N1861" s="2" t="s">
        <v>5476</v>
      </c>
      <c r="P1861" s="2" t="s">
        <v>189</v>
      </c>
      <c r="Q1861" s="2" t="s">
        <v>32</v>
      </c>
      <c r="R1861" s="2">
        <v>33.0</v>
      </c>
      <c r="U1861" s="2" t="b">
        <v>1</v>
      </c>
      <c r="V1861" s="5">
        <v>0.0</v>
      </c>
      <c r="X1861" s="5">
        <v>0.0</v>
      </c>
      <c r="AA1861" s="2" t="s">
        <v>33</v>
      </c>
    </row>
    <row r="1862">
      <c r="A1862" s="2">
        <v>3690.0</v>
      </c>
      <c r="B1862" s="2" t="s">
        <v>5477</v>
      </c>
      <c r="C1862" s="2" t="s">
        <v>7</v>
      </c>
      <c r="D1862" s="2" t="s">
        <v>5478</v>
      </c>
      <c r="E1862" s="2" t="s">
        <v>5479</v>
      </c>
      <c r="F1862" s="6">
        <v>45964.75</v>
      </c>
      <c r="G1862" s="2">
        <v>7317.0</v>
      </c>
      <c r="H1862" s="2">
        <v>7317.0</v>
      </c>
      <c r="I1862" s="2">
        <v>5793.0</v>
      </c>
      <c r="J1862" s="2">
        <v>27.0</v>
      </c>
      <c r="K1862" s="2">
        <v>25.0</v>
      </c>
      <c r="L1862" s="2">
        <v>0.0</v>
      </c>
      <c r="M1862" s="2">
        <v>0.0</v>
      </c>
      <c r="N1862" s="2" t="s">
        <v>423</v>
      </c>
      <c r="O1862" s="2">
        <v>119.0</v>
      </c>
      <c r="P1862" s="2" t="s">
        <v>189</v>
      </c>
      <c r="Q1862" s="2" t="s">
        <v>1367</v>
      </c>
      <c r="R1862" s="2">
        <v>47.0</v>
      </c>
      <c r="T1862" s="2" t="s">
        <v>47</v>
      </c>
      <c r="U1862" s="2" t="b">
        <v>0</v>
      </c>
      <c r="V1862" s="5">
        <v>0.0043</v>
      </c>
      <c r="W1862" s="5">
        <v>0.0</v>
      </c>
      <c r="X1862" s="5">
        <v>0.0</v>
      </c>
      <c r="Y1862" s="2">
        <v>0.0</v>
      </c>
      <c r="AA1862" s="2" t="s">
        <v>423</v>
      </c>
    </row>
    <row r="1863">
      <c r="A1863" s="2">
        <v>3691.0</v>
      </c>
      <c r="B1863" s="2" t="s">
        <v>5480</v>
      </c>
      <c r="C1863" s="2" t="s">
        <v>7</v>
      </c>
      <c r="D1863" s="2" t="s">
        <v>5481</v>
      </c>
      <c r="E1863" s="2" t="s">
        <v>5482</v>
      </c>
      <c r="F1863" s="6">
        <v>45964.833333333336</v>
      </c>
      <c r="G1863" s="2">
        <v>7338.0</v>
      </c>
      <c r="H1863" s="2">
        <v>7338.0</v>
      </c>
      <c r="I1863" s="2">
        <v>5770.0</v>
      </c>
      <c r="J1863" s="2">
        <v>31.0</v>
      </c>
      <c r="K1863" s="2">
        <v>31.0</v>
      </c>
      <c r="L1863" s="2">
        <v>1.0</v>
      </c>
      <c r="M1863" s="4">
        <v>1598.0</v>
      </c>
      <c r="N1863" s="2" t="s">
        <v>423</v>
      </c>
      <c r="O1863" s="2">
        <v>119.0</v>
      </c>
      <c r="P1863" s="2" t="s">
        <v>189</v>
      </c>
      <c r="Q1863" s="2" t="s">
        <v>1367</v>
      </c>
      <c r="R1863" s="2">
        <v>40.0</v>
      </c>
      <c r="T1863" s="2" t="s">
        <v>5483</v>
      </c>
      <c r="U1863" s="2" t="b">
        <v>0</v>
      </c>
      <c r="V1863" s="5">
        <v>0.0054</v>
      </c>
      <c r="W1863" s="5">
        <v>0.0323</v>
      </c>
      <c r="X1863" s="5">
        <v>1.73E-4</v>
      </c>
      <c r="Y1863" s="2">
        <v>51.5483871</v>
      </c>
      <c r="AA1863" s="2" t="s">
        <v>423</v>
      </c>
    </row>
    <row r="1864">
      <c r="A1864" s="2">
        <v>3694.0</v>
      </c>
      <c r="B1864" s="2" t="s">
        <v>5484</v>
      </c>
      <c r="C1864" s="2" t="s">
        <v>7</v>
      </c>
      <c r="D1864" s="2" t="s">
        <v>5485</v>
      </c>
      <c r="E1864" s="2" t="s">
        <v>5486</v>
      </c>
      <c r="F1864" s="6">
        <v>45965.50625</v>
      </c>
      <c r="G1864" s="2">
        <v>66606.0</v>
      </c>
      <c r="H1864" s="2">
        <v>66606.0</v>
      </c>
      <c r="I1864" s="2">
        <v>54354.0</v>
      </c>
      <c r="J1864" s="2">
        <v>230.0</v>
      </c>
      <c r="K1864" s="2">
        <v>213.0</v>
      </c>
      <c r="L1864" s="2">
        <v>3.0</v>
      </c>
      <c r="M1864" s="4">
        <v>11149.0</v>
      </c>
      <c r="N1864" s="2" t="s">
        <v>30</v>
      </c>
      <c r="O1864" s="2">
        <v>70.0</v>
      </c>
      <c r="P1864" s="2" t="s">
        <v>189</v>
      </c>
      <c r="Q1864" s="2" t="s">
        <v>1367</v>
      </c>
      <c r="R1864" s="2">
        <v>49.0</v>
      </c>
      <c r="T1864" s="2" t="s">
        <v>405</v>
      </c>
      <c r="U1864" s="2" t="b">
        <v>0</v>
      </c>
      <c r="V1864" s="5">
        <v>0.0039</v>
      </c>
      <c r="W1864" s="5">
        <v>0.0141</v>
      </c>
      <c r="X1864" s="5">
        <v>5.5E-5</v>
      </c>
      <c r="Y1864" s="2">
        <v>52.342723</v>
      </c>
      <c r="Z1864" s="2">
        <v>2925.0</v>
      </c>
      <c r="AA1864" s="2" t="s">
        <v>33</v>
      </c>
    </row>
    <row r="1865">
      <c r="A1865" s="2">
        <v>3695.0</v>
      </c>
      <c r="B1865" s="2" t="s">
        <v>5487</v>
      </c>
      <c r="C1865" s="2" t="s">
        <v>7</v>
      </c>
      <c r="D1865" s="2" t="s">
        <v>5488</v>
      </c>
      <c r="E1865" s="2" t="s">
        <v>5489</v>
      </c>
      <c r="F1865" s="6">
        <v>45965.50763888889</v>
      </c>
      <c r="G1865" s="2">
        <v>51351.0</v>
      </c>
      <c r="H1865" s="2">
        <v>51351.0</v>
      </c>
      <c r="I1865" s="2">
        <v>41144.0</v>
      </c>
      <c r="J1865" s="2">
        <v>194.0</v>
      </c>
      <c r="K1865" s="2">
        <v>180.0</v>
      </c>
      <c r="L1865" s="2">
        <v>2.0</v>
      </c>
      <c r="M1865" s="4">
        <v>5299.0</v>
      </c>
      <c r="N1865" s="2" t="s">
        <v>36</v>
      </c>
      <c r="O1865" s="2">
        <v>71.0</v>
      </c>
      <c r="P1865" s="2" t="s">
        <v>189</v>
      </c>
      <c r="Q1865" s="2" t="s">
        <v>1367</v>
      </c>
      <c r="R1865" s="2">
        <v>52.0</v>
      </c>
      <c r="T1865" s="2" t="s">
        <v>58</v>
      </c>
      <c r="U1865" s="2" t="b">
        <v>1</v>
      </c>
      <c r="V1865" s="5">
        <v>0.0044</v>
      </c>
      <c r="W1865" s="5">
        <v>0.0111</v>
      </c>
      <c r="X1865" s="5">
        <v>4.9E-5</v>
      </c>
      <c r="Y1865" s="2">
        <v>29.43888889</v>
      </c>
      <c r="AA1865" s="2" t="s">
        <v>33</v>
      </c>
    </row>
    <row r="1866">
      <c r="A1866" s="2">
        <v>3697.0</v>
      </c>
      <c r="B1866" s="2" t="s">
        <v>5490</v>
      </c>
      <c r="C1866" s="2" t="s">
        <v>7</v>
      </c>
      <c r="D1866" s="2" t="s">
        <v>5491</v>
      </c>
      <c r="E1866" s="2" t="s">
        <v>5492</v>
      </c>
      <c r="F1866" s="6">
        <v>45965.625</v>
      </c>
      <c r="G1866" s="2">
        <v>51297.0</v>
      </c>
      <c r="H1866" s="2">
        <v>51297.0</v>
      </c>
      <c r="I1866" s="2">
        <v>41163.0</v>
      </c>
      <c r="J1866" s="2">
        <v>165.0</v>
      </c>
      <c r="K1866" s="2">
        <v>154.0</v>
      </c>
      <c r="L1866" s="2">
        <v>1.0</v>
      </c>
      <c r="M1866" s="4">
        <v>5198.0</v>
      </c>
      <c r="N1866" s="2" t="s">
        <v>36</v>
      </c>
      <c r="O1866" s="2">
        <v>71.0</v>
      </c>
      <c r="P1866" s="2" t="s">
        <v>189</v>
      </c>
      <c r="Q1866" s="2" t="s">
        <v>1367</v>
      </c>
      <c r="R1866" s="2">
        <v>42.0</v>
      </c>
      <c r="T1866" s="2" t="s">
        <v>47</v>
      </c>
      <c r="U1866" s="2" t="b">
        <v>0</v>
      </c>
      <c r="V1866" s="5">
        <v>0.0037</v>
      </c>
      <c r="W1866" s="5">
        <v>0.0065</v>
      </c>
      <c r="X1866" s="5">
        <v>2.4E-5</v>
      </c>
      <c r="Y1866" s="2">
        <v>33.75324675</v>
      </c>
      <c r="AA1866" s="2" t="s">
        <v>33</v>
      </c>
    </row>
    <row r="1867">
      <c r="A1867" s="2">
        <v>3696.0</v>
      </c>
      <c r="B1867" s="2" t="s">
        <v>5493</v>
      </c>
      <c r="C1867" s="2" t="s">
        <v>7</v>
      </c>
      <c r="D1867" s="2" t="s">
        <v>5494</v>
      </c>
      <c r="E1867" s="2" t="s">
        <v>5495</v>
      </c>
      <c r="F1867" s="6">
        <v>45965.625</v>
      </c>
      <c r="G1867" s="2">
        <v>66528.0</v>
      </c>
      <c r="H1867" s="2">
        <v>66528.0</v>
      </c>
      <c r="I1867" s="2">
        <v>54227.0</v>
      </c>
      <c r="J1867" s="2">
        <v>168.0</v>
      </c>
      <c r="K1867" s="2">
        <v>150.0</v>
      </c>
      <c r="L1867" s="2">
        <v>2.0</v>
      </c>
      <c r="M1867" s="4">
        <v>8394.0</v>
      </c>
      <c r="N1867" s="2" t="s">
        <v>30</v>
      </c>
      <c r="O1867" s="2">
        <v>70.0</v>
      </c>
      <c r="P1867" s="2" t="s">
        <v>189</v>
      </c>
      <c r="Q1867" s="2" t="s">
        <v>1367</v>
      </c>
      <c r="R1867" s="2">
        <v>39.0</v>
      </c>
      <c r="U1867" s="2" t="b">
        <v>0</v>
      </c>
      <c r="V1867" s="5">
        <v>0.0028</v>
      </c>
      <c r="W1867" s="5">
        <v>0.0133</v>
      </c>
      <c r="X1867" s="5">
        <v>3.7E-5</v>
      </c>
      <c r="Y1867" s="2">
        <v>55.96</v>
      </c>
      <c r="AA1867" s="2" t="s">
        <v>33</v>
      </c>
    </row>
    <row r="1868">
      <c r="A1868" s="2">
        <v>3700.0</v>
      </c>
      <c r="B1868" s="2" t="s">
        <v>5496</v>
      </c>
      <c r="C1868" s="2" t="s">
        <v>7</v>
      </c>
      <c r="D1868" s="2" t="s">
        <v>5497</v>
      </c>
      <c r="E1868" s="2" t="s">
        <v>5498</v>
      </c>
      <c r="F1868" s="6">
        <v>45965.67013888889</v>
      </c>
      <c r="G1868" s="2">
        <v>7381.0</v>
      </c>
      <c r="H1868" s="2">
        <v>7381.0</v>
      </c>
      <c r="I1868" s="2">
        <v>5796.0</v>
      </c>
      <c r="J1868" s="2">
        <v>22.0</v>
      </c>
      <c r="K1868" s="2">
        <v>21.0</v>
      </c>
      <c r="L1868" s="2">
        <v>0.0</v>
      </c>
      <c r="M1868" s="2">
        <v>0.0</v>
      </c>
      <c r="N1868" s="2" t="s">
        <v>423</v>
      </c>
      <c r="O1868" s="2">
        <v>119.0</v>
      </c>
      <c r="P1868" s="2" t="s">
        <v>31</v>
      </c>
      <c r="Q1868" s="2" t="s">
        <v>1367</v>
      </c>
      <c r="R1868" s="2">
        <v>49.0</v>
      </c>
      <c r="T1868" s="2" t="s">
        <v>47</v>
      </c>
      <c r="U1868" s="2" t="b">
        <v>0</v>
      </c>
      <c r="V1868" s="5">
        <v>0.0036</v>
      </c>
      <c r="W1868" s="5">
        <v>0.0</v>
      </c>
      <c r="X1868" s="5">
        <v>0.0</v>
      </c>
      <c r="Y1868" s="2">
        <v>0.0</v>
      </c>
      <c r="AA1868" s="2" t="s">
        <v>423</v>
      </c>
    </row>
    <row r="1869">
      <c r="A1869" s="2">
        <v>3699.0</v>
      </c>
      <c r="B1869" s="2" t="s">
        <v>5499</v>
      </c>
      <c r="C1869" s="2" t="s">
        <v>7</v>
      </c>
      <c r="D1869" s="2" t="s">
        <v>5500</v>
      </c>
      <c r="E1869" s="2" t="s">
        <v>5501</v>
      </c>
      <c r="F1869" s="6">
        <v>45965.708333333336</v>
      </c>
      <c r="G1869" s="2">
        <v>51317.0</v>
      </c>
      <c r="H1869" s="2">
        <v>51317.0</v>
      </c>
      <c r="I1869" s="2">
        <v>41011.0</v>
      </c>
      <c r="J1869" s="2">
        <v>168.0</v>
      </c>
      <c r="K1869" s="2">
        <v>158.0</v>
      </c>
      <c r="L1869" s="2">
        <v>3.0</v>
      </c>
      <c r="M1869" s="4">
        <v>8807.0</v>
      </c>
      <c r="N1869" s="2" t="s">
        <v>36</v>
      </c>
      <c r="O1869" s="2">
        <v>71.0</v>
      </c>
      <c r="P1869" s="2" t="s">
        <v>31</v>
      </c>
      <c r="Q1869" s="2" t="s">
        <v>1367</v>
      </c>
      <c r="R1869" s="2">
        <v>39.0</v>
      </c>
      <c r="T1869" s="2" t="s">
        <v>58</v>
      </c>
      <c r="U1869" s="2" t="b">
        <v>1</v>
      </c>
      <c r="V1869" s="5">
        <v>0.0039</v>
      </c>
      <c r="W1869" s="5">
        <v>0.019</v>
      </c>
      <c r="X1869" s="5">
        <v>7.3E-5</v>
      </c>
      <c r="Y1869" s="2">
        <v>55.74050633</v>
      </c>
      <c r="AA1869" s="2" t="s">
        <v>33</v>
      </c>
    </row>
    <row r="1870">
      <c r="A1870" s="2">
        <v>3698.0</v>
      </c>
      <c r="B1870" s="2" t="s">
        <v>5502</v>
      </c>
      <c r="C1870" s="2" t="s">
        <v>7</v>
      </c>
      <c r="D1870" s="2" t="s">
        <v>5503</v>
      </c>
      <c r="E1870" s="2" t="s">
        <v>5504</v>
      </c>
      <c r="F1870" s="6">
        <v>45965.708333333336</v>
      </c>
      <c r="G1870" s="2">
        <v>66555.0</v>
      </c>
      <c r="H1870" s="2">
        <v>66555.0</v>
      </c>
      <c r="I1870" s="2">
        <v>53954.0</v>
      </c>
      <c r="J1870" s="2">
        <v>202.0</v>
      </c>
      <c r="K1870" s="2">
        <v>181.0</v>
      </c>
      <c r="L1870" s="2">
        <v>1.0</v>
      </c>
      <c r="M1870" s="4">
        <v>1197.0</v>
      </c>
      <c r="N1870" s="2" t="s">
        <v>30</v>
      </c>
      <c r="O1870" s="2">
        <v>70.0</v>
      </c>
      <c r="P1870" s="2" t="s">
        <v>31</v>
      </c>
      <c r="Q1870" s="2" t="s">
        <v>1367</v>
      </c>
      <c r="R1870" s="2">
        <v>38.0</v>
      </c>
      <c r="U1870" s="2" t="b">
        <v>0</v>
      </c>
      <c r="V1870" s="5">
        <v>0.0034</v>
      </c>
      <c r="W1870" s="5">
        <v>0.0055</v>
      </c>
      <c r="X1870" s="5">
        <v>1.9E-5</v>
      </c>
      <c r="Y1870" s="2">
        <v>6.613259669</v>
      </c>
      <c r="Z1870" s="2">
        <v>4990.0</v>
      </c>
      <c r="AA1870" s="2" t="s">
        <v>33</v>
      </c>
    </row>
    <row r="1871">
      <c r="A1871" s="2">
        <v>3701.0</v>
      </c>
      <c r="B1871" s="2" t="s">
        <v>5505</v>
      </c>
      <c r="C1871" s="2" t="s">
        <v>7</v>
      </c>
      <c r="D1871" s="2" t="s">
        <v>5506</v>
      </c>
      <c r="E1871" s="2" t="s">
        <v>5507</v>
      </c>
      <c r="F1871" s="6">
        <v>45965.75</v>
      </c>
      <c r="G1871" s="2">
        <v>7383.0</v>
      </c>
      <c r="H1871" s="2">
        <v>7383.0</v>
      </c>
      <c r="I1871" s="2">
        <v>5051.0</v>
      </c>
      <c r="J1871" s="2">
        <v>17.0</v>
      </c>
      <c r="K1871" s="2">
        <v>15.0</v>
      </c>
      <c r="L1871" s="2">
        <v>0.0</v>
      </c>
      <c r="M1871" s="2">
        <v>0.0</v>
      </c>
      <c r="N1871" s="2" t="s">
        <v>423</v>
      </c>
      <c r="O1871" s="2">
        <v>119.0</v>
      </c>
      <c r="P1871" s="2" t="s">
        <v>189</v>
      </c>
      <c r="Q1871" s="2" t="s">
        <v>1367</v>
      </c>
      <c r="R1871" s="2">
        <v>43.0</v>
      </c>
      <c r="U1871" s="2" t="b">
        <v>0</v>
      </c>
      <c r="V1871" s="5">
        <v>0.003</v>
      </c>
      <c r="W1871" s="5">
        <v>0.0</v>
      </c>
      <c r="X1871" s="5">
        <v>0.0</v>
      </c>
      <c r="Y1871" s="2">
        <v>0.0</v>
      </c>
      <c r="AA1871" s="2" t="s">
        <v>423</v>
      </c>
    </row>
    <row r="1872">
      <c r="A1872" s="2">
        <v>3702.0</v>
      </c>
      <c r="B1872" s="2" t="s">
        <v>5508</v>
      </c>
      <c r="C1872" s="2" t="s">
        <v>7</v>
      </c>
      <c r="D1872" s="2" t="s">
        <v>5509</v>
      </c>
      <c r="E1872" s="2" t="s">
        <v>5510</v>
      </c>
      <c r="F1872" s="6">
        <v>45965.833333333336</v>
      </c>
      <c r="G1872" s="2">
        <v>7378.0</v>
      </c>
      <c r="H1872" s="2">
        <v>7378.0</v>
      </c>
      <c r="I1872" s="2">
        <v>4852.0</v>
      </c>
      <c r="J1872" s="2">
        <v>37.0</v>
      </c>
      <c r="K1872" s="2">
        <v>34.0</v>
      </c>
      <c r="L1872" s="2">
        <v>0.0</v>
      </c>
      <c r="M1872" s="2">
        <v>0.0</v>
      </c>
      <c r="N1872" s="2" t="s">
        <v>423</v>
      </c>
      <c r="O1872" s="2">
        <v>119.0</v>
      </c>
      <c r="P1872" s="2" t="s">
        <v>189</v>
      </c>
      <c r="Q1872" s="2" t="s">
        <v>1367</v>
      </c>
      <c r="R1872" s="2">
        <v>45.0</v>
      </c>
      <c r="T1872" s="2" t="s">
        <v>47</v>
      </c>
      <c r="U1872" s="2" t="b">
        <v>0</v>
      </c>
      <c r="V1872" s="5">
        <v>0.007</v>
      </c>
      <c r="W1872" s="5">
        <v>0.0</v>
      </c>
      <c r="X1872" s="5">
        <v>0.0</v>
      </c>
      <c r="Y1872" s="2">
        <v>0.0</v>
      </c>
      <c r="AA1872" s="2" t="s">
        <v>423</v>
      </c>
    </row>
    <row r="1873">
      <c r="A1873" s="2">
        <v>3703.0</v>
      </c>
      <c r="B1873" s="2" t="s">
        <v>5511</v>
      </c>
      <c r="C1873" s="2" t="s">
        <v>7</v>
      </c>
      <c r="D1873" s="2" t="s">
        <v>5512</v>
      </c>
      <c r="E1873" s="2" t="s">
        <v>5513</v>
      </c>
      <c r="F1873" s="6">
        <v>45966.46944444445</v>
      </c>
      <c r="G1873" s="2">
        <v>66370.0</v>
      </c>
      <c r="H1873" s="2">
        <v>66370.0</v>
      </c>
      <c r="I1873" s="2">
        <v>54083.0</v>
      </c>
      <c r="J1873" s="2">
        <v>192.0</v>
      </c>
      <c r="K1873" s="2">
        <v>178.0</v>
      </c>
      <c r="L1873" s="2">
        <v>2.0</v>
      </c>
      <c r="M1873" s="4">
        <v>5789.0</v>
      </c>
      <c r="N1873" s="2" t="s">
        <v>30</v>
      </c>
      <c r="O1873" s="2">
        <v>70.0</v>
      </c>
      <c r="P1873" s="2" t="s">
        <v>189</v>
      </c>
      <c r="Q1873" s="2" t="s">
        <v>1367</v>
      </c>
      <c r="R1873" s="2">
        <v>36.0</v>
      </c>
      <c r="T1873" s="2" t="s">
        <v>47</v>
      </c>
      <c r="U1873" s="2" t="b">
        <v>0</v>
      </c>
      <c r="V1873" s="5">
        <v>0.0033</v>
      </c>
      <c r="W1873" s="5">
        <v>0.0112</v>
      </c>
      <c r="X1873" s="5">
        <v>3.7E-5</v>
      </c>
      <c r="Y1873" s="2">
        <v>32.52247191</v>
      </c>
      <c r="AA1873" s="2" t="s">
        <v>33</v>
      </c>
    </row>
    <row r="1874">
      <c r="A1874" s="2">
        <v>3704.0</v>
      </c>
      <c r="B1874" s="2" t="s">
        <v>5514</v>
      </c>
      <c r="C1874" s="2" t="s">
        <v>7</v>
      </c>
      <c r="D1874" s="2" t="s">
        <v>5515</v>
      </c>
      <c r="E1874" s="2" t="s">
        <v>5516</v>
      </c>
      <c r="F1874" s="6">
        <v>45966.49097222222</v>
      </c>
      <c r="G1874" s="2">
        <v>51258.0</v>
      </c>
      <c r="H1874" s="2">
        <v>51258.0</v>
      </c>
      <c r="I1874" s="2">
        <v>10410.0</v>
      </c>
      <c r="J1874" s="2">
        <v>57.0</v>
      </c>
      <c r="K1874" s="2">
        <v>50.0</v>
      </c>
      <c r="L1874" s="2">
        <v>1.0</v>
      </c>
      <c r="M1874" s="4">
        <v>1390.0</v>
      </c>
      <c r="N1874" s="2" t="s">
        <v>36</v>
      </c>
      <c r="O1874" s="2">
        <v>71.0</v>
      </c>
      <c r="P1874" s="2" t="s">
        <v>189</v>
      </c>
      <c r="Q1874" s="2" t="s">
        <v>1367</v>
      </c>
      <c r="R1874" s="2">
        <v>46.0</v>
      </c>
      <c r="U1874" s="2" t="b">
        <v>0</v>
      </c>
      <c r="V1874" s="5">
        <v>0.0048</v>
      </c>
      <c r="W1874" s="5">
        <v>0.02</v>
      </c>
      <c r="X1874" s="5">
        <v>9.6E-5</v>
      </c>
      <c r="Y1874" s="2">
        <v>27.8</v>
      </c>
      <c r="AA1874" s="2" t="s">
        <v>33</v>
      </c>
    </row>
    <row r="1875">
      <c r="A1875" s="2">
        <v>3709.0</v>
      </c>
      <c r="B1875" s="2" t="s">
        <v>5517</v>
      </c>
      <c r="C1875" s="2" t="s">
        <v>7</v>
      </c>
      <c r="D1875" s="2" t="s">
        <v>5518</v>
      </c>
      <c r="E1875" s="2" t="s">
        <v>5519</v>
      </c>
      <c r="F1875" s="6">
        <v>45966.59375</v>
      </c>
      <c r="G1875" s="2">
        <v>7356.0</v>
      </c>
      <c r="H1875" s="2">
        <v>7356.0</v>
      </c>
      <c r="I1875" s="2">
        <v>5837.0</v>
      </c>
      <c r="J1875" s="2">
        <v>26.0</v>
      </c>
      <c r="K1875" s="2">
        <v>26.0</v>
      </c>
      <c r="L1875" s="2">
        <v>0.0</v>
      </c>
      <c r="M1875" s="2">
        <v>0.0</v>
      </c>
      <c r="N1875" s="2" t="s">
        <v>423</v>
      </c>
      <c r="O1875" s="2">
        <v>119.0</v>
      </c>
      <c r="P1875" s="2" t="s">
        <v>189</v>
      </c>
      <c r="Q1875" s="2" t="s">
        <v>1367</v>
      </c>
      <c r="R1875" s="2">
        <v>47.0</v>
      </c>
      <c r="T1875" s="2" t="s">
        <v>47</v>
      </c>
      <c r="U1875" s="2" t="b">
        <v>0</v>
      </c>
      <c r="V1875" s="5">
        <v>0.0045</v>
      </c>
      <c r="W1875" s="5">
        <v>0.0</v>
      </c>
      <c r="X1875" s="5">
        <v>0.0</v>
      </c>
      <c r="Y1875" s="2">
        <v>0.0</v>
      </c>
      <c r="AA1875" s="2" t="s">
        <v>423</v>
      </c>
    </row>
    <row r="1876">
      <c r="A1876" s="2">
        <v>3706.0</v>
      </c>
      <c r="B1876" s="2" t="s">
        <v>5520</v>
      </c>
      <c r="C1876" s="2" t="s">
        <v>7</v>
      </c>
      <c r="D1876" s="2" t="s">
        <v>5521</v>
      </c>
      <c r="E1876" s="2" t="s">
        <v>4780</v>
      </c>
      <c r="F1876" s="6">
        <v>45966.625</v>
      </c>
      <c r="G1876" s="2">
        <v>51295.0</v>
      </c>
      <c r="H1876" s="2">
        <v>51295.0</v>
      </c>
      <c r="I1876" s="2">
        <v>41415.0</v>
      </c>
      <c r="J1876" s="2">
        <v>138.0</v>
      </c>
      <c r="K1876" s="2">
        <v>129.0</v>
      </c>
      <c r="L1876" s="2">
        <v>2.0</v>
      </c>
      <c r="M1876" s="4">
        <v>2864.0</v>
      </c>
      <c r="N1876" s="2" t="s">
        <v>36</v>
      </c>
      <c r="O1876" s="2">
        <v>71.0</v>
      </c>
      <c r="P1876" s="2" t="s">
        <v>31</v>
      </c>
      <c r="Q1876" s="2" t="s">
        <v>1367</v>
      </c>
      <c r="R1876" s="2">
        <v>49.0</v>
      </c>
      <c r="U1876" s="2" t="b">
        <v>0</v>
      </c>
      <c r="V1876" s="5">
        <v>0.0031</v>
      </c>
      <c r="W1876" s="5">
        <v>0.0155</v>
      </c>
      <c r="X1876" s="5">
        <v>4.8E-5</v>
      </c>
      <c r="Y1876" s="2">
        <v>22.20155039</v>
      </c>
      <c r="AA1876" s="2" t="s">
        <v>33</v>
      </c>
    </row>
    <row r="1877">
      <c r="A1877" s="2">
        <v>3705.0</v>
      </c>
      <c r="B1877" s="2" t="s">
        <v>5522</v>
      </c>
      <c r="C1877" s="2" t="s">
        <v>7</v>
      </c>
      <c r="D1877" s="2" t="s">
        <v>5523</v>
      </c>
      <c r="E1877" s="2" t="s">
        <v>5524</v>
      </c>
      <c r="F1877" s="6">
        <v>45966.625</v>
      </c>
      <c r="G1877" s="2">
        <v>66317.0</v>
      </c>
      <c r="H1877" s="2">
        <v>66317.0</v>
      </c>
      <c r="I1877" s="2">
        <v>54560.0</v>
      </c>
      <c r="J1877" s="2">
        <v>174.0</v>
      </c>
      <c r="K1877" s="2">
        <v>164.0</v>
      </c>
      <c r="L1877" s="2">
        <v>4.0</v>
      </c>
      <c r="M1877" s="4">
        <v>11497.0</v>
      </c>
      <c r="N1877" s="2" t="s">
        <v>30</v>
      </c>
      <c r="O1877" s="2">
        <v>70.0</v>
      </c>
      <c r="P1877" s="2" t="s">
        <v>189</v>
      </c>
      <c r="Q1877" s="2" t="s">
        <v>1367</v>
      </c>
      <c r="R1877" s="2">
        <v>36.0</v>
      </c>
      <c r="U1877" s="2" t="b">
        <v>0</v>
      </c>
      <c r="V1877" s="5">
        <v>0.003</v>
      </c>
      <c r="W1877" s="5">
        <v>0.0244</v>
      </c>
      <c r="X1877" s="5">
        <v>7.3E-5</v>
      </c>
      <c r="Y1877" s="2">
        <v>70.10365854</v>
      </c>
      <c r="Z1877" s="2" t="s">
        <v>307</v>
      </c>
      <c r="AA1877" s="2" t="s">
        <v>33</v>
      </c>
    </row>
    <row r="1878">
      <c r="A1878" s="2">
        <v>3710.0</v>
      </c>
      <c r="B1878" s="2" t="s">
        <v>5525</v>
      </c>
      <c r="C1878" s="2" t="s">
        <v>7</v>
      </c>
      <c r="D1878" s="2" t="s">
        <v>5526</v>
      </c>
      <c r="E1878" s="2" t="s">
        <v>5527</v>
      </c>
      <c r="F1878" s="6">
        <v>45966.666666666664</v>
      </c>
      <c r="G1878" s="2">
        <v>7348.0</v>
      </c>
      <c r="H1878" s="2">
        <v>7348.0</v>
      </c>
      <c r="I1878" s="2">
        <v>5842.0</v>
      </c>
      <c r="J1878" s="2">
        <v>27.0</v>
      </c>
      <c r="K1878" s="2">
        <v>27.0</v>
      </c>
      <c r="L1878" s="2">
        <v>0.0</v>
      </c>
      <c r="M1878" s="2">
        <v>0.0</v>
      </c>
      <c r="N1878" s="2" t="s">
        <v>423</v>
      </c>
      <c r="O1878" s="2">
        <v>119.0</v>
      </c>
      <c r="P1878" s="2" t="s">
        <v>189</v>
      </c>
      <c r="Q1878" s="2" t="s">
        <v>1367</v>
      </c>
      <c r="R1878" s="2">
        <v>39.0</v>
      </c>
      <c r="U1878" s="2" t="b">
        <v>0</v>
      </c>
      <c r="V1878" s="5">
        <v>0.0046</v>
      </c>
      <c r="W1878" s="5">
        <v>0.0</v>
      </c>
      <c r="X1878" s="5">
        <v>0.0</v>
      </c>
      <c r="Y1878" s="2">
        <v>0.0</v>
      </c>
      <c r="AA1878" s="2" t="s">
        <v>423</v>
      </c>
    </row>
    <row r="1879">
      <c r="A1879" s="2">
        <v>3708.0</v>
      </c>
      <c r="B1879" s="2" t="s">
        <v>5528</v>
      </c>
      <c r="C1879" s="2" t="s">
        <v>7</v>
      </c>
      <c r="D1879" s="2" t="s">
        <v>5529</v>
      </c>
      <c r="E1879" s="2" t="s">
        <v>5530</v>
      </c>
      <c r="F1879" s="6">
        <v>45966.708333333336</v>
      </c>
      <c r="G1879" s="2">
        <v>51229.0</v>
      </c>
      <c r="H1879" s="2">
        <v>51229.0</v>
      </c>
      <c r="I1879" s="2">
        <v>41513.0</v>
      </c>
      <c r="J1879" s="2">
        <v>211.0</v>
      </c>
      <c r="K1879" s="2">
        <v>196.0</v>
      </c>
      <c r="L1879" s="2">
        <v>5.0</v>
      </c>
      <c r="M1879" s="4">
        <v>15746.0</v>
      </c>
      <c r="N1879" s="2" t="s">
        <v>36</v>
      </c>
      <c r="O1879" s="2">
        <v>71.0</v>
      </c>
      <c r="P1879" s="2" t="s">
        <v>189</v>
      </c>
      <c r="Q1879" s="2" t="s">
        <v>1367</v>
      </c>
      <c r="R1879" s="2">
        <v>32.0</v>
      </c>
      <c r="T1879" s="2" t="s">
        <v>58</v>
      </c>
      <c r="U1879" s="2" t="b">
        <v>1</v>
      </c>
      <c r="V1879" s="5">
        <v>0.0047</v>
      </c>
      <c r="W1879" s="5">
        <v>0.0255</v>
      </c>
      <c r="X1879" s="5">
        <v>1.2E-4</v>
      </c>
      <c r="Y1879" s="2">
        <v>80.33673469</v>
      </c>
      <c r="AA1879" s="2" t="s">
        <v>33</v>
      </c>
    </row>
    <row r="1880">
      <c r="A1880" s="2">
        <v>3707.0</v>
      </c>
      <c r="B1880" s="2" t="s">
        <v>5531</v>
      </c>
      <c r="C1880" s="2" t="s">
        <v>7</v>
      </c>
      <c r="D1880" s="2" t="s">
        <v>5532</v>
      </c>
      <c r="E1880" s="2" t="s">
        <v>5533</v>
      </c>
      <c r="F1880" s="6">
        <v>45966.708333333336</v>
      </c>
      <c r="G1880" s="2">
        <v>66357.0</v>
      </c>
      <c r="H1880" s="2">
        <v>66357.0</v>
      </c>
      <c r="I1880" s="2">
        <v>54597.0</v>
      </c>
      <c r="J1880" s="2">
        <v>236.0</v>
      </c>
      <c r="K1880" s="2">
        <v>224.0</v>
      </c>
      <c r="L1880" s="2">
        <v>2.0</v>
      </c>
      <c r="M1880" s="4">
        <v>7336.0</v>
      </c>
      <c r="N1880" s="2" t="s">
        <v>30</v>
      </c>
      <c r="O1880" s="2">
        <v>70.0</v>
      </c>
      <c r="P1880" s="2" t="s">
        <v>189</v>
      </c>
      <c r="Q1880" s="2" t="s">
        <v>1367</v>
      </c>
      <c r="R1880" s="2">
        <v>28.0</v>
      </c>
      <c r="T1880" s="2" t="s">
        <v>58</v>
      </c>
      <c r="U1880" s="2" t="b">
        <v>0</v>
      </c>
      <c r="V1880" s="5">
        <v>0.0041</v>
      </c>
      <c r="W1880" s="5">
        <v>0.0089</v>
      </c>
      <c r="X1880" s="5">
        <v>3.7E-5</v>
      </c>
      <c r="Y1880" s="2">
        <v>32.75</v>
      </c>
      <c r="Z1880" s="2" t="s">
        <v>2731</v>
      </c>
      <c r="AA1880" s="2" t="s">
        <v>33</v>
      </c>
    </row>
    <row r="1881">
      <c r="A1881" s="2">
        <v>3711.0</v>
      </c>
      <c r="B1881" s="2" t="s">
        <v>5534</v>
      </c>
      <c r="C1881" s="2" t="s">
        <v>7</v>
      </c>
      <c r="D1881" s="2" t="s">
        <v>5535</v>
      </c>
      <c r="E1881" s="2" t="s">
        <v>5536</v>
      </c>
      <c r="F1881" s="6">
        <v>45966.75</v>
      </c>
      <c r="G1881" s="2">
        <v>7358.0</v>
      </c>
      <c r="H1881" s="2">
        <v>7358.0</v>
      </c>
      <c r="I1881" s="2">
        <v>5852.0</v>
      </c>
      <c r="J1881" s="2">
        <v>38.0</v>
      </c>
      <c r="K1881" s="2">
        <v>34.0</v>
      </c>
      <c r="L1881" s="2">
        <v>1.0</v>
      </c>
      <c r="M1881" s="4">
        <v>6473.0</v>
      </c>
      <c r="N1881" s="2" t="s">
        <v>423</v>
      </c>
      <c r="O1881" s="2">
        <v>119.0</v>
      </c>
      <c r="P1881" s="2" t="s">
        <v>31</v>
      </c>
      <c r="Q1881" s="2" t="s">
        <v>1367</v>
      </c>
      <c r="R1881" s="2">
        <v>40.0</v>
      </c>
      <c r="T1881" s="2" t="s">
        <v>162</v>
      </c>
      <c r="U1881" s="2" t="b">
        <v>0</v>
      </c>
      <c r="V1881" s="5">
        <v>0.0058</v>
      </c>
      <c r="W1881" s="5">
        <v>0.0294</v>
      </c>
      <c r="X1881" s="5">
        <v>1.71E-4</v>
      </c>
      <c r="Y1881" s="2">
        <v>190.3823529</v>
      </c>
      <c r="AA1881" s="2" t="s">
        <v>423</v>
      </c>
    </row>
    <row r="1882">
      <c r="A1882" s="2">
        <v>3712.0</v>
      </c>
      <c r="B1882" s="2" t="s">
        <v>5537</v>
      </c>
      <c r="C1882" s="2" t="s">
        <v>7</v>
      </c>
      <c r="D1882" s="2" t="s">
        <v>5538</v>
      </c>
      <c r="E1882" s="2" t="s">
        <v>5539</v>
      </c>
      <c r="F1882" s="6">
        <v>45967.64444444444</v>
      </c>
      <c r="G1882" s="2">
        <v>66386.0</v>
      </c>
      <c r="H1882" s="2">
        <v>66386.0</v>
      </c>
      <c r="I1882" s="2">
        <v>54328.0</v>
      </c>
      <c r="J1882" s="2">
        <v>178.0</v>
      </c>
      <c r="K1882" s="2">
        <v>171.0</v>
      </c>
      <c r="L1882" s="2">
        <v>2.0</v>
      </c>
      <c r="M1882" s="4">
        <v>4960.0</v>
      </c>
      <c r="N1882" s="2" t="s">
        <v>30</v>
      </c>
      <c r="O1882" s="2">
        <v>70.0</v>
      </c>
      <c r="P1882" s="2" t="s">
        <v>189</v>
      </c>
      <c r="Q1882" s="2" t="s">
        <v>1367</v>
      </c>
      <c r="R1882" s="2">
        <v>36.0</v>
      </c>
      <c r="U1882" s="2" t="b">
        <v>0</v>
      </c>
      <c r="V1882" s="5">
        <v>0.0031</v>
      </c>
      <c r="W1882" s="5">
        <v>0.0117</v>
      </c>
      <c r="X1882" s="5">
        <v>3.7E-5</v>
      </c>
      <c r="Y1882" s="2">
        <v>29.00584795</v>
      </c>
      <c r="Z1882" s="2">
        <v>2072.0</v>
      </c>
      <c r="AA1882" s="2" t="s">
        <v>33</v>
      </c>
    </row>
    <row r="1883">
      <c r="A1883" s="2">
        <v>3713.0</v>
      </c>
      <c r="B1883" s="2" t="s">
        <v>5540</v>
      </c>
      <c r="C1883" s="2" t="s">
        <v>7</v>
      </c>
      <c r="D1883" s="2" t="s">
        <v>5541</v>
      </c>
      <c r="E1883" s="2" t="s">
        <v>5542</v>
      </c>
      <c r="F1883" s="6">
        <v>45967.646527777775</v>
      </c>
      <c r="G1883" s="2">
        <v>51259.0</v>
      </c>
      <c r="H1883" s="2">
        <v>51259.0</v>
      </c>
      <c r="I1883" s="2">
        <v>41106.0</v>
      </c>
      <c r="J1883" s="2">
        <v>141.0</v>
      </c>
      <c r="K1883" s="2">
        <v>133.0</v>
      </c>
      <c r="L1883" s="2">
        <v>0.0</v>
      </c>
      <c r="M1883" s="2">
        <v>0.0</v>
      </c>
      <c r="N1883" s="2" t="s">
        <v>36</v>
      </c>
      <c r="O1883" s="2">
        <v>71.0</v>
      </c>
      <c r="P1883" s="2" t="s">
        <v>189</v>
      </c>
      <c r="Q1883" s="2" t="s">
        <v>1367</v>
      </c>
      <c r="R1883" s="2">
        <v>40.0</v>
      </c>
      <c r="T1883" s="2" t="s">
        <v>47</v>
      </c>
      <c r="U1883" s="2" t="b">
        <v>0</v>
      </c>
      <c r="V1883" s="5">
        <v>0.0032</v>
      </c>
      <c r="W1883" s="5">
        <v>0.0</v>
      </c>
      <c r="X1883" s="5">
        <v>0.0</v>
      </c>
      <c r="Y1883" s="2">
        <v>0.0</v>
      </c>
      <c r="AA1883" s="2" t="s">
        <v>33</v>
      </c>
    </row>
    <row r="1884">
      <c r="A1884" s="2">
        <v>3718.0</v>
      </c>
      <c r="B1884" s="2" t="s">
        <v>5543</v>
      </c>
      <c r="C1884" s="2" t="s">
        <v>7</v>
      </c>
      <c r="D1884" s="2" t="s">
        <v>5544</v>
      </c>
      <c r="F1884" s="6">
        <v>45967.677777777775</v>
      </c>
      <c r="G1884" s="2">
        <v>1.0</v>
      </c>
      <c r="H1884" s="2">
        <v>1.0</v>
      </c>
      <c r="I1884" s="2">
        <v>1.0</v>
      </c>
      <c r="J1884" s="2">
        <v>0.0</v>
      </c>
      <c r="K1884" s="2">
        <v>0.0</v>
      </c>
      <c r="L1884" s="2">
        <v>0.0</v>
      </c>
      <c r="M1884" s="2">
        <v>0.0</v>
      </c>
      <c r="N1884" s="2" t="s">
        <v>5476</v>
      </c>
      <c r="P1884" s="2" t="s">
        <v>189</v>
      </c>
      <c r="Q1884" s="2" t="s">
        <v>1367</v>
      </c>
      <c r="R1884" s="2">
        <v>10.0</v>
      </c>
      <c r="T1884" s="2" t="s">
        <v>47</v>
      </c>
      <c r="U1884" s="2" t="b">
        <v>0</v>
      </c>
      <c r="V1884" s="5">
        <v>0.0</v>
      </c>
      <c r="X1884" s="5">
        <v>0.0</v>
      </c>
    </row>
    <row r="1885">
      <c r="A1885" s="2">
        <v>3719.0</v>
      </c>
      <c r="B1885" s="2" t="s">
        <v>5545</v>
      </c>
      <c r="C1885" s="2" t="s">
        <v>7</v>
      </c>
      <c r="D1885" s="2" t="s">
        <v>5546</v>
      </c>
      <c r="E1885" s="2" t="s">
        <v>5547</v>
      </c>
      <c r="F1885" s="6">
        <v>45967.70694444444</v>
      </c>
      <c r="G1885" s="2">
        <v>7396.0</v>
      </c>
      <c r="H1885" s="2">
        <v>7396.0</v>
      </c>
      <c r="I1885" s="2">
        <v>5800.0</v>
      </c>
      <c r="J1885" s="2">
        <v>24.0</v>
      </c>
      <c r="K1885" s="2">
        <v>23.0</v>
      </c>
      <c r="L1885" s="2">
        <v>1.0</v>
      </c>
      <c r="M1885" s="4">
        <v>1050.0</v>
      </c>
      <c r="N1885" s="2" t="s">
        <v>423</v>
      </c>
      <c r="O1885" s="2">
        <v>119.0</v>
      </c>
      <c r="P1885" s="2" t="s">
        <v>31</v>
      </c>
      <c r="Q1885" s="2" t="s">
        <v>1367</v>
      </c>
      <c r="R1885" s="2">
        <v>45.0</v>
      </c>
      <c r="T1885" s="2" t="s">
        <v>47</v>
      </c>
      <c r="U1885" s="2" t="b">
        <v>0</v>
      </c>
      <c r="V1885" s="5">
        <v>0.004</v>
      </c>
      <c r="W1885" s="5">
        <v>0.0435</v>
      </c>
      <c r="X1885" s="5">
        <v>1.72E-4</v>
      </c>
      <c r="Y1885" s="2">
        <v>45.65217391</v>
      </c>
      <c r="AA1885" s="2" t="s">
        <v>423</v>
      </c>
    </row>
    <row r="1886">
      <c r="A1886" s="2">
        <v>3715.0</v>
      </c>
      <c r="B1886" s="2" t="s">
        <v>5548</v>
      </c>
      <c r="C1886" s="2" t="s">
        <v>7</v>
      </c>
      <c r="D1886" s="2" t="s">
        <v>5549</v>
      </c>
      <c r="E1886" s="2" t="s">
        <v>5550</v>
      </c>
      <c r="F1886" s="6">
        <v>45967.708333333336</v>
      </c>
      <c r="G1886" s="2">
        <v>51209.0</v>
      </c>
      <c r="H1886" s="2">
        <v>51209.0</v>
      </c>
      <c r="I1886" s="2">
        <v>41114.0</v>
      </c>
      <c r="J1886" s="2">
        <v>170.0</v>
      </c>
      <c r="K1886" s="2">
        <v>164.0</v>
      </c>
      <c r="L1886" s="2">
        <v>3.0</v>
      </c>
      <c r="M1886" s="4">
        <v>13150.0</v>
      </c>
      <c r="N1886" s="2" t="s">
        <v>36</v>
      </c>
      <c r="O1886" s="2">
        <v>71.0</v>
      </c>
      <c r="P1886" s="2" t="s">
        <v>31</v>
      </c>
      <c r="Q1886" s="2" t="s">
        <v>1367</v>
      </c>
      <c r="R1886" s="2">
        <v>41.0</v>
      </c>
      <c r="U1886" s="2" t="b">
        <v>0</v>
      </c>
      <c r="V1886" s="5">
        <v>0.004</v>
      </c>
      <c r="W1886" s="5">
        <v>0.0183</v>
      </c>
      <c r="X1886" s="5">
        <v>7.3E-5</v>
      </c>
      <c r="Y1886" s="2">
        <v>80.18292683</v>
      </c>
      <c r="AA1886" s="2" t="s">
        <v>33</v>
      </c>
    </row>
    <row r="1887">
      <c r="A1887" s="2">
        <v>3714.0</v>
      </c>
      <c r="B1887" s="2" t="s">
        <v>5551</v>
      </c>
      <c r="C1887" s="2" t="s">
        <v>7</v>
      </c>
      <c r="D1887" s="2" t="s">
        <v>5552</v>
      </c>
      <c r="E1887" s="2" t="s">
        <v>5553</v>
      </c>
      <c r="F1887" s="6">
        <v>45967.708333333336</v>
      </c>
      <c r="G1887" s="2">
        <v>66308.0</v>
      </c>
      <c r="H1887" s="2">
        <v>66308.0</v>
      </c>
      <c r="I1887" s="2">
        <v>54051.0</v>
      </c>
      <c r="J1887" s="2">
        <v>156.0</v>
      </c>
      <c r="K1887" s="2">
        <v>148.0</v>
      </c>
      <c r="L1887" s="2">
        <v>0.0</v>
      </c>
      <c r="M1887" s="2">
        <v>0.0</v>
      </c>
      <c r="N1887" s="2" t="s">
        <v>30</v>
      </c>
      <c r="O1887" s="2">
        <v>70.0</v>
      </c>
      <c r="P1887" s="2" t="s">
        <v>31</v>
      </c>
      <c r="Q1887" s="2" t="s">
        <v>1367</v>
      </c>
      <c r="R1887" s="2">
        <v>45.0</v>
      </c>
      <c r="U1887" s="2" t="b">
        <v>0</v>
      </c>
      <c r="V1887" s="5">
        <v>0.0027</v>
      </c>
      <c r="W1887" s="5">
        <v>0.0</v>
      </c>
      <c r="X1887" s="5">
        <v>0.0</v>
      </c>
      <c r="Y1887" s="2">
        <v>0.0</v>
      </c>
      <c r="AA1887" s="2" t="s">
        <v>33</v>
      </c>
    </row>
    <row r="1888">
      <c r="A1888" s="2">
        <v>3717.0</v>
      </c>
      <c r="B1888" s="2" t="s">
        <v>5554</v>
      </c>
      <c r="C1888" s="2" t="s">
        <v>7</v>
      </c>
      <c r="D1888" s="2" t="s">
        <v>5555</v>
      </c>
      <c r="E1888" s="2" t="s">
        <v>5556</v>
      </c>
      <c r="F1888" s="6">
        <v>45967.791666666664</v>
      </c>
      <c r="G1888" s="2">
        <v>51236.0</v>
      </c>
      <c r="H1888" s="2">
        <v>51236.0</v>
      </c>
      <c r="I1888" s="2">
        <v>41390.0</v>
      </c>
      <c r="J1888" s="2">
        <v>166.0</v>
      </c>
      <c r="K1888" s="2">
        <v>156.0</v>
      </c>
      <c r="L1888" s="2">
        <v>2.0</v>
      </c>
      <c r="M1888" s="4">
        <v>13210.0</v>
      </c>
      <c r="N1888" s="2" t="s">
        <v>36</v>
      </c>
      <c r="O1888" s="2">
        <v>71.0</v>
      </c>
      <c r="P1888" s="2" t="s">
        <v>189</v>
      </c>
      <c r="Q1888" s="2" t="s">
        <v>1367</v>
      </c>
      <c r="R1888" s="2">
        <v>31.0</v>
      </c>
      <c r="T1888" s="2" t="s">
        <v>47</v>
      </c>
      <c r="U1888" s="2" t="b">
        <v>0</v>
      </c>
      <c r="V1888" s="5">
        <v>0.0038</v>
      </c>
      <c r="W1888" s="5">
        <v>0.0128</v>
      </c>
      <c r="X1888" s="5">
        <v>4.8E-5</v>
      </c>
      <c r="Y1888" s="2">
        <v>84.67948718</v>
      </c>
      <c r="AA1888" s="2" t="s">
        <v>33</v>
      </c>
    </row>
    <row r="1889">
      <c r="A1889" s="2">
        <v>3716.0</v>
      </c>
      <c r="B1889" s="2" t="s">
        <v>5557</v>
      </c>
      <c r="C1889" s="2" t="s">
        <v>7</v>
      </c>
      <c r="D1889" s="2" t="s">
        <v>5558</v>
      </c>
      <c r="E1889" s="2" t="s">
        <v>5559</v>
      </c>
      <c r="F1889" s="6">
        <v>45967.791666666664</v>
      </c>
      <c r="G1889" s="2">
        <v>66321.0</v>
      </c>
      <c r="H1889" s="2">
        <v>66321.0</v>
      </c>
      <c r="I1889" s="2">
        <v>54402.0</v>
      </c>
      <c r="J1889" s="2">
        <v>193.0</v>
      </c>
      <c r="K1889" s="2">
        <v>182.0</v>
      </c>
      <c r="L1889" s="2">
        <v>3.0</v>
      </c>
      <c r="M1889" s="4">
        <v>20748.0</v>
      </c>
      <c r="N1889" s="2" t="s">
        <v>30</v>
      </c>
      <c r="O1889" s="2">
        <v>70.0</v>
      </c>
      <c r="P1889" s="2" t="s">
        <v>31</v>
      </c>
      <c r="Q1889" s="2" t="s">
        <v>1367</v>
      </c>
      <c r="R1889" s="2">
        <v>36.0</v>
      </c>
      <c r="T1889" s="2" t="s">
        <v>162</v>
      </c>
      <c r="U1889" s="2" t="b">
        <v>0</v>
      </c>
      <c r="V1889" s="5">
        <v>0.0033</v>
      </c>
      <c r="W1889" s="5">
        <v>0.0165</v>
      </c>
      <c r="X1889" s="5">
        <v>5.5E-5</v>
      </c>
      <c r="Y1889" s="2">
        <v>114.0</v>
      </c>
      <c r="Z1889" s="2">
        <v>6501.0</v>
      </c>
      <c r="AA1889" s="2" t="s">
        <v>33</v>
      </c>
    </row>
    <row r="1890">
      <c r="A1890" s="2">
        <v>3720.0</v>
      </c>
      <c r="B1890" s="2" t="s">
        <v>5560</v>
      </c>
      <c r="C1890" s="2" t="s">
        <v>7</v>
      </c>
      <c r="D1890" s="2" t="s">
        <v>5561</v>
      </c>
      <c r="E1890" s="2" t="s">
        <v>5562</v>
      </c>
      <c r="F1890" s="6">
        <v>45967.791666666664</v>
      </c>
      <c r="G1890" s="2">
        <v>7394.0</v>
      </c>
      <c r="H1890" s="2">
        <v>7394.0</v>
      </c>
      <c r="I1890" s="2">
        <v>5840.0</v>
      </c>
      <c r="J1890" s="2">
        <v>34.0</v>
      </c>
      <c r="K1890" s="2">
        <v>30.0</v>
      </c>
      <c r="L1890" s="2">
        <v>0.0</v>
      </c>
      <c r="M1890" s="2">
        <v>0.0</v>
      </c>
      <c r="N1890" s="2" t="s">
        <v>423</v>
      </c>
      <c r="O1890" s="2">
        <v>119.0</v>
      </c>
      <c r="P1890" s="2" t="s">
        <v>189</v>
      </c>
      <c r="Q1890" s="2" t="s">
        <v>1367</v>
      </c>
      <c r="R1890" s="2">
        <v>45.0</v>
      </c>
      <c r="T1890" s="2" t="s">
        <v>47</v>
      </c>
      <c r="U1890" s="2" t="b">
        <v>0</v>
      </c>
      <c r="V1890" s="5">
        <v>0.0051</v>
      </c>
      <c r="W1890" s="5">
        <v>0.0</v>
      </c>
      <c r="X1890" s="5">
        <v>0.0</v>
      </c>
      <c r="Y1890" s="2">
        <v>0.0</v>
      </c>
      <c r="AA1890" s="2" t="s">
        <v>423</v>
      </c>
    </row>
    <row r="1891">
      <c r="A1891" s="2">
        <v>3721.0</v>
      </c>
      <c r="B1891" s="2" t="s">
        <v>5563</v>
      </c>
      <c r="C1891" s="2" t="s">
        <v>7</v>
      </c>
      <c r="D1891" s="2" t="s">
        <v>5564</v>
      </c>
      <c r="E1891" s="2" t="s">
        <v>5565</v>
      </c>
      <c r="F1891" s="6">
        <v>45967.875</v>
      </c>
      <c r="G1891" s="2">
        <v>7403.0</v>
      </c>
      <c r="H1891" s="2">
        <v>7403.0</v>
      </c>
      <c r="I1891" s="2">
        <v>5819.0</v>
      </c>
      <c r="J1891" s="2">
        <v>30.0</v>
      </c>
      <c r="K1891" s="2">
        <v>30.0</v>
      </c>
      <c r="L1891" s="2">
        <v>1.0</v>
      </c>
      <c r="M1891" s="2">
        <v>398.0</v>
      </c>
      <c r="N1891" s="2" t="s">
        <v>423</v>
      </c>
      <c r="O1891" s="2">
        <v>119.0</v>
      </c>
      <c r="P1891" s="2" t="s">
        <v>189</v>
      </c>
      <c r="Q1891" s="2" t="s">
        <v>1367</v>
      </c>
      <c r="R1891" s="2">
        <v>43.0</v>
      </c>
      <c r="U1891" s="2" t="b">
        <v>0</v>
      </c>
      <c r="V1891" s="5">
        <v>0.0052</v>
      </c>
      <c r="W1891" s="5">
        <v>0.0333</v>
      </c>
      <c r="X1891" s="5">
        <v>1.72E-4</v>
      </c>
      <c r="Y1891" s="2">
        <v>13.26666667</v>
      </c>
      <c r="AA1891" s="2" t="s">
        <v>423</v>
      </c>
    </row>
    <row r="1892">
      <c r="A1892" s="2">
        <v>3722.0</v>
      </c>
      <c r="B1892" s="2" t="s">
        <v>5566</v>
      </c>
      <c r="C1892" s="2" t="s">
        <v>7</v>
      </c>
      <c r="D1892" s="2" t="s">
        <v>5567</v>
      </c>
      <c r="E1892" s="2" t="s">
        <v>5568</v>
      </c>
      <c r="F1892" s="6">
        <v>45968.481944444444</v>
      </c>
      <c r="G1892" s="2">
        <v>66361.0</v>
      </c>
      <c r="H1892" s="2">
        <v>66361.0</v>
      </c>
      <c r="I1892" s="2">
        <v>54186.0</v>
      </c>
      <c r="J1892" s="2">
        <v>236.0</v>
      </c>
      <c r="K1892" s="2">
        <v>204.0</v>
      </c>
      <c r="L1892" s="2">
        <v>1.0</v>
      </c>
      <c r="M1892" s="4">
        <v>5340.0</v>
      </c>
      <c r="N1892" s="2" t="s">
        <v>30</v>
      </c>
      <c r="O1892" s="2">
        <v>70.0</v>
      </c>
      <c r="P1892" s="2" t="s">
        <v>31</v>
      </c>
      <c r="Q1892" s="2" t="s">
        <v>1367</v>
      </c>
      <c r="R1892" s="2">
        <v>30.0</v>
      </c>
      <c r="U1892" s="2" t="b">
        <v>0</v>
      </c>
      <c r="V1892" s="5">
        <v>0.0038</v>
      </c>
      <c r="W1892" s="5">
        <v>0.0049</v>
      </c>
      <c r="X1892" s="5">
        <v>1.8E-5</v>
      </c>
      <c r="Y1892" s="2">
        <v>26.17647059</v>
      </c>
      <c r="Z1892" s="2">
        <v>3673.0</v>
      </c>
      <c r="AA1892" s="2" t="s">
        <v>33</v>
      </c>
    </row>
    <row r="1893">
      <c r="A1893" s="2">
        <v>3723.0</v>
      </c>
      <c r="B1893" s="2" t="s">
        <v>5569</v>
      </c>
      <c r="C1893" s="2" t="s">
        <v>7</v>
      </c>
      <c r="D1893" s="2" t="s">
        <v>5570</v>
      </c>
      <c r="E1893" s="2" t="s">
        <v>5571</v>
      </c>
      <c r="F1893" s="6">
        <v>45968.48333333333</v>
      </c>
      <c r="G1893" s="2">
        <v>51237.0</v>
      </c>
      <c r="H1893" s="2">
        <v>51237.0</v>
      </c>
      <c r="I1893" s="2">
        <v>41136.0</v>
      </c>
      <c r="J1893" s="2">
        <v>149.0</v>
      </c>
      <c r="K1893" s="2">
        <v>133.0</v>
      </c>
      <c r="L1893" s="2">
        <v>1.0</v>
      </c>
      <c r="M1893" s="4">
        <v>3482.0</v>
      </c>
      <c r="N1893" s="2" t="s">
        <v>36</v>
      </c>
      <c r="O1893" s="2">
        <v>71.0</v>
      </c>
      <c r="P1893" s="2" t="s">
        <v>189</v>
      </c>
      <c r="Q1893" s="2" t="s">
        <v>1367</v>
      </c>
      <c r="R1893" s="2">
        <v>30.0</v>
      </c>
      <c r="U1893" s="2" t="b">
        <v>1</v>
      </c>
      <c r="V1893" s="5">
        <v>0.0032</v>
      </c>
      <c r="W1893" s="5">
        <v>0.0075</v>
      </c>
      <c r="X1893" s="5">
        <v>2.4E-5</v>
      </c>
      <c r="Y1893" s="2">
        <v>26.18045113</v>
      </c>
      <c r="AA1893" s="2" t="s">
        <v>33</v>
      </c>
    </row>
    <row r="1894">
      <c r="A1894" s="2">
        <v>3725.0</v>
      </c>
      <c r="B1894" s="2" t="s">
        <v>5572</v>
      </c>
      <c r="C1894" s="2" t="s">
        <v>7</v>
      </c>
      <c r="D1894" s="2" t="s">
        <v>5573</v>
      </c>
      <c r="E1894" s="2" t="s">
        <v>5574</v>
      </c>
      <c r="F1894" s="6">
        <v>45968.625</v>
      </c>
      <c r="G1894" s="2">
        <v>51233.0</v>
      </c>
      <c r="H1894" s="2">
        <v>51233.0</v>
      </c>
      <c r="I1894" s="2">
        <v>41313.0</v>
      </c>
      <c r="J1894" s="2">
        <v>144.0</v>
      </c>
      <c r="K1894" s="2">
        <v>128.0</v>
      </c>
      <c r="L1894" s="2">
        <v>1.0</v>
      </c>
      <c r="M1894" s="4">
        <v>3570.0</v>
      </c>
      <c r="N1894" s="2" t="s">
        <v>36</v>
      </c>
      <c r="O1894" s="2">
        <v>71.0</v>
      </c>
      <c r="P1894" s="2" t="s">
        <v>189</v>
      </c>
      <c r="Q1894" s="2" t="s">
        <v>1367</v>
      </c>
      <c r="R1894" s="2">
        <v>33.0</v>
      </c>
      <c r="T1894" s="2" t="s">
        <v>5575</v>
      </c>
      <c r="U1894" s="2" t="b">
        <v>0</v>
      </c>
      <c r="V1894" s="5">
        <v>0.0031</v>
      </c>
      <c r="W1894" s="5">
        <v>0.0078</v>
      </c>
      <c r="X1894" s="5">
        <v>2.4E-5</v>
      </c>
      <c r="Y1894" s="2">
        <v>27.890625</v>
      </c>
      <c r="AA1894" s="2" t="s">
        <v>33</v>
      </c>
    </row>
    <row r="1895">
      <c r="A1895" s="2">
        <v>3724.0</v>
      </c>
      <c r="B1895" s="2" t="s">
        <v>5576</v>
      </c>
      <c r="C1895" s="2" t="s">
        <v>7</v>
      </c>
      <c r="D1895" s="2" t="s">
        <v>5577</v>
      </c>
      <c r="E1895" s="2" t="s">
        <v>5578</v>
      </c>
      <c r="F1895" s="6">
        <v>45968.625</v>
      </c>
      <c r="G1895" s="2">
        <v>66340.0</v>
      </c>
      <c r="H1895" s="2">
        <v>66340.0</v>
      </c>
      <c r="I1895" s="2">
        <v>54152.0</v>
      </c>
      <c r="J1895" s="2">
        <v>165.0</v>
      </c>
      <c r="K1895" s="2">
        <v>153.0</v>
      </c>
      <c r="L1895" s="2">
        <v>1.0</v>
      </c>
      <c r="M1895" s="2">
        <v>790.0</v>
      </c>
      <c r="N1895" s="2" t="s">
        <v>30</v>
      </c>
      <c r="O1895" s="2">
        <v>70.0</v>
      </c>
      <c r="P1895" s="2" t="s">
        <v>189</v>
      </c>
      <c r="Q1895" s="2" t="s">
        <v>1367</v>
      </c>
      <c r="R1895" s="2">
        <v>33.0</v>
      </c>
      <c r="U1895" s="2" t="b">
        <v>0</v>
      </c>
      <c r="V1895" s="5">
        <v>0.0028</v>
      </c>
      <c r="W1895" s="5">
        <v>0.0065</v>
      </c>
      <c r="X1895" s="5">
        <v>1.8E-5</v>
      </c>
      <c r="Y1895" s="2">
        <v>5.163398693</v>
      </c>
      <c r="AA1895" s="2" t="s">
        <v>33</v>
      </c>
    </row>
    <row r="1896">
      <c r="A1896" s="2">
        <v>3727.0</v>
      </c>
      <c r="B1896" s="2" t="s">
        <v>5579</v>
      </c>
      <c r="C1896" s="2" t="s">
        <v>7</v>
      </c>
      <c r="D1896" s="2" t="s">
        <v>5580</v>
      </c>
      <c r="E1896" s="2" t="s">
        <v>5581</v>
      </c>
      <c r="F1896" s="6">
        <v>45968.708333333336</v>
      </c>
      <c r="G1896" s="2">
        <v>51248.0</v>
      </c>
      <c r="H1896" s="2">
        <v>51248.0</v>
      </c>
      <c r="I1896" s="2">
        <v>41322.0</v>
      </c>
      <c r="J1896" s="2">
        <v>206.0</v>
      </c>
      <c r="K1896" s="2">
        <v>188.0</v>
      </c>
      <c r="L1896" s="2">
        <v>3.0</v>
      </c>
      <c r="M1896" s="4">
        <v>8477.0</v>
      </c>
      <c r="N1896" s="2" t="s">
        <v>36</v>
      </c>
      <c r="O1896" s="2">
        <v>71.0</v>
      </c>
      <c r="P1896" s="2" t="s">
        <v>31</v>
      </c>
      <c r="Q1896" s="2" t="s">
        <v>1367</v>
      </c>
      <c r="R1896" s="2">
        <v>39.0</v>
      </c>
      <c r="T1896" s="2" t="s">
        <v>47</v>
      </c>
      <c r="U1896" s="2" t="b">
        <v>0</v>
      </c>
      <c r="V1896" s="5">
        <v>0.0045</v>
      </c>
      <c r="W1896" s="5">
        <v>0.016</v>
      </c>
      <c r="X1896" s="5">
        <v>7.3E-5</v>
      </c>
      <c r="Y1896" s="2">
        <v>45.09042553</v>
      </c>
      <c r="AA1896" s="2" t="s">
        <v>33</v>
      </c>
    </row>
    <row r="1897">
      <c r="A1897" s="2">
        <v>3726.0</v>
      </c>
      <c r="B1897" s="2" t="s">
        <v>5582</v>
      </c>
      <c r="C1897" s="2" t="s">
        <v>7</v>
      </c>
      <c r="D1897" s="2" t="s">
        <v>5583</v>
      </c>
      <c r="E1897" s="2" t="s">
        <v>5584</v>
      </c>
      <c r="F1897" s="6">
        <v>45968.708333333336</v>
      </c>
      <c r="G1897" s="2">
        <v>66368.0</v>
      </c>
      <c r="H1897" s="2">
        <v>66368.0</v>
      </c>
      <c r="I1897" s="2">
        <v>54267.0</v>
      </c>
      <c r="J1897" s="2">
        <v>170.0</v>
      </c>
      <c r="K1897" s="2">
        <v>159.0</v>
      </c>
      <c r="L1897" s="2">
        <v>4.0</v>
      </c>
      <c r="M1897" s="4">
        <v>6921.0</v>
      </c>
      <c r="N1897" s="2" t="s">
        <v>30</v>
      </c>
      <c r="O1897" s="2">
        <v>70.0</v>
      </c>
      <c r="P1897" s="2" t="s">
        <v>189</v>
      </c>
      <c r="Q1897" s="2" t="s">
        <v>1367</v>
      </c>
      <c r="R1897" s="2">
        <v>38.0</v>
      </c>
      <c r="T1897" s="2" t="s">
        <v>5585</v>
      </c>
      <c r="U1897" s="2" t="b">
        <v>0</v>
      </c>
      <c r="V1897" s="5">
        <v>0.0029</v>
      </c>
      <c r="W1897" s="5">
        <v>0.0252</v>
      </c>
      <c r="X1897" s="5">
        <v>7.4E-5</v>
      </c>
      <c r="Y1897" s="2">
        <v>43.52830189</v>
      </c>
      <c r="Z1897" s="2">
        <v>4096.0</v>
      </c>
      <c r="AA1897" s="2" t="s">
        <v>33</v>
      </c>
    </row>
    <row r="1898">
      <c r="A1898" s="2">
        <v>3740.0</v>
      </c>
      <c r="B1898" s="2" t="s">
        <v>5586</v>
      </c>
      <c r="C1898" s="2" t="s">
        <v>7</v>
      </c>
      <c r="D1898" s="2" t="s">
        <v>5587</v>
      </c>
      <c r="E1898" s="2" t="e">
        <v>#N/A</v>
      </c>
      <c r="F1898" s="6">
        <v>45968.79236111111</v>
      </c>
      <c r="G1898" s="2">
        <v>7439.0</v>
      </c>
      <c r="H1898" s="2">
        <v>7439.0</v>
      </c>
      <c r="I1898" s="2">
        <v>5915.0</v>
      </c>
      <c r="J1898" s="2">
        <v>21.0</v>
      </c>
      <c r="K1898" s="2">
        <v>19.0</v>
      </c>
      <c r="L1898" s="2">
        <v>0.0</v>
      </c>
      <c r="M1898" s="2">
        <v>0.0</v>
      </c>
      <c r="N1898" s="2" t="s">
        <v>423</v>
      </c>
      <c r="O1898" s="2">
        <v>119.0</v>
      </c>
      <c r="P1898" s="2" t="s">
        <v>189</v>
      </c>
      <c r="Q1898" s="2" t="s">
        <v>1367</v>
      </c>
      <c r="R1898" s="2">
        <v>45.0</v>
      </c>
      <c r="T1898" s="2" t="s">
        <v>47</v>
      </c>
      <c r="U1898" s="2" t="b">
        <v>0</v>
      </c>
      <c r="V1898" s="5">
        <v>0.0032</v>
      </c>
      <c r="W1898" s="5">
        <v>0.0</v>
      </c>
      <c r="X1898" s="5">
        <v>0.0</v>
      </c>
      <c r="Y1898" s="2">
        <v>0.0</v>
      </c>
      <c r="AA1898" s="2" t="s">
        <v>423</v>
      </c>
    </row>
    <row r="1899">
      <c r="A1899" s="2">
        <v>3741.0</v>
      </c>
      <c r="B1899" s="2" t="s">
        <v>5588</v>
      </c>
      <c r="C1899" s="2" t="s">
        <v>7</v>
      </c>
      <c r="D1899" s="2" t="s">
        <v>5589</v>
      </c>
      <c r="E1899" s="2" t="e">
        <v>#N/A</v>
      </c>
      <c r="F1899" s="6">
        <v>45968.875</v>
      </c>
      <c r="G1899" s="2">
        <v>7398.0</v>
      </c>
      <c r="H1899" s="2">
        <v>7398.0</v>
      </c>
      <c r="I1899" s="2">
        <v>5826.0</v>
      </c>
      <c r="J1899" s="2">
        <v>24.0</v>
      </c>
      <c r="K1899" s="2">
        <v>22.0</v>
      </c>
      <c r="L1899" s="2">
        <v>1.0</v>
      </c>
      <c r="M1899" s="4">
        <v>1050.0</v>
      </c>
      <c r="N1899" s="2" t="s">
        <v>423</v>
      </c>
      <c r="O1899" s="2">
        <v>119.0</v>
      </c>
      <c r="P1899" s="2" t="s">
        <v>189</v>
      </c>
      <c r="Q1899" s="2" t="s">
        <v>1367</v>
      </c>
      <c r="R1899" s="2">
        <v>45.0</v>
      </c>
      <c r="T1899" s="7" t="str">
        <f>IFERROR(__xludf.DUMMYFUNCTION("AI(""has offer Come X Pay X"",D1899)"),"🍜 Nostalgic Singaporean Flavours: Limited Offer - Come 4 Pay 3!")</f>
        <v>🍜 Nostalgic Singaporean Flavours: Limited Offer - Come 4 Pay 3!</v>
      </c>
      <c r="U1899" s="2" t="b">
        <v>0</v>
      </c>
      <c r="V1899" s="5">
        <v>0.0038</v>
      </c>
      <c r="W1899" s="5">
        <v>0.0455</v>
      </c>
      <c r="X1899" s="5">
        <v>1.72E-4</v>
      </c>
      <c r="Y1899" s="2">
        <v>47.72727273</v>
      </c>
      <c r="AA1899" s="2" t="s">
        <v>423</v>
      </c>
    </row>
    <row r="1900">
      <c r="A1900" s="2">
        <v>3729.0</v>
      </c>
      <c r="B1900" s="2" t="s">
        <v>5590</v>
      </c>
      <c r="C1900" s="2" t="s">
        <v>7</v>
      </c>
      <c r="D1900" s="2" t="s">
        <v>5591</v>
      </c>
      <c r="E1900" s="2" t="s">
        <v>5592</v>
      </c>
      <c r="F1900" s="6">
        <v>45969.458333333336</v>
      </c>
      <c r="G1900" s="2">
        <v>51344.0</v>
      </c>
      <c r="H1900" s="2">
        <v>51344.0</v>
      </c>
      <c r="I1900" s="2">
        <v>41029.0</v>
      </c>
      <c r="J1900" s="2">
        <v>154.0</v>
      </c>
      <c r="K1900" s="2">
        <v>138.0</v>
      </c>
      <c r="L1900" s="2">
        <v>1.0</v>
      </c>
      <c r="M1900" s="4">
        <v>1980.0</v>
      </c>
      <c r="N1900" s="2" t="s">
        <v>36</v>
      </c>
      <c r="O1900" s="2">
        <v>71.0</v>
      </c>
      <c r="P1900" s="2" t="s">
        <v>189</v>
      </c>
      <c r="Q1900" s="2" t="s">
        <v>1367</v>
      </c>
      <c r="R1900" s="2">
        <v>44.0</v>
      </c>
      <c r="T1900" s="2" t="s">
        <v>58</v>
      </c>
      <c r="U1900" s="2" t="b">
        <v>1</v>
      </c>
      <c r="V1900" s="5">
        <v>0.0034</v>
      </c>
      <c r="W1900" s="5">
        <v>0.0072</v>
      </c>
      <c r="X1900" s="5">
        <v>2.4E-5</v>
      </c>
      <c r="Y1900" s="2">
        <v>14.34782609</v>
      </c>
      <c r="AA1900" s="2" t="s">
        <v>33</v>
      </c>
    </row>
    <row r="1901">
      <c r="A1901" s="2">
        <v>3728.0</v>
      </c>
      <c r="B1901" s="2" t="s">
        <v>5593</v>
      </c>
      <c r="C1901" s="2" t="s">
        <v>7</v>
      </c>
      <c r="D1901" s="2" t="s">
        <v>5594</v>
      </c>
      <c r="E1901" s="2" t="s">
        <v>5595</v>
      </c>
      <c r="F1901" s="6">
        <v>45969.458333333336</v>
      </c>
      <c r="G1901" s="2">
        <v>66407.0</v>
      </c>
      <c r="H1901" s="2">
        <v>66407.0</v>
      </c>
      <c r="I1901" s="2">
        <v>54122.0</v>
      </c>
      <c r="J1901" s="2">
        <v>158.0</v>
      </c>
      <c r="K1901" s="2">
        <v>152.0</v>
      </c>
      <c r="L1901" s="2">
        <v>3.0</v>
      </c>
      <c r="M1901" s="4">
        <v>6748.0</v>
      </c>
      <c r="N1901" s="2" t="s">
        <v>30</v>
      </c>
      <c r="O1901" s="2">
        <v>70.0</v>
      </c>
      <c r="P1901" s="2" t="s">
        <v>189</v>
      </c>
      <c r="Q1901" s="2" t="s">
        <v>1367</v>
      </c>
      <c r="R1901" s="2">
        <v>45.0</v>
      </c>
      <c r="U1901" s="2" t="b">
        <v>0</v>
      </c>
      <c r="V1901" s="5">
        <v>0.0028</v>
      </c>
      <c r="W1901" s="5">
        <v>0.0197</v>
      </c>
      <c r="X1901" s="5">
        <v>5.5E-5</v>
      </c>
      <c r="Y1901" s="2">
        <v>44.39473684</v>
      </c>
      <c r="Z1901" s="2">
        <v>3649.0</v>
      </c>
      <c r="AA1901" s="2" t="s">
        <v>33</v>
      </c>
    </row>
    <row r="1902">
      <c r="A1902" s="2">
        <v>3742.0</v>
      </c>
      <c r="B1902" s="2" t="s">
        <v>5596</v>
      </c>
      <c r="C1902" s="2" t="s">
        <v>7</v>
      </c>
      <c r="D1902" s="2" t="s">
        <v>5597</v>
      </c>
      <c r="E1902" s="2" t="e">
        <v>#N/A</v>
      </c>
      <c r="F1902" s="6">
        <v>45969.583333333336</v>
      </c>
      <c r="G1902" s="2">
        <v>7389.0</v>
      </c>
      <c r="H1902" s="2">
        <v>7389.0</v>
      </c>
      <c r="I1902" s="2">
        <v>5828.0</v>
      </c>
      <c r="J1902" s="2">
        <v>24.0</v>
      </c>
      <c r="K1902" s="2">
        <v>22.0</v>
      </c>
      <c r="L1902" s="2">
        <v>0.0</v>
      </c>
      <c r="M1902" s="2">
        <v>0.0</v>
      </c>
      <c r="N1902" s="2" t="s">
        <v>423</v>
      </c>
      <c r="O1902" s="2">
        <v>119.0</v>
      </c>
      <c r="P1902" s="2" t="s">
        <v>189</v>
      </c>
      <c r="Q1902" s="2" t="s">
        <v>1367</v>
      </c>
      <c r="R1902" s="2">
        <v>40.0</v>
      </c>
      <c r="U1902" s="2" t="b">
        <v>0</v>
      </c>
      <c r="V1902" s="5">
        <v>0.0038</v>
      </c>
      <c r="W1902" s="5">
        <v>0.0</v>
      </c>
      <c r="X1902" s="5">
        <v>0.0</v>
      </c>
      <c r="Y1902" s="2">
        <v>0.0</v>
      </c>
      <c r="AA1902" s="2" t="s">
        <v>423</v>
      </c>
    </row>
    <row r="1903">
      <c r="A1903" s="2">
        <v>3731.0</v>
      </c>
      <c r="B1903" s="2" t="s">
        <v>5598</v>
      </c>
      <c r="C1903" s="2" t="s">
        <v>7</v>
      </c>
      <c r="D1903" s="2" t="s">
        <v>5599</v>
      </c>
      <c r="E1903" s="2" t="s">
        <v>5600</v>
      </c>
      <c r="F1903" s="6">
        <v>45969.625</v>
      </c>
      <c r="G1903" s="2">
        <v>51359.0</v>
      </c>
      <c r="H1903" s="2">
        <v>51359.0</v>
      </c>
      <c r="I1903" s="2">
        <v>41341.0</v>
      </c>
      <c r="J1903" s="2">
        <v>175.0</v>
      </c>
      <c r="K1903" s="2">
        <v>165.0</v>
      </c>
      <c r="L1903" s="2">
        <v>0.0</v>
      </c>
      <c r="M1903" s="2">
        <v>0.0</v>
      </c>
      <c r="N1903" s="2" t="s">
        <v>36</v>
      </c>
      <c r="O1903" s="2">
        <v>71.0</v>
      </c>
      <c r="P1903" s="2" t="s">
        <v>189</v>
      </c>
      <c r="Q1903" s="2" t="s">
        <v>1367</v>
      </c>
      <c r="R1903" s="2">
        <v>47.0</v>
      </c>
      <c r="T1903" s="2" t="s">
        <v>47</v>
      </c>
      <c r="U1903" s="2" t="b">
        <v>0</v>
      </c>
      <c r="V1903" s="5">
        <v>0.004</v>
      </c>
      <c r="W1903" s="5">
        <v>0.0</v>
      </c>
      <c r="X1903" s="5">
        <v>0.0</v>
      </c>
      <c r="Y1903" s="2">
        <v>0.0</v>
      </c>
      <c r="AA1903" s="2" t="s">
        <v>33</v>
      </c>
    </row>
    <row r="1904">
      <c r="A1904" s="2">
        <v>3730.0</v>
      </c>
      <c r="B1904" s="2" t="s">
        <v>5601</v>
      </c>
      <c r="C1904" s="2" t="s">
        <v>7</v>
      </c>
      <c r="D1904" s="2" t="s">
        <v>5602</v>
      </c>
      <c r="E1904" s="2" t="s">
        <v>5603</v>
      </c>
      <c r="F1904" s="6">
        <v>45969.625</v>
      </c>
      <c r="G1904" s="2">
        <v>66475.0</v>
      </c>
      <c r="H1904" s="2">
        <v>66475.0</v>
      </c>
      <c r="I1904" s="2">
        <v>54390.0</v>
      </c>
      <c r="J1904" s="2">
        <v>187.0</v>
      </c>
      <c r="K1904" s="2">
        <v>175.0</v>
      </c>
      <c r="L1904" s="2">
        <v>4.0</v>
      </c>
      <c r="M1904" s="4">
        <v>14674.0</v>
      </c>
      <c r="N1904" s="2" t="s">
        <v>30</v>
      </c>
      <c r="O1904" s="2">
        <v>70.0</v>
      </c>
      <c r="P1904" s="2" t="s">
        <v>31</v>
      </c>
      <c r="Q1904" s="2" t="s">
        <v>1367</v>
      </c>
      <c r="R1904" s="2">
        <v>47.0</v>
      </c>
      <c r="T1904" s="2" t="s">
        <v>5604</v>
      </c>
      <c r="U1904" s="2" t="b">
        <v>0</v>
      </c>
      <c r="V1904" s="5">
        <v>0.0032</v>
      </c>
      <c r="W1904" s="5">
        <v>0.0229</v>
      </c>
      <c r="X1904" s="5">
        <v>7.4E-5</v>
      </c>
      <c r="Y1904" s="2">
        <v>83.85142857</v>
      </c>
      <c r="Z1904" s="2">
        <v>280.0</v>
      </c>
      <c r="AA1904" s="2" t="s">
        <v>33</v>
      </c>
    </row>
    <row r="1905">
      <c r="A1905" s="2">
        <v>3743.0</v>
      </c>
      <c r="B1905" s="2" t="s">
        <v>5605</v>
      </c>
      <c r="C1905" s="2" t="s">
        <v>7</v>
      </c>
      <c r="D1905" s="2" t="s">
        <v>5606</v>
      </c>
      <c r="E1905" s="2" t="e">
        <v>#N/A</v>
      </c>
      <c r="F1905" s="6">
        <v>45969.666666666664</v>
      </c>
      <c r="G1905" s="2">
        <v>7374.0</v>
      </c>
      <c r="H1905" s="2">
        <v>7374.0</v>
      </c>
      <c r="I1905" s="2">
        <v>5824.0</v>
      </c>
      <c r="J1905" s="2">
        <v>26.0</v>
      </c>
      <c r="K1905" s="2">
        <v>24.0</v>
      </c>
      <c r="L1905" s="2">
        <v>1.0</v>
      </c>
      <c r="M1905" s="2">
        <v>129.0</v>
      </c>
      <c r="N1905" s="2" t="s">
        <v>423</v>
      </c>
      <c r="O1905" s="2">
        <v>119.0</v>
      </c>
      <c r="P1905" s="2" t="s">
        <v>189</v>
      </c>
      <c r="Q1905" s="2" t="s">
        <v>1367</v>
      </c>
      <c r="R1905" s="2">
        <v>42.0</v>
      </c>
      <c r="U1905" s="2" t="b">
        <v>0</v>
      </c>
      <c r="V1905" s="5">
        <v>0.0041</v>
      </c>
      <c r="W1905" s="5">
        <v>0.0417</v>
      </c>
      <c r="X1905" s="5">
        <v>1.72E-4</v>
      </c>
      <c r="Y1905" s="2">
        <v>5.375</v>
      </c>
      <c r="AA1905" s="2" t="s">
        <v>423</v>
      </c>
    </row>
    <row r="1906">
      <c r="A1906" s="2">
        <v>3733.0</v>
      </c>
      <c r="B1906" s="2" t="s">
        <v>5607</v>
      </c>
      <c r="C1906" s="2" t="s">
        <v>7</v>
      </c>
      <c r="D1906" s="2" t="s">
        <v>5608</v>
      </c>
      <c r="E1906" s="2" t="s">
        <v>5609</v>
      </c>
      <c r="F1906" s="6">
        <v>45969.708333333336</v>
      </c>
      <c r="G1906" s="2">
        <v>51402.0</v>
      </c>
      <c r="H1906" s="2">
        <v>51402.0</v>
      </c>
      <c r="I1906" s="2">
        <v>41494.0</v>
      </c>
      <c r="J1906" s="2">
        <v>169.0</v>
      </c>
      <c r="K1906" s="2">
        <v>162.0</v>
      </c>
      <c r="L1906" s="2">
        <v>7.0</v>
      </c>
      <c r="M1906" s="4">
        <v>18259.0</v>
      </c>
      <c r="N1906" s="2" t="s">
        <v>36</v>
      </c>
      <c r="O1906" s="2">
        <v>71.0</v>
      </c>
      <c r="P1906" s="2" t="s">
        <v>189</v>
      </c>
      <c r="Q1906" s="2" t="s">
        <v>1367</v>
      </c>
      <c r="R1906" s="2">
        <v>42.0</v>
      </c>
      <c r="U1906" s="2" t="b">
        <v>0</v>
      </c>
      <c r="V1906" s="5">
        <v>0.0039</v>
      </c>
      <c r="W1906" s="5">
        <v>0.0432</v>
      </c>
      <c r="X1906" s="5">
        <v>1.69E-4</v>
      </c>
      <c r="Y1906" s="2">
        <v>112.7098765</v>
      </c>
      <c r="AA1906" s="2" t="s">
        <v>33</v>
      </c>
    </row>
    <row r="1907">
      <c r="A1907" s="2">
        <v>3732.0</v>
      </c>
      <c r="B1907" s="2" t="s">
        <v>5610</v>
      </c>
      <c r="C1907" s="2" t="s">
        <v>7</v>
      </c>
      <c r="D1907" s="2" t="s">
        <v>5611</v>
      </c>
      <c r="E1907" s="2" t="s">
        <v>5612</v>
      </c>
      <c r="F1907" s="6">
        <v>45969.708333333336</v>
      </c>
      <c r="G1907" s="2">
        <v>66500.0</v>
      </c>
      <c r="H1907" s="2">
        <v>66500.0</v>
      </c>
      <c r="I1907" s="2">
        <v>54461.0</v>
      </c>
      <c r="J1907" s="2">
        <v>217.0</v>
      </c>
      <c r="K1907" s="2">
        <v>199.0</v>
      </c>
      <c r="L1907" s="2">
        <v>4.0</v>
      </c>
      <c r="M1907" s="4">
        <v>10049.0</v>
      </c>
      <c r="N1907" s="2" t="s">
        <v>30</v>
      </c>
      <c r="O1907" s="2">
        <v>70.0</v>
      </c>
      <c r="P1907" s="2" t="s">
        <v>189</v>
      </c>
      <c r="Q1907" s="2" t="s">
        <v>1367</v>
      </c>
      <c r="R1907" s="2">
        <v>32.0</v>
      </c>
      <c r="T1907" s="2" t="s">
        <v>47</v>
      </c>
      <c r="U1907" s="2" t="b">
        <v>0</v>
      </c>
      <c r="V1907" s="5">
        <v>0.0037</v>
      </c>
      <c r="W1907" s="5">
        <v>0.0201</v>
      </c>
      <c r="X1907" s="5">
        <v>7.3E-5</v>
      </c>
      <c r="Y1907" s="2">
        <v>50.49748744</v>
      </c>
      <c r="AA1907" s="2" t="s">
        <v>33</v>
      </c>
    </row>
    <row r="1908">
      <c r="A1908" s="2">
        <v>3744.0</v>
      </c>
      <c r="B1908" s="2" t="s">
        <v>5613</v>
      </c>
      <c r="C1908" s="2" t="s">
        <v>7</v>
      </c>
      <c r="D1908" s="2" t="s">
        <v>5614</v>
      </c>
      <c r="E1908" s="2" t="e">
        <v>#N/A</v>
      </c>
      <c r="F1908" s="6">
        <v>45969.75</v>
      </c>
      <c r="G1908" s="2">
        <v>7374.0</v>
      </c>
      <c r="H1908" s="2">
        <v>7374.0</v>
      </c>
      <c r="I1908" s="2">
        <v>5813.0</v>
      </c>
      <c r="J1908" s="2">
        <v>34.0</v>
      </c>
      <c r="K1908" s="2">
        <v>30.0</v>
      </c>
      <c r="L1908" s="2">
        <v>0.0</v>
      </c>
      <c r="M1908" s="2">
        <v>0.0</v>
      </c>
      <c r="N1908" s="2" t="s">
        <v>423</v>
      </c>
      <c r="O1908" s="2">
        <v>119.0</v>
      </c>
      <c r="P1908" s="2" t="s">
        <v>31</v>
      </c>
      <c r="Q1908" s="2" t="s">
        <v>1367</v>
      </c>
      <c r="R1908" s="2">
        <v>37.0</v>
      </c>
      <c r="T1908" s="2" t="s">
        <v>47</v>
      </c>
      <c r="U1908" s="2" t="b">
        <v>0</v>
      </c>
      <c r="V1908" s="5">
        <v>0.0052</v>
      </c>
      <c r="W1908" s="5">
        <v>0.0</v>
      </c>
      <c r="X1908" s="5">
        <v>0.0</v>
      </c>
      <c r="Y1908" s="2">
        <v>0.0</v>
      </c>
      <c r="AA1908" s="2" t="s">
        <v>423</v>
      </c>
    </row>
    <row r="1909">
      <c r="A1909" s="2">
        <v>3735.0</v>
      </c>
      <c r="B1909" s="2" t="s">
        <v>5615</v>
      </c>
      <c r="C1909" s="2" t="s">
        <v>7</v>
      </c>
      <c r="D1909" s="2" t="s">
        <v>5616</v>
      </c>
      <c r="E1909" s="2" t="s">
        <v>5617</v>
      </c>
      <c r="F1909" s="6">
        <v>45970.458333333336</v>
      </c>
      <c r="G1909" s="2">
        <v>51453.0</v>
      </c>
      <c r="H1909" s="2">
        <v>51453.0</v>
      </c>
      <c r="I1909" s="2">
        <v>41015.0</v>
      </c>
      <c r="J1909" s="2">
        <v>186.0</v>
      </c>
      <c r="K1909" s="2">
        <v>173.0</v>
      </c>
      <c r="L1909" s="2">
        <v>3.0</v>
      </c>
      <c r="M1909" s="4">
        <v>35934.0</v>
      </c>
      <c r="N1909" s="2" t="s">
        <v>36</v>
      </c>
      <c r="O1909" s="2">
        <v>71.0</v>
      </c>
      <c r="P1909" s="2" t="s">
        <v>189</v>
      </c>
      <c r="Q1909" s="2" t="s">
        <v>1367</v>
      </c>
      <c r="R1909" s="2">
        <v>49.0</v>
      </c>
      <c r="T1909" s="2" t="s">
        <v>58</v>
      </c>
      <c r="U1909" s="2" t="b">
        <v>1</v>
      </c>
      <c r="V1909" s="5">
        <v>0.0042</v>
      </c>
      <c r="W1909" s="5">
        <v>0.0173</v>
      </c>
      <c r="X1909" s="5">
        <v>7.3E-5</v>
      </c>
      <c r="Y1909" s="2">
        <v>207.7109827</v>
      </c>
      <c r="AA1909" s="2" t="s">
        <v>33</v>
      </c>
    </row>
    <row r="1910">
      <c r="A1910" s="2">
        <v>3734.0</v>
      </c>
      <c r="B1910" s="2" t="s">
        <v>5618</v>
      </c>
      <c r="C1910" s="2" t="s">
        <v>7</v>
      </c>
      <c r="D1910" s="2" t="s">
        <v>5619</v>
      </c>
      <c r="E1910" s="2" t="s">
        <v>5620</v>
      </c>
      <c r="F1910" s="6">
        <v>45970.458333333336</v>
      </c>
      <c r="G1910" s="2">
        <v>66569.0</v>
      </c>
      <c r="H1910" s="2">
        <v>66569.0</v>
      </c>
      <c r="I1910" s="2">
        <v>54010.0</v>
      </c>
      <c r="J1910" s="2">
        <v>259.0</v>
      </c>
      <c r="K1910" s="2">
        <v>236.0</v>
      </c>
      <c r="L1910" s="2">
        <v>9.0</v>
      </c>
      <c r="M1910" s="4">
        <v>17208.0</v>
      </c>
      <c r="N1910" s="2" t="s">
        <v>30</v>
      </c>
      <c r="O1910" s="2">
        <v>70.0</v>
      </c>
      <c r="P1910" s="2" t="s">
        <v>189</v>
      </c>
      <c r="Q1910" s="2" t="s">
        <v>1367</v>
      </c>
      <c r="R1910" s="2">
        <v>49.0</v>
      </c>
      <c r="T1910" s="2" t="s">
        <v>58</v>
      </c>
      <c r="U1910" s="2" t="b">
        <v>0</v>
      </c>
      <c r="V1910" s="5">
        <v>0.0044</v>
      </c>
      <c r="W1910" s="5">
        <v>0.0381</v>
      </c>
      <c r="X1910" s="5">
        <v>1.67E-4</v>
      </c>
      <c r="Y1910" s="2">
        <v>72.91525424</v>
      </c>
      <c r="Z1910" s="2">
        <v>2928.0</v>
      </c>
      <c r="AA1910" s="2" t="s">
        <v>33</v>
      </c>
    </row>
    <row r="1911">
      <c r="A1911" s="2">
        <v>3737.0</v>
      </c>
      <c r="B1911" s="2" t="s">
        <v>5621</v>
      </c>
      <c r="C1911" s="2" t="s">
        <v>7</v>
      </c>
      <c r="D1911" s="2" t="s">
        <v>5622</v>
      </c>
      <c r="E1911" s="2" t="s">
        <v>5623</v>
      </c>
      <c r="F1911" s="6">
        <v>45970.625</v>
      </c>
      <c r="G1911" s="2">
        <v>51483.0</v>
      </c>
      <c r="H1911" s="2">
        <v>51483.0</v>
      </c>
      <c r="I1911" s="2">
        <v>41275.0</v>
      </c>
      <c r="J1911" s="2">
        <v>149.0</v>
      </c>
      <c r="K1911" s="2">
        <v>138.0</v>
      </c>
      <c r="L1911" s="2">
        <v>2.0</v>
      </c>
      <c r="M1911" s="4">
        <v>2830.0</v>
      </c>
      <c r="N1911" s="2" t="s">
        <v>36</v>
      </c>
      <c r="O1911" s="2">
        <v>71.0</v>
      </c>
      <c r="P1911" s="2" t="s">
        <v>189</v>
      </c>
      <c r="Q1911" s="2" t="s">
        <v>1367</v>
      </c>
      <c r="R1911" s="2">
        <v>29.0</v>
      </c>
      <c r="T1911" s="2" t="s">
        <v>47</v>
      </c>
      <c r="U1911" s="2" t="b">
        <v>0</v>
      </c>
      <c r="V1911" s="5">
        <v>0.0033</v>
      </c>
      <c r="W1911" s="5">
        <v>0.0145</v>
      </c>
      <c r="X1911" s="5">
        <v>4.8E-5</v>
      </c>
      <c r="Y1911" s="2">
        <v>20.50724638</v>
      </c>
      <c r="AA1911" s="2" t="s">
        <v>33</v>
      </c>
    </row>
    <row r="1912">
      <c r="A1912" s="2">
        <v>3736.0</v>
      </c>
      <c r="B1912" s="2" t="s">
        <v>5624</v>
      </c>
      <c r="C1912" s="2" t="s">
        <v>7</v>
      </c>
      <c r="D1912" s="2" t="s">
        <v>5625</v>
      </c>
      <c r="E1912" s="2" t="s">
        <v>5626</v>
      </c>
      <c r="F1912" s="6">
        <v>45970.625</v>
      </c>
      <c r="G1912" s="2">
        <v>66606.0</v>
      </c>
      <c r="H1912" s="2">
        <v>66606.0</v>
      </c>
      <c r="I1912" s="2">
        <v>54168.0</v>
      </c>
      <c r="J1912" s="2">
        <v>194.0</v>
      </c>
      <c r="K1912" s="2">
        <v>180.0</v>
      </c>
      <c r="L1912" s="2">
        <v>3.0</v>
      </c>
      <c r="M1912" s="4">
        <v>3660.0</v>
      </c>
      <c r="N1912" s="2" t="s">
        <v>30</v>
      </c>
      <c r="O1912" s="2">
        <v>70.0</v>
      </c>
      <c r="P1912" s="2" t="s">
        <v>189</v>
      </c>
      <c r="Q1912" s="2" t="s">
        <v>1367</v>
      </c>
      <c r="R1912" s="2">
        <v>28.0</v>
      </c>
      <c r="T1912" s="2" t="s">
        <v>47</v>
      </c>
      <c r="U1912" s="2" t="b">
        <v>0</v>
      </c>
      <c r="V1912" s="5">
        <v>0.0033</v>
      </c>
      <c r="W1912" s="5">
        <v>0.0167</v>
      </c>
      <c r="X1912" s="5">
        <v>5.5E-5</v>
      </c>
      <c r="Y1912" s="2">
        <v>20.33333333</v>
      </c>
      <c r="Z1912" s="2" t="s">
        <v>5627</v>
      </c>
      <c r="AA1912" s="2" t="s">
        <v>33</v>
      </c>
    </row>
    <row r="1913">
      <c r="A1913" s="2">
        <v>3739.0</v>
      </c>
      <c r="B1913" s="2" t="s">
        <v>5628</v>
      </c>
      <c r="C1913" s="2" t="s">
        <v>7</v>
      </c>
      <c r="D1913" s="2" t="s">
        <v>5629</v>
      </c>
      <c r="E1913" s="2" t="s">
        <v>5630</v>
      </c>
      <c r="F1913" s="6">
        <v>45970.708333333336</v>
      </c>
      <c r="G1913" s="2">
        <v>51462.0</v>
      </c>
      <c r="H1913" s="2">
        <v>51462.0</v>
      </c>
      <c r="I1913" s="2">
        <v>41343.0</v>
      </c>
      <c r="J1913" s="2">
        <v>192.0</v>
      </c>
      <c r="K1913" s="2">
        <v>183.0</v>
      </c>
      <c r="L1913" s="2">
        <v>1.0</v>
      </c>
      <c r="M1913" s="4">
        <v>2264.0</v>
      </c>
      <c r="N1913" s="2" t="s">
        <v>36</v>
      </c>
      <c r="O1913" s="2">
        <v>71.0</v>
      </c>
      <c r="P1913" s="2" t="s">
        <v>31</v>
      </c>
      <c r="Q1913" s="2" t="s">
        <v>1367</v>
      </c>
      <c r="R1913" s="2">
        <v>46.0</v>
      </c>
      <c r="T1913" s="2" t="s">
        <v>47</v>
      </c>
      <c r="U1913" s="2" t="b">
        <v>0</v>
      </c>
      <c r="V1913" s="5">
        <v>0.0044</v>
      </c>
      <c r="W1913" s="5">
        <v>0.0055</v>
      </c>
      <c r="X1913" s="5">
        <v>2.4E-5</v>
      </c>
      <c r="Y1913" s="2">
        <v>12.3715847</v>
      </c>
      <c r="AA1913" s="2" t="s">
        <v>33</v>
      </c>
    </row>
    <row r="1914">
      <c r="A1914" s="2">
        <v>3738.0</v>
      </c>
      <c r="B1914" s="2" t="s">
        <v>5631</v>
      </c>
      <c r="C1914" s="2" t="s">
        <v>7</v>
      </c>
      <c r="D1914" s="2" t="s">
        <v>5632</v>
      </c>
      <c r="E1914" s="2" t="s">
        <v>5633</v>
      </c>
      <c r="F1914" s="6">
        <v>45970.708333333336</v>
      </c>
      <c r="G1914" s="2">
        <v>66594.0</v>
      </c>
      <c r="H1914" s="2">
        <v>66594.0</v>
      </c>
      <c r="I1914" s="2">
        <v>54311.0</v>
      </c>
      <c r="J1914" s="2">
        <v>218.0</v>
      </c>
      <c r="K1914" s="2">
        <v>192.0</v>
      </c>
      <c r="L1914" s="2">
        <v>1.0</v>
      </c>
      <c r="M1914" s="4">
        <v>1980.0</v>
      </c>
      <c r="N1914" s="2" t="s">
        <v>30</v>
      </c>
      <c r="O1914" s="2">
        <v>70.0</v>
      </c>
      <c r="P1914" s="2" t="s">
        <v>189</v>
      </c>
      <c r="Q1914" s="2" t="s">
        <v>1367</v>
      </c>
      <c r="R1914" s="2">
        <v>33.0</v>
      </c>
      <c r="U1914" s="2" t="b">
        <v>0</v>
      </c>
      <c r="V1914" s="5">
        <v>0.0035</v>
      </c>
      <c r="W1914" s="5">
        <v>0.0052</v>
      </c>
      <c r="X1914" s="5">
        <v>1.8E-5</v>
      </c>
      <c r="Y1914" s="2">
        <v>10.3125</v>
      </c>
      <c r="AA1914" s="2" t="s">
        <v>33</v>
      </c>
    </row>
    <row r="1915">
      <c r="A1915" s="2">
        <v>3745.0</v>
      </c>
      <c r="B1915" s="2" t="s">
        <v>5634</v>
      </c>
      <c r="C1915" s="2" t="s">
        <v>7</v>
      </c>
      <c r="D1915" s="2" t="s">
        <v>5635</v>
      </c>
      <c r="E1915" s="2" t="s">
        <v>5636</v>
      </c>
      <c r="F1915" s="3">
        <v>45971.73333333333</v>
      </c>
      <c r="G1915" s="2">
        <v>66779.0</v>
      </c>
      <c r="H1915" s="2">
        <v>66779.0</v>
      </c>
      <c r="I1915" s="2">
        <v>54757.0</v>
      </c>
      <c r="J1915" s="2">
        <v>202.0</v>
      </c>
      <c r="K1915" s="2">
        <v>193.0</v>
      </c>
      <c r="L1915" s="2">
        <v>1.0</v>
      </c>
      <c r="M1915" s="2">
        <v>159.0</v>
      </c>
      <c r="N1915" s="2" t="s">
        <v>30</v>
      </c>
      <c r="O1915" s="2">
        <v>70.0</v>
      </c>
      <c r="P1915" s="2" t="s">
        <v>189</v>
      </c>
      <c r="Q1915" s="2" t="s">
        <v>1367</v>
      </c>
      <c r="R1915" s="2">
        <v>46.0</v>
      </c>
      <c r="T1915" s="2" t="s">
        <v>47</v>
      </c>
      <c r="U1915" s="2" t="b">
        <v>0</v>
      </c>
      <c r="V1915" s="5">
        <v>0.0035</v>
      </c>
      <c r="W1915" s="5">
        <v>0.0052</v>
      </c>
      <c r="X1915" s="5">
        <v>1.8E-5</v>
      </c>
      <c r="Y1915" s="2">
        <v>0.8238341969</v>
      </c>
      <c r="AA1915" s="2" t="s">
        <v>33</v>
      </c>
    </row>
    <row r="1916">
      <c r="A1916" s="2">
        <v>3746.0</v>
      </c>
      <c r="B1916" s="2" t="s">
        <v>5637</v>
      </c>
      <c r="C1916" s="2" t="s">
        <v>7</v>
      </c>
      <c r="D1916" s="2" t="s">
        <v>5638</v>
      </c>
      <c r="E1916" s="2" t="s">
        <v>5639</v>
      </c>
      <c r="F1916" s="3">
        <v>45971.754166666666</v>
      </c>
      <c r="G1916" s="2">
        <v>51538.0</v>
      </c>
      <c r="H1916" s="2">
        <v>51538.0</v>
      </c>
      <c r="I1916" s="2">
        <v>41483.0</v>
      </c>
      <c r="J1916" s="2">
        <v>160.0</v>
      </c>
      <c r="K1916" s="2">
        <v>153.0</v>
      </c>
      <c r="L1916" s="2">
        <v>1.0</v>
      </c>
      <c r="M1916" s="4">
        <v>1900.0</v>
      </c>
      <c r="N1916" s="2" t="s">
        <v>36</v>
      </c>
      <c r="O1916" s="2">
        <v>71.0</v>
      </c>
      <c r="P1916" s="2" t="s">
        <v>189</v>
      </c>
      <c r="Q1916" s="2" t="s">
        <v>1367</v>
      </c>
      <c r="R1916" s="2">
        <v>37.0</v>
      </c>
      <c r="T1916" s="2" t="s">
        <v>47</v>
      </c>
      <c r="U1916" s="2" t="b">
        <v>0</v>
      </c>
      <c r="V1916" s="5">
        <v>0.0037</v>
      </c>
      <c r="W1916" s="5">
        <v>0.0065</v>
      </c>
      <c r="X1916" s="5">
        <v>2.4E-5</v>
      </c>
      <c r="Y1916" s="2">
        <v>12.41830065</v>
      </c>
      <c r="AA1916" s="2" t="s">
        <v>33</v>
      </c>
    </row>
    <row r="1917">
      <c r="A1917" s="2">
        <v>3749.0</v>
      </c>
      <c r="B1917" s="2" t="s">
        <v>5640</v>
      </c>
      <c r="C1917" s="2" t="s">
        <v>7</v>
      </c>
      <c r="D1917" s="2" t="s">
        <v>5641</v>
      </c>
      <c r="E1917" s="2" t="s">
        <v>5642</v>
      </c>
      <c r="F1917" s="3">
        <v>45971.77777777778</v>
      </c>
      <c r="G1917" s="2">
        <v>7290.0</v>
      </c>
      <c r="H1917" s="2">
        <v>7290.0</v>
      </c>
      <c r="I1917" s="2">
        <v>5752.0</v>
      </c>
      <c r="J1917" s="2">
        <v>38.0</v>
      </c>
      <c r="K1917" s="2">
        <v>36.0</v>
      </c>
      <c r="L1917" s="2">
        <v>0.0</v>
      </c>
      <c r="M1917" s="2">
        <v>0.0</v>
      </c>
      <c r="N1917" s="2" t="s">
        <v>423</v>
      </c>
      <c r="O1917" s="2">
        <v>119.0</v>
      </c>
      <c r="P1917" s="2" t="s">
        <v>31</v>
      </c>
      <c r="Q1917" s="2" t="s">
        <v>1367</v>
      </c>
      <c r="R1917" s="2">
        <v>48.0</v>
      </c>
      <c r="T1917" s="2" t="s">
        <v>47</v>
      </c>
      <c r="U1917" s="2" t="b">
        <v>0</v>
      </c>
      <c r="V1917" s="5">
        <v>0.0063</v>
      </c>
      <c r="W1917" s="5">
        <v>0.0</v>
      </c>
      <c r="X1917" s="5">
        <v>0.0</v>
      </c>
      <c r="Y1917" s="2">
        <v>0.0</v>
      </c>
      <c r="AA1917" s="2" t="s">
        <v>423</v>
      </c>
    </row>
    <row r="1918">
      <c r="A1918" s="2">
        <v>3748.0</v>
      </c>
      <c r="B1918" s="2" t="s">
        <v>5643</v>
      </c>
      <c r="C1918" s="2" t="s">
        <v>7</v>
      </c>
      <c r="D1918" s="2" t="s">
        <v>5644</v>
      </c>
      <c r="E1918" s="2" t="s">
        <v>5645</v>
      </c>
      <c r="F1918" s="3">
        <v>45971.833333333336</v>
      </c>
      <c r="G1918" s="2">
        <v>51427.0</v>
      </c>
      <c r="H1918" s="2">
        <v>51427.0</v>
      </c>
      <c r="I1918" s="2">
        <v>41524.0</v>
      </c>
      <c r="J1918" s="2">
        <v>136.0</v>
      </c>
      <c r="K1918" s="2">
        <v>121.0</v>
      </c>
      <c r="L1918" s="2">
        <v>3.0</v>
      </c>
      <c r="M1918" s="4">
        <v>5777.0</v>
      </c>
      <c r="N1918" s="2" t="s">
        <v>36</v>
      </c>
      <c r="O1918" s="2">
        <v>71.0</v>
      </c>
      <c r="P1918" s="2" t="s">
        <v>31</v>
      </c>
      <c r="Q1918" s="2" t="s">
        <v>1367</v>
      </c>
      <c r="R1918" s="2">
        <v>51.0</v>
      </c>
      <c r="T1918" s="2" t="s">
        <v>47</v>
      </c>
      <c r="U1918" s="2" t="b">
        <v>0</v>
      </c>
      <c r="V1918" s="5">
        <v>0.0029</v>
      </c>
      <c r="W1918" s="5">
        <v>0.0248</v>
      </c>
      <c r="X1918" s="5">
        <v>7.2E-5</v>
      </c>
      <c r="Y1918" s="2">
        <v>47.74380165</v>
      </c>
      <c r="AA1918" s="2" t="s">
        <v>33</v>
      </c>
    </row>
    <row r="1919">
      <c r="A1919" s="2">
        <v>3750.0</v>
      </c>
      <c r="B1919" s="2" t="s">
        <v>5646</v>
      </c>
      <c r="C1919" s="2" t="s">
        <v>7</v>
      </c>
      <c r="D1919" s="2" t="s">
        <v>5647</v>
      </c>
      <c r="E1919" s="2" t="s">
        <v>5648</v>
      </c>
      <c r="F1919" s="3">
        <v>45971.833333333336</v>
      </c>
      <c r="G1919" s="2">
        <v>7235.0</v>
      </c>
      <c r="H1919" s="2">
        <v>7235.0</v>
      </c>
      <c r="I1919" s="2">
        <v>5703.0</v>
      </c>
      <c r="J1919" s="2">
        <v>34.0</v>
      </c>
      <c r="K1919" s="2">
        <v>33.0</v>
      </c>
      <c r="L1919" s="2">
        <v>2.0</v>
      </c>
      <c r="M1919" s="4">
        <v>6994.0</v>
      </c>
      <c r="N1919" s="2" t="s">
        <v>423</v>
      </c>
      <c r="O1919" s="2">
        <v>119.0</v>
      </c>
      <c r="P1919" s="2" t="s">
        <v>31</v>
      </c>
      <c r="Q1919" s="2" t="s">
        <v>1367</v>
      </c>
      <c r="R1919" s="2">
        <v>48.0</v>
      </c>
      <c r="T1919" s="2" t="s">
        <v>47</v>
      </c>
      <c r="U1919" s="2" t="b">
        <v>0</v>
      </c>
      <c r="V1919" s="5">
        <v>0.0058</v>
      </c>
      <c r="W1919" s="5">
        <v>0.0606</v>
      </c>
      <c r="X1919" s="5">
        <v>3.51E-4</v>
      </c>
      <c r="Y1919" s="2">
        <v>211.9393939</v>
      </c>
      <c r="AA1919" s="2" t="s">
        <v>423</v>
      </c>
    </row>
    <row r="1920">
      <c r="A1920" s="2">
        <v>3747.0</v>
      </c>
      <c r="B1920" s="2" t="s">
        <v>5649</v>
      </c>
      <c r="C1920" s="2" t="s">
        <v>7</v>
      </c>
      <c r="D1920" s="2" t="s">
        <v>5650</v>
      </c>
      <c r="E1920" s="2" t="s">
        <v>5651</v>
      </c>
      <c r="F1920" s="3">
        <v>45971.833333333336</v>
      </c>
      <c r="G1920" s="2">
        <v>66689.0</v>
      </c>
      <c r="H1920" s="2">
        <v>66689.0</v>
      </c>
      <c r="I1920" s="2">
        <v>54467.0</v>
      </c>
      <c r="J1920" s="2">
        <v>161.0</v>
      </c>
      <c r="K1920" s="2">
        <v>153.0</v>
      </c>
      <c r="L1920" s="2">
        <v>2.0</v>
      </c>
      <c r="M1920" s="4">
        <v>2606.0</v>
      </c>
      <c r="N1920" s="2" t="s">
        <v>30</v>
      </c>
      <c r="O1920" s="2">
        <v>70.0</v>
      </c>
      <c r="P1920" s="2" t="s">
        <v>31</v>
      </c>
      <c r="Q1920" s="2" t="s">
        <v>1367</v>
      </c>
      <c r="R1920" s="2">
        <v>43.0</v>
      </c>
      <c r="T1920" s="2" t="s">
        <v>47</v>
      </c>
      <c r="U1920" s="2" t="b">
        <v>0</v>
      </c>
      <c r="V1920" s="5">
        <v>0.0028</v>
      </c>
      <c r="W1920" s="5">
        <v>0.0131</v>
      </c>
      <c r="X1920" s="5">
        <v>3.7E-5</v>
      </c>
      <c r="Y1920" s="2">
        <v>17.03267974</v>
      </c>
      <c r="Z1920" s="2">
        <v>6464.0</v>
      </c>
      <c r="AA1920" s="2" t="s">
        <v>33</v>
      </c>
    </row>
    <row r="1921">
      <c r="A1921" s="2">
        <v>3751.0</v>
      </c>
      <c r="B1921" s="2" t="s">
        <v>5652</v>
      </c>
      <c r="C1921" s="2" t="s">
        <v>7</v>
      </c>
      <c r="D1921" s="2" t="s">
        <v>5653</v>
      </c>
      <c r="E1921" s="2" t="s">
        <v>5654</v>
      </c>
      <c r="F1921" s="3">
        <v>45972.64166666667</v>
      </c>
      <c r="G1921" s="2">
        <v>66808.0</v>
      </c>
      <c r="H1921" s="2">
        <v>66808.0</v>
      </c>
      <c r="I1921" s="2">
        <v>36178.0</v>
      </c>
      <c r="J1921" s="2">
        <v>109.0</v>
      </c>
      <c r="K1921" s="2">
        <v>104.0</v>
      </c>
      <c r="L1921" s="2">
        <v>2.0</v>
      </c>
      <c r="M1921" s="4">
        <v>2268.0</v>
      </c>
      <c r="N1921" s="2" t="s">
        <v>30</v>
      </c>
      <c r="O1921" s="2">
        <v>70.0</v>
      </c>
      <c r="P1921" s="2" t="s">
        <v>189</v>
      </c>
      <c r="Q1921" s="2" t="s">
        <v>1367</v>
      </c>
      <c r="R1921" s="2">
        <v>34.0</v>
      </c>
      <c r="U1921" s="2" t="b">
        <v>0</v>
      </c>
      <c r="V1921" s="5">
        <v>0.0029</v>
      </c>
      <c r="W1921" s="5">
        <v>0.0192</v>
      </c>
      <c r="X1921" s="5">
        <v>5.5E-5</v>
      </c>
      <c r="Y1921" s="2">
        <v>21.80769231</v>
      </c>
      <c r="Z1921" s="2">
        <v>3629.0</v>
      </c>
      <c r="AA1921" s="2" t="s">
        <v>33</v>
      </c>
    </row>
    <row r="1922">
      <c r="A1922" s="2">
        <v>3752.0</v>
      </c>
      <c r="B1922" s="2" t="s">
        <v>5655</v>
      </c>
      <c r="C1922" s="2" t="s">
        <v>7</v>
      </c>
      <c r="D1922" s="2" t="s">
        <v>5656</v>
      </c>
      <c r="E1922" s="2" t="s">
        <v>5657</v>
      </c>
      <c r="F1922" s="3">
        <v>45972.71875</v>
      </c>
      <c r="G1922" s="2">
        <v>51494.0</v>
      </c>
      <c r="H1922" s="2">
        <v>51494.0</v>
      </c>
      <c r="I1922" s="2">
        <v>0.0</v>
      </c>
      <c r="J1922" s="2">
        <v>0.0</v>
      </c>
      <c r="K1922" s="2">
        <v>0.0</v>
      </c>
      <c r="L1922" s="2">
        <v>0.0</v>
      </c>
      <c r="M1922" s="2">
        <v>0.0</v>
      </c>
      <c r="N1922" s="2" t="s">
        <v>36</v>
      </c>
      <c r="O1922" s="2">
        <v>71.0</v>
      </c>
      <c r="P1922" s="2" t="s">
        <v>189</v>
      </c>
      <c r="Q1922" s="2" t="s">
        <v>1367</v>
      </c>
      <c r="R1922" s="2">
        <v>34.0</v>
      </c>
      <c r="T1922" s="2" t="s">
        <v>162</v>
      </c>
      <c r="U1922" s="2" t="b">
        <v>0</v>
      </c>
      <c r="AA1922" s="2" t="s">
        <v>33</v>
      </c>
    </row>
    <row r="1923">
      <c r="A1923" s="2">
        <v>3753.0</v>
      </c>
      <c r="B1923" s="2" t="s">
        <v>5658</v>
      </c>
      <c r="C1923" s="2" t="s">
        <v>7</v>
      </c>
      <c r="D1923" s="2" t="s">
        <v>5659</v>
      </c>
      <c r="E1923" s="2" t="e">
        <v>#N/A</v>
      </c>
      <c r="F1923" s="3">
        <v>45972.72083333333</v>
      </c>
      <c r="G1923" s="2">
        <v>66656.0</v>
      </c>
      <c r="H1923" s="2">
        <v>66656.0</v>
      </c>
      <c r="I1923" s="2">
        <v>36138.0</v>
      </c>
      <c r="J1923" s="2">
        <v>116.0</v>
      </c>
      <c r="K1923" s="2">
        <v>111.0</v>
      </c>
      <c r="L1923" s="2">
        <v>3.0</v>
      </c>
      <c r="M1923" s="4">
        <v>7719.0</v>
      </c>
      <c r="N1923" s="2" t="s">
        <v>30</v>
      </c>
      <c r="O1923" s="2">
        <v>70.0</v>
      </c>
      <c r="P1923" s="2" t="s">
        <v>189</v>
      </c>
      <c r="Q1923" s="2" t="s">
        <v>1367</v>
      </c>
      <c r="R1923" s="2">
        <v>43.0</v>
      </c>
      <c r="U1923" s="2" t="b">
        <v>0</v>
      </c>
      <c r="V1923" s="5">
        <v>0.0031</v>
      </c>
      <c r="W1923" s="5">
        <v>0.027</v>
      </c>
      <c r="X1923" s="5">
        <v>8.3E-5</v>
      </c>
      <c r="Y1923" s="2">
        <v>69.54054054</v>
      </c>
      <c r="AA1923" s="2" t="s">
        <v>33</v>
      </c>
    </row>
    <row r="1924">
      <c r="A1924" s="2">
        <v>3757.0</v>
      </c>
      <c r="B1924" s="2" t="s">
        <v>5660</v>
      </c>
      <c r="C1924" s="2" t="s">
        <v>7</v>
      </c>
      <c r="D1924" s="2" t="s">
        <v>5661</v>
      </c>
      <c r="E1924" s="2" t="s">
        <v>5662</v>
      </c>
      <c r="F1924" s="3">
        <v>45972.73472222222</v>
      </c>
      <c r="G1924" s="2">
        <v>7209.0</v>
      </c>
      <c r="H1924" s="2">
        <v>7209.0</v>
      </c>
      <c r="I1924" s="2">
        <v>4322.0</v>
      </c>
      <c r="J1924" s="2">
        <v>14.0</v>
      </c>
      <c r="K1924" s="2">
        <v>14.0</v>
      </c>
      <c r="L1924" s="2">
        <v>0.0</v>
      </c>
      <c r="M1924" s="2">
        <v>0.0</v>
      </c>
      <c r="N1924" s="2" t="s">
        <v>423</v>
      </c>
      <c r="O1924" s="2">
        <v>119.0</v>
      </c>
      <c r="P1924" s="2" t="s">
        <v>31</v>
      </c>
      <c r="Q1924" s="2" t="s">
        <v>1367</v>
      </c>
      <c r="R1924" s="2">
        <v>30.0</v>
      </c>
      <c r="U1924" s="2" t="b">
        <v>0</v>
      </c>
      <c r="V1924" s="5">
        <v>0.0032</v>
      </c>
      <c r="W1924" s="5">
        <v>0.0</v>
      </c>
      <c r="X1924" s="5">
        <v>0.0</v>
      </c>
      <c r="Y1924" s="2">
        <v>0.0</v>
      </c>
      <c r="AA1924" s="2" t="s">
        <v>423</v>
      </c>
    </row>
    <row r="1925">
      <c r="A1925" s="2">
        <v>3754.0</v>
      </c>
      <c r="B1925" s="2" t="s">
        <v>5663</v>
      </c>
      <c r="C1925" s="2" t="s">
        <v>7</v>
      </c>
      <c r="D1925" s="2" t="s">
        <v>5664</v>
      </c>
      <c r="E1925" s="2" t="e">
        <v>#N/A</v>
      </c>
      <c r="F1925" s="3">
        <v>45972.743055555555</v>
      </c>
      <c r="G1925" s="2">
        <v>51497.0</v>
      </c>
      <c r="H1925" s="2">
        <v>51497.0</v>
      </c>
      <c r="I1925" s="2">
        <v>31337.0</v>
      </c>
      <c r="J1925" s="2">
        <v>120.0</v>
      </c>
      <c r="K1925" s="2">
        <v>109.0</v>
      </c>
      <c r="L1925" s="2">
        <v>4.0</v>
      </c>
      <c r="M1925" s="4">
        <v>7332.0</v>
      </c>
      <c r="N1925" s="2" t="s">
        <v>36</v>
      </c>
      <c r="O1925" s="2">
        <v>71.0</v>
      </c>
      <c r="P1925" s="2" t="s">
        <v>189</v>
      </c>
      <c r="Q1925" s="2" t="s">
        <v>1367</v>
      </c>
      <c r="R1925" s="2">
        <v>43.0</v>
      </c>
      <c r="U1925" s="2" t="b">
        <v>0</v>
      </c>
      <c r="V1925" s="5">
        <v>0.0035</v>
      </c>
      <c r="W1925" s="5">
        <v>0.0367</v>
      </c>
      <c r="X1925" s="5">
        <v>1.28E-4</v>
      </c>
      <c r="Y1925" s="2">
        <v>67.26605505</v>
      </c>
      <c r="AA1925" s="2" t="s">
        <v>33</v>
      </c>
    </row>
    <row r="1926">
      <c r="A1926" s="2">
        <v>3758.0</v>
      </c>
      <c r="B1926" s="2" t="s">
        <v>5665</v>
      </c>
      <c r="C1926" s="2" t="s">
        <v>7</v>
      </c>
      <c r="D1926" s="2" t="s">
        <v>5666</v>
      </c>
      <c r="E1926" s="2" t="s">
        <v>5667</v>
      </c>
      <c r="F1926" s="3">
        <v>45972.791666666664</v>
      </c>
      <c r="G1926" s="2">
        <v>7199.0</v>
      </c>
      <c r="H1926" s="2">
        <v>7199.0</v>
      </c>
      <c r="I1926" s="2">
        <v>3495.0</v>
      </c>
      <c r="J1926" s="2">
        <v>15.0</v>
      </c>
      <c r="K1926" s="2">
        <v>15.0</v>
      </c>
      <c r="L1926" s="2">
        <v>0.0</v>
      </c>
      <c r="M1926" s="2">
        <v>0.0</v>
      </c>
      <c r="N1926" s="2" t="s">
        <v>423</v>
      </c>
      <c r="O1926" s="2">
        <v>119.0</v>
      </c>
      <c r="P1926" s="2" t="s">
        <v>189</v>
      </c>
      <c r="Q1926" s="2" t="s">
        <v>1367</v>
      </c>
      <c r="R1926" s="2">
        <v>36.0</v>
      </c>
      <c r="T1926" s="2" t="s">
        <v>47</v>
      </c>
      <c r="U1926" s="2" t="b">
        <v>0</v>
      </c>
      <c r="V1926" s="5">
        <v>0.0043</v>
      </c>
      <c r="W1926" s="5">
        <v>0.0</v>
      </c>
      <c r="X1926" s="5">
        <v>0.0</v>
      </c>
      <c r="Y1926" s="2">
        <v>0.0</v>
      </c>
      <c r="AA1926" s="2" t="s">
        <v>423</v>
      </c>
    </row>
    <row r="1927">
      <c r="A1927" s="2">
        <v>3756.0</v>
      </c>
      <c r="B1927" s="2" t="s">
        <v>5668</v>
      </c>
      <c r="C1927" s="2" t="s">
        <v>7</v>
      </c>
      <c r="D1927" s="2" t="s">
        <v>5669</v>
      </c>
      <c r="E1927" s="2" t="s">
        <v>5670</v>
      </c>
      <c r="F1927" s="3">
        <v>45972.791666666664</v>
      </c>
      <c r="G1927" s="2">
        <v>51321.0</v>
      </c>
      <c r="H1927" s="2">
        <v>51321.0</v>
      </c>
      <c r="I1927" s="2">
        <v>26723.0</v>
      </c>
      <c r="J1927" s="2">
        <v>145.0</v>
      </c>
      <c r="K1927" s="2">
        <v>133.0</v>
      </c>
      <c r="L1927" s="2">
        <v>3.0</v>
      </c>
      <c r="M1927" s="4">
        <v>10234.0</v>
      </c>
      <c r="N1927" s="2" t="s">
        <v>36</v>
      </c>
      <c r="O1927" s="2">
        <v>71.0</v>
      </c>
      <c r="P1927" s="2" t="s">
        <v>189</v>
      </c>
      <c r="Q1927" s="2" t="s">
        <v>1367</v>
      </c>
      <c r="R1927" s="2">
        <v>51.0</v>
      </c>
      <c r="U1927" s="2" t="b">
        <v>0</v>
      </c>
      <c r="V1927" s="5">
        <v>0.005</v>
      </c>
      <c r="W1927" s="5">
        <v>0.0226</v>
      </c>
      <c r="X1927" s="5">
        <v>1.12E-4</v>
      </c>
      <c r="Y1927" s="2">
        <v>76.94736842</v>
      </c>
      <c r="AA1927" s="2" t="s">
        <v>33</v>
      </c>
    </row>
    <row r="1928">
      <c r="A1928" s="2">
        <v>3755.0</v>
      </c>
      <c r="B1928" s="2" t="s">
        <v>5671</v>
      </c>
      <c r="C1928" s="2" t="s">
        <v>7</v>
      </c>
      <c r="D1928" s="2" t="s">
        <v>5672</v>
      </c>
      <c r="E1928" s="2" t="s">
        <v>5673</v>
      </c>
      <c r="F1928" s="3">
        <v>45972.791666666664</v>
      </c>
      <c r="G1928" s="2">
        <v>66632.0</v>
      </c>
      <c r="H1928" s="2">
        <v>66632.0</v>
      </c>
      <c r="I1928" s="2">
        <v>34487.0</v>
      </c>
      <c r="J1928" s="2">
        <v>150.0</v>
      </c>
      <c r="K1928" s="2">
        <v>148.0</v>
      </c>
      <c r="L1928" s="2">
        <v>2.0</v>
      </c>
      <c r="M1928" s="4">
        <v>2598.0</v>
      </c>
      <c r="N1928" s="2" t="s">
        <v>30</v>
      </c>
      <c r="O1928" s="2">
        <v>70.0</v>
      </c>
      <c r="P1928" s="2" t="s">
        <v>189</v>
      </c>
      <c r="Q1928" s="2" t="s">
        <v>1367</v>
      </c>
      <c r="R1928" s="2">
        <v>38.0</v>
      </c>
      <c r="U1928" s="2" t="b">
        <v>0</v>
      </c>
      <c r="V1928" s="5">
        <v>0.0043</v>
      </c>
      <c r="W1928" s="5">
        <v>0.0135</v>
      </c>
      <c r="X1928" s="5">
        <v>5.8E-5</v>
      </c>
      <c r="Y1928" s="2">
        <v>17.55405405</v>
      </c>
      <c r="Z1928" s="2">
        <v>3674.0</v>
      </c>
      <c r="AA1928" s="2" t="s">
        <v>33</v>
      </c>
    </row>
    <row r="1929">
      <c r="A1929" s="2">
        <v>3759.0</v>
      </c>
      <c r="B1929" s="2" t="s">
        <v>5674</v>
      </c>
      <c r="C1929" s="2" t="s">
        <v>7</v>
      </c>
      <c r="D1929" s="2" t="s">
        <v>5675</v>
      </c>
      <c r="E1929" s="2" t="s">
        <v>5676</v>
      </c>
      <c r="F1929" s="3">
        <v>45972.875</v>
      </c>
      <c r="G1929" s="2">
        <v>7203.0</v>
      </c>
      <c r="H1929" s="2">
        <v>7203.0</v>
      </c>
      <c r="I1929" s="2">
        <v>3786.0</v>
      </c>
      <c r="J1929" s="2">
        <v>28.0</v>
      </c>
      <c r="K1929" s="2">
        <v>26.0</v>
      </c>
      <c r="L1929" s="2">
        <v>0.0</v>
      </c>
      <c r="M1929" s="2">
        <v>0.0</v>
      </c>
      <c r="N1929" s="2" t="s">
        <v>423</v>
      </c>
      <c r="O1929" s="2">
        <v>119.0</v>
      </c>
      <c r="P1929" s="2" t="s">
        <v>189</v>
      </c>
      <c r="Q1929" s="2" t="s">
        <v>1367</v>
      </c>
      <c r="R1929" s="2">
        <v>41.0</v>
      </c>
      <c r="T1929" s="2" t="s">
        <v>47</v>
      </c>
      <c r="U1929" s="2" t="b">
        <v>0</v>
      </c>
      <c r="V1929" s="5">
        <v>0.0069</v>
      </c>
      <c r="W1929" s="5">
        <v>0.0</v>
      </c>
      <c r="X1929" s="5">
        <v>0.0</v>
      </c>
      <c r="Y1929" s="2">
        <v>0.0</v>
      </c>
      <c r="AA1929" s="2" t="s">
        <v>423</v>
      </c>
    </row>
    <row r="1930">
      <c r="A1930" s="2">
        <v>3760.0</v>
      </c>
      <c r="B1930" s="2" t="s">
        <v>5677</v>
      </c>
      <c r="C1930" s="2" t="s">
        <v>7</v>
      </c>
      <c r="D1930" s="2" t="s">
        <v>3908</v>
      </c>
      <c r="E1930" s="2" t="s">
        <v>3337</v>
      </c>
      <c r="F1930" s="3">
        <v>45973.467361111114</v>
      </c>
      <c r="G1930" s="2">
        <v>66422.0</v>
      </c>
      <c r="H1930" s="2">
        <v>66422.0</v>
      </c>
      <c r="I1930" s="2">
        <v>54337.0</v>
      </c>
      <c r="J1930" s="2">
        <v>138.0</v>
      </c>
      <c r="K1930" s="2">
        <v>129.0</v>
      </c>
      <c r="L1930" s="2">
        <v>1.0</v>
      </c>
      <c r="M1930" s="4">
        <v>1990.0</v>
      </c>
      <c r="N1930" s="2" t="s">
        <v>30</v>
      </c>
      <c r="O1930" s="2">
        <v>70.0</v>
      </c>
      <c r="P1930" s="2" t="s">
        <v>189</v>
      </c>
      <c r="Q1930" s="2" t="s">
        <v>1367</v>
      </c>
      <c r="R1930" s="2">
        <v>31.0</v>
      </c>
      <c r="T1930" s="2" t="s">
        <v>47</v>
      </c>
      <c r="U1930" s="2" t="b">
        <v>0</v>
      </c>
      <c r="V1930" s="5">
        <v>0.0024</v>
      </c>
      <c r="W1930" s="5">
        <v>0.0078</v>
      </c>
      <c r="X1930" s="5">
        <v>1.8E-5</v>
      </c>
      <c r="Y1930" s="2">
        <v>15.42635659</v>
      </c>
      <c r="AA1930" s="2" t="s">
        <v>33</v>
      </c>
    </row>
    <row r="1931">
      <c r="A1931" s="2">
        <v>3761.0</v>
      </c>
      <c r="B1931" s="2" t="s">
        <v>5678</v>
      </c>
      <c r="C1931" s="2" t="s">
        <v>7</v>
      </c>
      <c r="D1931" s="2" t="s">
        <v>3333</v>
      </c>
      <c r="E1931" s="2" t="s">
        <v>3334</v>
      </c>
      <c r="F1931" s="3">
        <v>45973.46805555555</v>
      </c>
      <c r="G1931" s="2">
        <v>51231.0</v>
      </c>
      <c r="H1931" s="2">
        <v>51231.0</v>
      </c>
      <c r="I1931" s="2">
        <v>41352.0</v>
      </c>
      <c r="J1931" s="2">
        <v>154.0</v>
      </c>
      <c r="K1931" s="2">
        <v>145.0</v>
      </c>
      <c r="L1931" s="2">
        <v>3.0</v>
      </c>
      <c r="M1931" s="4">
        <v>10168.0</v>
      </c>
      <c r="N1931" s="2" t="s">
        <v>36</v>
      </c>
      <c r="O1931" s="2">
        <v>71.0</v>
      </c>
      <c r="P1931" s="2" t="s">
        <v>189</v>
      </c>
      <c r="Q1931" s="2" t="s">
        <v>1367</v>
      </c>
      <c r="R1931" s="2">
        <v>43.0</v>
      </c>
      <c r="T1931" s="2" t="s">
        <v>47</v>
      </c>
      <c r="U1931" s="2" t="b">
        <v>0</v>
      </c>
      <c r="V1931" s="5">
        <v>0.0035</v>
      </c>
      <c r="W1931" s="5">
        <v>0.0207</v>
      </c>
      <c r="X1931" s="5">
        <v>7.3E-5</v>
      </c>
      <c r="Y1931" s="2">
        <v>70.12413793</v>
      </c>
      <c r="AA1931" s="2" t="s">
        <v>33</v>
      </c>
    </row>
    <row r="1932">
      <c r="A1932" s="2">
        <v>3766.0</v>
      </c>
      <c r="B1932" s="2" t="s">
        <v>5679</v>
      </c>
      <c r="C1932" s="2" t="s">
        <v>7</v>
      </c>
      <c r="D1932" s="2" t="s">
        <v>5680</v>
      </c>
      <c r="E1932" s="2" t="s">
        <v>5681</v>
      </c>
      <c r="F1932" s="3">
        <v>45973.583333333336</v>
      </c>
      <c r="G1932" s="2">
        <v>7239.0</v>
      </c>
      <c r="H1932" s="2">
        <v>7239.0</v>
      </c>
      <c r="I1932" s="2">
        <v>5738.0</v>
      </c>
      <c r="J1932" s="2">
        <v>33.0</v>
      </c>
      <c r="K1932" s="2">
        <v>29.0</v>
      </c>
      <c r="L1932" s="2">
        <v>1.0</v>
      </c>
      <c r="M1932" s="4">
        <v>1241.0</v>
      </c>
      <c r="N1932" s="2" t="s">
        <v>423</v>
      </c>
      <c r="O1932" s="2">
        <v>119.0</v>
      </c>
      <c r="P1932" s="2" t="s">
        <v>189</v>
      </c>
      <c r="Q1932" s="2" t="s">
        <v>1367</v>
      </c>
      <c r="R1932" s="2">
        <v>30.0</v>
      </c>
      <c r="U1932" s="2" t="b">
        <v>0</v>
      </c>
      <c r="V1932" s="5">
        <v>0.0051</v>
      </c>
      <c r="W1932" s="5">
        <v>0.0345</v>
      </c>
      <c r="X1932" s="5">
        <v>1.74E-4</v>
      </c>
      <c r="Y1932" s="2">
        <v>42.79310345</v>
      </c>
      <c r="AA1932" s="2" t="s">
        <v>423</v>
      </c>
    </row>
    <row r="1933">
      <c r="A1933" s="2">
        <v>3763.0</v>
      </c>
      <c r="B1933" s="2" t="s">
        <v>5682</v>
      </c>
      <c r="C1933" s="2" t="s">
        <v>7</v>
      </c>
      <c r="D1933" s="2" t="s">
        <v>5683</v>
      </c>
      <c r="E1933" s="2" t="s">
        <v>5684</v>
      </c>
      <c r="F1933" s="3">
        <v>45973.625</v>
      </c>
      <c r="G1933" s="2">
        <v>51259.0</v>
      </c>
      <c r="H1933" s="2">
        <v>51259.0</v>
      </c>
      <c r="I1933" s="2">
        <v>41458.0</v>
      </c>
      <c r="J1933" s="2">
        <v>182.0</v>
      </c>
      <c r="K1933" s="2">
        <v>174.0</v>
      </c>
      <c r="L1933" s="2">
        <v>3.0</v>
      </c>
      <c r="M1933" s="4">
        <v>4840.0</v>
      </c>
      <c r="N1933" s="2" t="s">
        <v>36</v>
      </c>
      <c r="O1933" s="2">
        <v>71.0</v>
      </c>
      <c r="P1933" s="2" t="s">
        <v>189</v>
      </c>
      <c r="Q1933" s="2" t="s">
        <v>1367</v>
      </c>
      <c r="R1933" s="2">
        <v>39.0</v>
      </c>
      <c r="T1933" s="7" t="str">
        <f>IFERROR(__xludf.DUMMYFUNCTION("AI(""has offer Come X Pay X"",D1933)"),"Yes, happy hour specials are mentioned.")</f>
        <v>Yes, happy hour specials are mentioned.</v>
      </c>
      <c r="U1933" s="2" t="b">
        <v>0</v>
      </c>
      <c r="V1933" s="5">
        <v>0.0042</v>
      </c>
      <c r="W1933" s="5">
        <v>0.0172</v>
      </c>
      <c r="X1933" s="5">
        <v>7.2E-5</v>
      </c>
      <c r="Y1933" s="2">
        <v>27.81609195</v>
      </c>
      <c r="AA1933" s="2" t="s">
        <v>33</v>
      </c>
    </row>
    <row r="1934">
      <c r="A1934" s="2">
        <v>3762.0</v>
      </c>
      <c r="B1934" s="2" t="s">
        <v>5685</v>
      </c>
      <c r="C1934" s="2" t="s">
        <v>7</v>
      </c>
      <c r="D1934" s="2" t="s">
        <v>5686</v>
      </c>
      <c r="E1934" s="2" t="s">
        <v>5687</v>
      </c>
      <c r="F1934" s="3">
        <v>45973.625</v>
      </c>
      <c r="G1934" s="2">
        <v>66480.0</v>
      </c>
      <c r="H1934" s="2">
        <v>66480.0</v>
      </c>
      <c r="I1934" s="2">
        <v>54428.0</v>
      </c>
      <c r="J1934" s="2">
        <v>169.0</v>
      </c>
      <c r="K1934" s="2">
        <v>161.0</v>
      </c>
      <c r="L1934" s="2">
        <v>1.0</v>
      </c>
      <c r="M1934" s="2">
        <v>750.0</v>
      </c>
      <c r="N1934" s="2" t="s">
        <v>30</v>
      </c>
      <c r="O1934" s="2">
        <v>70.0</v>
      </c>
      <c r="P1934" s="2" t="s">
        <v>189</v>
      </c>
      <c r="Q1934" s="2" t="s">
        <v>1367</v>
      </c>
      <c r="R1934" s="2">
        <v>37.0</v>
      </c>
      <c r="T1934" s="2" t="s">
        <v>47</v>
      </c>
      <c r="U1934" s="2" t="b">
        <v>0</v>
      </c>
      <c r="V1934" s="5">
        <v>0.003</v>
      </c>
      <c r="W1934" s="5">
        <v>0.0062</v>
      </c>
      <c r="X1934" s="5">
        <v>1.8E-5</v>
      </c>
      <c r="Y1934" s="2">
        <v>4.658385093</v>
      </c>
      <c r="AA1934" s="2" t="s">
        <v>33</v>
      </c>
    </row>
    <row r="1935">
      <c r="A1935" s="2">
        <v>3767.0</v>
      </c>
      <c r="B1935" s="2" t="s">
        <v>5688</v>
      </c>
      <c r="C1935" s="2" t="s">
        <v>7</v>
      </c>
      <c r="D1935" s="2" t="s">
        <v>5689</v>
      </c>
      <c r="E1935" s="2" t="s">
        <v>5690</v>
      </c>
      <c r="F1935" s="3">
        <v>45973.666666666664</v>
      </c>
      <c r="G1935" s="2">
        <v>7241.0</v>
      </c>
      <c r="H1935" s="2">
        <v>7241.0</v>
      </c>
      <c r="I1935" s="2">
        <v>5786.0</v>
      </c>
      <c r="J1935" s="2">
        <v>19.0</v>
      </c>
      <c r="K1935" s="2">
        <v>18.0</v>
      </c>
      <c r="L1935" s="2">
        <v>0.0</v>
      </c>
      <c r="M1935" s="2">
        <v>0.0</v>
      </c>
      <c r="N1935" s="2" t="s">
        <v>423</v>
      </c>
      <c r="O1935" s="2">
        <v>119.0</v>
      </c>
      <c r="P1935" s="2" t="s">
        <v>31</v>
      </c>
      <c r="Q1935" s="2" t="s">
        <v>1367</v>
      </c>
      <c r="R1935" s="2">
        <v>44.0</v>
      </c>
      <c r="U1935" s="2" t="b">
        <v>0</v>
      </c>
      <c r="V1935" s="5">
        <v>0.0031</v>
      </c>
      <c r="W1935" s="5">
        <v>0.0</v>
      </c>
      <c r="X1935" s="5">
        <v>0.0</v>
      </c>
      <c r="Y1935" s="2">
        <v>0.0</v>
      </c>
      <c r="AA1935" s="2" t="s">
        <v>423</v>
      </c>
    </row>
    <row r="1936">
      <c r="A1936" s="2">
        <v>3765.0</v>
      </c>
      <c r="B1936" s="2" t="s">
        <v>5691</v>
      </c>
      <c r="C1936" s="2" t="s">
        <v>7</v>
      </c>
      <c r="D1936" s="2" t="s">
        <v>5692</v>
      </c>
      <c r="E1936" s="2" t="s">
        <v>5693</v>
      </c>
      <c r="F1936" s="3">
        <v>45973.708333333336</v>
      </c>
      <c r="G1936" s="2">
        <v>51286.0</v>
      </c>
      <c r="H1936" s="2">
        <v>51286.0</v>
      </c>
      <c r="I1936" s="2">
        <v>41331.0</v>
      </c>
      <c r="J1936" s="2">
        <v>178.0</v>
      </c>
      <c r="K1936" s="2">
        <v>157.0</v>
      </c>
      <c r="L1936" s="2">
        <v>4.0</v>
      </c>
      <c r="M1936" s="4">
        <v>14090.0</v>
      </c>
      <c r="N1936" s="2" t="s">
        <v>36</v>
      </c>
      <c r="O1936" s="2">
        <v>71.0</v>
      </c>
      <c r="P1936" s="2" t="s">
        <v>31</v>
      </c>
      <c r="Q1936" s="2" t="s">
        <v>1367</v>
      </c>
      <c r="R1936" s="2">
        <v>40.0</v>
      </c>
      <c r="T1936" s="2" t="s">
        <v>2396</v>
      </c>
      <c r="U1936" s="2" t="b">
        <v>1</v>
      </c>
      <c r="V1936" s="5">
        <v>0.0038</v>
      </c>
      <c r="W1936" s="5">
        <v>0.0255</v>
      </c>
      <c r="X1936" s="5">
        <v>9.7E-5</v>
      </c>
      <c r="Y1936" s="2">
        <v>89.74522293</v>
      </c>
      <c r="AA1936" s="2" t="s">
        <v>33</v>
      </c>
    </row>
    <row r="1937">
      <c r="A1937" s="2">
        <v>3764.0</v>
      </c>
      <c r="B1937" s="2" t="s">
        <v>5694</v>
      </c>
      <c r="C1937" s="2" t="s">
        <v>7</v>
      </c>
      <c r="D1937" s="2" t="s">
        <v>5695</v>
      </c>
      <c r="E1937" s="2" t="s">
        <v>5696</v>
      </c>
      <c r="F1937" s="3">
        <v>45973.708333333336</v>
      </c>
      <c r="G1937" s="2">
        <v>66448.0</v>
      </c>
      <c r="H1937" s="2">
        <v>66448.0</v>
      </c>
      <c r="I1937" s="2">
        <v>54281.0</v>
      </c>
      <c r="J1937" s="2">
        <v>229.0</v>
      </c>
      <c r="K1937" s="2">
        <v>201.0</v>
      </c>
      <c r="L1937" s="2">
        <v>5.0</v>
      </c>
      <c r="M1937" s="4">
        <v>20166.0</v>
      </c>
      <c r="N1937" s="2" t="s">
        <v>30</v>
      </c>
      <c r="O1937" s="2">
        <v>70.0</v>
      </c>
      <c r="P1937" s="2" t="s">
        <v>31</v>
      </c>
      <c r="Q1937" s="2" t="s">
        <v>1367</v>
      </c>
      <c r="R1937" s="2">
        <v>50.0</v>
      </c>
      <c r="T1937" s="2" t="s">
        <v>405</v>
      </c>
      <c r="U1937" s="2" t="b">
        <v>0</v>
      </c>
      <c r="V1937" s="5">
        <v>0.0037</v>
      </c>
      <c r="W1937" s="5">
        <v>0.0249</v>
      </c>
      <c r="X1937" s="5">
        <v>9.2E-5</v>
      </c>
      <c r="Y1937" s="2">
        <v>100.3283582</v>
      </c>
      <c r="Z1937" s="2">
        <v>6214.0</v>
      </c>
      <c r="AA1937" s="2" t="s">
        <v>33</v>
      </c>
    </row>
    <row r="1938">
      <c r="A1938" s="2">
        <v>3768.0</v>
      </c>
      <c r="B1938" s="2" t="s">
        <v>5697</v>
      </c>
      <c r="C1938" s="2" t="s">
        <v>7</v>
      </c>
      <c r="D1938" s="2" t="s">
        <v>5698</v>
      </c>
      <c r="E1938" s="2" t="s">
        <v>5699</v>
      </c>
      <c r="F1938" s="3">
        <v>45973.75</v>
      </c>
      <c r="G1938" s="2">
        <v>7239.0</v>
      </c>
      <c r="H1938" s="2">
        <v>7239.0</v>
      </c>
      <c r="I1938" s="2">
        <v>5744.0</v>
      </c>
      <c r="J1938" s="2">
        <v>30.0</v>
      </c>
      <c r="K1938" s="2">
        <v>27.0</v>
      </c>
      <c r="L1938" s="2">
        <v>0.0</v>
      </c>
      <c r="M1938" s="2">
        <v>0.0</v>
      </c>
      <c r="N1938" s="2" t="s">
        <v>423</v>
      </c>
      <c r="O1938" s="2">
        <v>119.0</v>
      </c>
      <c r="P1938" s="2" t="s">
        <v>189</v>
      </c>
      <c r="Q1938" s="2" t="s">
        <v>1367</v>
      </c>
      <c r="R1938" s="2">
        <v>31.0</v>
      </c>
      <c r="U1938" s="2" t="b">
        <v>0</v>
      </c>
      <c r="V1938" s="5">
        <v>0.0047</v>
      </c>
      <c r="W1938" s="5">
        <v>0.0</v>
      </c>
      <c r="X1938" s="5">
        <v>0.0</v>
      </c>
      <c r="Y1938" s="2">
        <v>0.0</v>
      </c>
      <c r="AA1938" s="2" t="s">
        <v>423</v>
      </c>
    </row>
    <row r="1939">
      <c r="A1939" s="2">
        <v>3770.0</v>
      </c>
      <c r="B1939" s="2" t="s">
        <v>5700</v>
      </c>
      <c r="C1939" s="2" t="s">
        <v>7</v>
      </c>
      <c r="D1939" s="2" t="s">
        <v>5701</v>
      </c>
      <c r="E1939" s="2" t="s">
        <v>5702</v>
      </c>
      <c r="F1939" s="3">
        <v>45974.458333333336</v>
      </c>
      <c r="G1939" s="2">
        <v>51285.0</v>
      </c>
      <c r="H1939" s="2">
        <v>51285.0</v>
      </c>
      <c r="I1939" s="2">
        <v>41356.0</v>
      </c>
      <c r="J1939" s="2">
        <v>161.0</v>
      </c>
      <c r="K1939" s="2">
        <v>151.0</v>
      </c>
      <c r="L1939" s="2">
        <v>0.0</v>
      </c>
      <c r="M1939" s="2">
        <v>0.0</v>
      </c>
      <c r="N1939" s="2" t="s">
        <v>36</v>
      </c>
      <c r="O1939" s="2">
        <v>71.0</v>
      </c>
      <c r="P1939" s="2" t="s">
        <v>189</v>
      </c>
      <c r="Q1939" s="2" t="s">
        <v>1367</v>
      </c>
      <c r="R1939" s="2">
        <v>58.0</v>
      </c>
      <c r="T1939" s="2" t="s">
        <v>47</v>
      </c>
      <c r="U1939" s="2" t="b">
        <v>0</v>
      </c>
      <c r="V1939" s="5">
        <v>0.0037</v>
      </c>
      <c r="W1939" s="5">
        <v>0.0</v>
      </c>
      <c r="X1939" s="5">
        <v>0.0</v>
      </c>
      <c r="Y1939" s="2">
        <v>0.0</v>
      </c>
      <c r="AA1939" s="2" t="s">
        <v>33</v>
      </c>
    </row>
    <row r="1940">
      <c r="A1940" s="2">
        <v>3769.0</v>
      </c>
      <c r="B1940" s="2" t="s">
        <v>5703</v>
      </c>
      <c r="C1940" s="2" t="s">
        <v>7</v>
      </c>
      <c r="D1940" s="2" t="s">
        <v>5704</v>
      </c>
      <c r="E1940" s="2" t="s">
        <v>5705</v>
      </c>
      <c r="F1940" s="3">
        <v>45974.458333333336</v>
      </c>
      <c r="G1940" s="2">
        <v>66364.0</v>
      </c>
      <c r="H1940" s="2">
        <v>66364.0</v>
      </c>
      <c r="I1940" s="2">
        <v>54371.0</v>
      </c>
      <c r="J1940" s="2">
        <v>175.0</v>
      </c>
      <c r="K1940" s="2">
        <v>167.0</v>
      </c>
      <c r="L1940" s="2">
        <v>2.0</v>
      </c>
      <c r="M1940" s="4">
        <v>5958.0</v>
      </c>
      <c r="N1940" s="2" t="s">
        <v>30</v>
      </c>
      <c r="O1940" s="2">
        <v>70.0</v>
      </c>
      <c r="P1940" s="2" t="s">
        <v>189</v>
      </c>
      <c r="Q1940" s="2" t="s">
        <v>1367</v>
      </c>
      <c r="R1940" s="2">
        <v>46.0</v>
      </c>
      <c r="U1940" s="2" t="b">
        <v>0</v>
      </c>
      <c r="V1940" s="5">
        <v>0.0031</v>
      </c>
      <c r="W1940" s="5">
        <v>0.012</v>
      </c>
      <c r="X1940" s="5">
        <v>3.7E-5</v>
      </c>
      <c r="Y1940" s="2">
        <v>35.67664671</v>
      </c>
      <c r="AA1940" s="2" t="s">
        <v>33</v>
      </c>
    </row>
    <row r="1941">
      <c r="A1941" s="2">
        <v>3772.0</v>
      </c>
      <c r="B1941" s="2" t="s">
        <v>5706</v>
      </c>
      <c r="C1941" s="2" t="s">
        <v>7</v>
      </c>
      <c r="D1941" s="2" t="s">
        <v>5707</v>
      </c>
      <c r="E1941" s="2" t="s">
        <v>5708</v>
      </c>
      <c r="F1941" s="3">
        <v>45974.625</v>
      </c>
      <c r="G1941" s="2">
        <v>51334.0</v>
      </c>
      <c r="H1941" s="2">
        <v>51334.0</v>
      </c>
      <c r="I1941" s="2">
        <v>41535.0</v>
      </c>
      <c r="J1941" s="2">
        <v>195.0</v>
      </c>
      <c r="K1941" s="2">
        <v>179.0</v>
      </c>
      <c r="L1941" s="2">
        <v>1.0</v>
      </c>
      <c r="M1941" s="4">
        <v>1190.0</v>
      </c>
      <c r="N1941" s="2" t="s">
        <v>36</v>
      </c>
      <c r="O1941" s="2">
        <v>71.0</v>
      </c>
      <c r="P1941" s="2" t="s">
        <v>189</v>
      </c>
      <c r="Q1941" s="2" t="s">
        <v>1367</v>
      </c>
      <c r="R1941" s="2">
        <v>41.0</v>
      </c>
      <c r="T1941" s="2" t="s">
        <v>162</v>
      </c>
      <c r="U1941" s="2" t="b">
        <v>0</v>
      </c>
      <c r="V1941" s="5">
        <v>0.0043</v>
      </c>
      <c r="W1941" s="5">
        <v>0.0056</v>
      </c>
      <c r="X1941" s="5">
        <v>2.4E-5</v>
      </c>
      <c r="Y1941" s="2">
        <v>6.648044693</v>
      </c>
      <c r="AA1941" s="2" t="s">
        <v>33</v>
      </c>
    </row>
    <row r="1942">
      <c r="A1942" s="2">
        <v>3771.0</v>
      </c>
      <c r="B1942" s="2" t="s">
        <v>5709</v>
      </c>
      <c r="C1942" s="2" t="s">
        <v>7</v>
      </c>
      <c r="D1942" s="2" t="s">
        <v>5710</v>
      </c>
      <c r="E1942" s="2" t="s">
        <v>5711</v>
      </c>
      <c r="F1942" s="3">
        <v>45974.625</v>
      </c>
      <c r="G1942" s="2">
        <v>66408.0</v>
      </c>
      <c r="H1942" s="2">
        <v>66408.0</v>
      </c>
      <c r="I1942" s="2">
        <v>54531.0</v>
      </c>
      <c r="J1942" s="2">
        <v>166.0</v>
      </c>
      <c r="K1942" s="2">
        <v>153.0</v>
      </c>
      <c r="L1942" s="2">
        <v>1.0</v>
      </c>
      <c r="M1942" s="4">
        <v>1199.0</v>
      </c>
      <c r="N1942" s="2" t="s">
        <v>30</v>
      </c>
      <c r="O1942" s="2">
        <v>70.0</v>
      </c>
      <c r="P1942" s="2" t="s">
        <v>189</v>
      </c>
      <c r="Q1942" s="2" t="s">
        <v>1367</v>
      </c>
      <c r="R1942" s="2">
        <v>43.0</v>
      </c>
      <c r="T1942" s="7" t="str">
        <f>IFERROR(__xludf.DUMMYFUNCTION("AI(""has offer Come X Pay X"",D1942)"),"has offer Come X Pay X")</f>
        <v>has offer Come X Pay X</v>
      </c>
      <c r="U1942" s="2" t="b">
        <v>0</v>
      </c>
      <c r="V1942" s="5">
        <v>0.0028</v>
      </c>
      <c r="W1942" s="5">
        <v>0.0065</v>
      </c>
      <c r="X1942" s="5">
        <v>1.8E-5</v>
      </c>
      <c r="Y1942" s="2">
        <v>7.836601307</v>
      </c>
      <c r="Z1942" s="2">
        <v>1146.0</v>
      </c>
      <c r="AA1942" s="2" t="s">
        <v>33</v>
      </c>
    </row>
    <row r="1943">
      <c r="A1943" s="2">
        <v>3774.0</v>
      </c>
      <c r="B1943" s="2" t="s">
        <v>5712</v>
      </c>
      <c r="C1943" s="2" t="s">
        <v>7</v>
      </c>
      <c r="D1943" s="2" t="s">
        <v>5713</v>
      </c>
      <c r="E1943" s="2" t="s">
        <v>5714</v>
      </c>
      <c r="F1943" s="3">
        <v>45974.708333333336</v>
      </c>
      <c r="G1943" s="2">
        <v>51346.0</v>
      </c>
      <c r="H1943" s="2">
        <v>51346.0</v>
      </c>
      <c r="I1943" s="2">
        <v>41617.0</v>
      </c>
      <c r="J1943" s="2">
        <v>145.0</v>
      </c>
      <c r="K1943" s="2">
        <v>133.0</v>
      </c>
      <c r="L1943" s="2">
        <v>4.0</v>
      </c>
      <c r="M1943" s="4">
        <v>5857.0</v>
      </c>
      <c r="N1943" s="2" t="s">
        <v>36</v>
      </c>
      <c r="O1943" s="2">
        <v>71.0</v>
      </c>
      <c r="P1943" s="2" t="s">
        <v>189</v>
      </c>
      <c r="Q1943" s="2" t="s">
        <v>1367</v>
      </c>
      <c r="R1943" s="2">
        <v>49.0</v>
      </c>
      <c r="U1943" s="2" t="b">
        <v>0</v>
      </c>
      <c r="V1943" s="5">
        <v>0.0032</v>
      </c>
      <c r="W1943" s="5">
        <v>0.0301</v>
      </c>
      <c r="X1943" s="5">
        <v>9.6E-5</v>
      </c>
      <c r="Y1943" s="2">
        <v>44.03759398</v>
      </c>
      <c r="AA1943" s="2" t="s">
        <v>33</v>
      </c>
    </row>
    <row r="1944">
      <c r="A1944" s="2">
        <v>3773.0</v>
      </c>
      <c r="B1944" s="2" t="s">
        <v>5715</v>
      </c>
      <c r="C1944" s="2" t="s">
        <v>7</v>
      </c>
      <c r="D1944" s="2" t="s">
        <v>5716</v>
      </c>
      <c r="E1944" s="2" t="s">
        <v>5717</v>
      </c>
      <c r="F1944" s="3">
        <v>45974.708333333336</v>
      </c>
      <c r="G1944" s="2">
        <v>66416.0</v>
      </c>
      <c r="H1944" s="2">
        <v>66416.0</v>
      </c>
      <c r="I1944" s="2">
        <v>54497.0</v>
      </c>
      <c r="J1944" s="2">
        <v>221.0</v>
      </c>
      <c r="K1944" s="2">
        <v>202.0</v>
      </c>
      <c r="L1944" s="2">
        <v>1.0</v>
      </c>
      <c r="M1944" s="4">
        <v>1398.0</v>
      </c>
      <c r="N1944" s="2" t="s">
        <v>30</v>
      </c>
      <c r="O1944" s="2">
        <v>70.0</v>
      </c>
      <c r="P1944" s="2" t="s">
        <v>189</v>
      </c>
      <c r="Q1944" s="2" t="s">
        <v>1367</v>
      </c>
      <c r="R1944" s="2">
        <v>50.0</v>
      </c>
      <c r="U1944" s="2" t="b">
        <v>0</v>
      </c>
      <c r="V1944" s="5">
        <v>0.0037</v>
      </c>
      <c r="W1944" s="5">
        <v>0.005</v>
      </c>
      <c r="X1944" s="5">
        <v>1.8E-5</v>
      </c>
      <c r="Y1944" s="2">
        <v>6.920792079</v>
      </c>
      <c r="Z1944" s="2">
        <v>5558.0</v>
      </c>
      <c r="AA1944" s="2" t="s">
        <v>33</v>
      </c>
    </row>
    <row r="1945">
      <c r="A1945" s="2">
        <v>3793.0</v>
      </c>
      <c r="B1945" s="2" t="s">
        <v>5718</v>
      </c>
      <c r="C1945" s="2" t="s">
        <v>7</v>
      </c>
      <c r="D1945" s="2" t="s">
        <v>5719</v>
      </c>
      <c r="E1945" s="2" t="s">
        <v>5720</v>
      </c>
      <c r="F1945" s="3">
        <v>45974.709027777775</v>
      </c>
      <c r="G1945" s="2">
        <v>7284.0</v>
      </c>
      <c r="H1945" s="2">
        <v>7284.0</v>
      </c>
      <c r="I1945" s="2">
        <v>5775.0</v>
      </c>
      <c r="J1945" s="2">
        <v>33.0</v>
      </c>
      <c r="K1945" s="2">
        <v>32.0</v>
      </c>
      <c r="L1945" s="2">
        <v>0.0</v>
      </c>
      <c r="M1945" s="2">
        <v>0.0</v>
      </c>
      <c r="N1945" s="2" t="s">
        <v>423</v>
      </c>
      <c r="O1945" s="2">
        <v>119.0</v>
      </c>
      <c r="P1945" s="2" t="s">
        <v>189</v>
      </c>
      <c r="Q1945" s="2" t="s">
        <v>1367</v>
      </c>
      <c r="R1945" s="2">
        <v>36.0</v>
      </c>
      <c r="T1945" s="2" t="s">
        <v>47</v>
      </c>
      <c r="U1945" s="2" t="b">
        <v>0</v>
      </c>
      <c r="V1945" s="5">
        <v>0.0055</v>
      </c>
      <c r="W1945" s="5">
        <v>0.0</v>
      </c>
      <c r="X1945" s="5">
        <v>0.0</v>
      </c>
      <c r="Y1945" s="2">
        <v>0.0</v>
      </c>
      <c r="AA1945" s="2" t="s">
        <v>423</v>
      </c>
    </row>
    <row r="1946">
      <c r="A1946" s="2">
        <v>3794.0</v>
      </c>
      <c r="B1946" s="2" t="s">
        <v>5721</v>
      </c>
      <c r="C1946" s="2" t="s">
        <v>7</v>
      </c>
      <c r="D1946" s="2" t="s">
        <v>5722</v>
      </c>
      <c r="E1946" s="2" t="s">
        <v>5723</v>
      </c>
      <c r="F1946" s="3">
        <v>45974.791666666664</v>
      </c>
      <c r="G1946" s="2">
        <v>7273.0</v>
      </c>
      <c r="H1946" s="2">
        <v>7273.0</v>
      </c>
      <c r="I1946" s="2">
        <v>5784.0</v>
      </c>
      <c r="J1946" s="2">
        <v>20.0</v>
      </c>
      <c r="K1946" s="2">
        <v>19.0</v>
      </c>
      <c r="L1946" s="2">
        <v>0.0</v>
      </c>
      <c r="M1946" s="2">
        <v>0.0</v>
      </c>
      <c r="N1946" s="2" t="s">
        <v>423</v>
      </c>
      <c r="O1946" s="2">
        <v>119.0</v>
      </c>
      <c r="P1946" s="2" t="s">
        <v>189</v>
      </c>
      <c r="Q1946" s="2" t="s">
        <v>1367</v>
      </c>
      <c r="R1946" s="2">
        <v>39.0</v>
      </c>
      <c r="U1946" s="2" t="b">
        <v>0</v>
      </c>
      <c r="V1946" s="5">
        <v>0.0033</v>
      </c>
      <c r="W1946" s="5">
        <v>0.0</v>
      </c>
      <c r="X1946" s="5">
        <v>0.0</v>
      </c>
      <c r="Y1946" s="2">
        <v>0.0</v>
      </c>
      <c r="AA1946" s="2" t="s">
        <v>423</v>
      </c>
    </row>
    <row r="1947">
      <c r="A1947" s="2">
        <v>3795.0</v>
      </c>
      <c r="B1947" s="2" t="s">
        <v>5724</v>
      </c>
      <c r="C1947" s="2" t="s">
        <v>7</v>
      </c>
      <c r="D1947" s="2" t="s">
        <v>5725</v>
      </c>
      <c r="E1947" s="2" t="s">
        <v>5726</v>
      </c>
      <c r="F1947" s="3">
        <v>45974.875</v>
      </c>
      <c r="G1947" s="2">
        <v>7275.0</v>
      </c>
      <c r="H1947" s="2">
        <v>7275.0</v>
      </c>
      <c r="I1947" s="2">
        <v>5745.0</v>
      </c>
      <c r="J1947" s="2">
        <v>35.0</v>
      </c>
      <c r="K1947" s="2">
        <v>32.0</v>
      </c>
      <c r="L1947" s="2">
        <v>0.0</v>
      </c>
      <c r="M1947" s="2">
        <v>0.0</v>
      </c>
      <c r="N1947" s="2" t="s">
        <v>423</v>
      </c>
      <c r="O1947" s="2">
        <v>119.0</v>
      </c>
      <c r="P1947" s="2" t="s">
        <v>31</v>
      </c>
      <c r="Q1947" s="2" t="s">
        <v>1367</v>
      </c>
      <c r="R1947" s="2">
        <v>38.0</v>
      </c>
      <c r="T1947" s="2" t="s">
        <v>162</v>
      </c>
      <c r="U1947" s="2" t="b">
        <v>0</v>
      </c>
      <c r="V1947" s="5">
        <v>0.0056</v>
      </c>
      <c r="W1947" s="5">
        <v>0.0</v>
      </c>
      <c r="X1947" s="5">
        <v>0.0</v>
      </c>
      <c r="Y1947" s="2">
        <v>0.0</v>
      </c>
      <c r="AA1947" s="2" t="s">
        <v>423</v>
      </c>
    </row>
    <row r="1948">
      <c r="A1948" s="2">
        <v>3776.0</v>
      </c>
      <c r="B1948" s="2" t="s">
        <v>5727</v>
      </c>
      <c r="C1948" s="2" t="s">
        <v>7</v>
      </c>
      <c r="D1948" s="2" t="s">
        <v>5728</v>
      </c>
      <c r="E1948" s="2" t="s">
        <v>5729</v>
      </c>
      <c r="F1948" s="3">
        <v>45975.458333333336</v>
      </c>
      <c r="G1948" s="2">
        <v>51392.0</v>
      </c>
      <c r="H1948" s="2">
        <v>51392.0</v>
      </c>
      <c r="I1948" s="2">
        <v>41466.0</v>
      </c>
      <c r="J1948" s="2">
        <v>141.0</v>
      </c>
      <c r="K1948" s="2">
        <v>128.0</v>
      </c>
      <c r="L1948" s="2">
        <v>2.0</v>
      </c>
      <c r="M1948" s="4">
        <v>3480.0</v>
      </c>
      <c r="N1948" s="2" t="s">
        <v>36</v>
      </c>
      <c r="O1948" s="2">
        <v>71.0</v>
      </c>
      <c r="P1948" s="2" t="s">
        <v>31</v>
      </c>
      <c r="Q1948" s="2" t="s">
        <v>1367</v>
      </c>
      <c r="R1948" s="2">
        <v>51.0</v>
      </c>
      <c r="U1948" s="2" t="b">
        <v>0</v>
      </c>
      <c r="V1948" s="5">
        <v>0.0031</v>
      </c>
      <c r="W1948" s="5">
        <v>0.0156</v>
      </c>
      <c r="X1948" s="5">
        <v>4.8E-5</v>
      </c>
      <c r="Y1948" s="2">
        <v>27.1875</v>
      </c>
      <c r="AA1948" s="2" t="s">
        <v>33</v>
      </c>
    </row>
    <row r="1949">
      <c r="A1949" s="2">
        <v>3775.0</v>
      </c>
      <c r="B1949" s="2" t="s">
        <v>5730</v>
      </c>
      <c r="C1949" s="2" t="s">
        <v>7</v>
      </c>
      <c r="D1949" s="2" t="s">
        <v>5731</v>
      </c>
      <c r="E1949" s="2" t="s">
        <v>5732</v>
      </c>
      <c r="F1949" s="3">
        <v>45975.458333333336</v>
      </c>
      <c r="G1949" s="2">
        <v>66448.0</v>
      </c>
      <c r="H1949" s="2">
        <v>66448.0</v>
      </c>
      <c r="I1949" s="2">
        <v>54326.0</v>
      </c>
      <c r="J1949" s="2">
        <v>218.0</v>
      </c>
      <c r="K1949" s="2">
        <v>204.0</v>
      </c>
      <c r="L1949" s="2">
        <v>3.0</v>
      </c>
      <c r="M1949" s="4">
        <v>8878.0</v>
      </c>
      <c r="N1949" s="2" t="s">
        <v>30</v>
      </c>
      <c r="O1949" s="2">
        <v>70.0</v>
      </c>
      <c r="P1949" s="2" t="s">
        <v>189</v>
      </c>
      <c r="Q1949" s="2" t="s">
        <v>1367</v>
      </c>
      <c r="R1949" s="2">
        <v>46.0</v>
      </c>
      <c r="U1949" s="2" t="b">
        <v>0</v>
      </c>
      <c r="V1949" s="5">
        <v>0.0038</v>
      </c>
      <c r="W1949" s="5">
        <v>0.0147</v>
      </c>
      <c r="X1949" s="5">
        <v>5.5E-5</v>
      </c>
      <c r="Y1949" s="2">
        <v>43.51960784</v>
      </c>
      <c r="Z1949" s="2">
        <v>843.0</v>
      </c>
      <c r="AA1949" s="2" t="s">
        <v>33</v>
      </c>
    </row>
    <row r="1950">
      <c r="A1950" s="2">
        <v>3796.0</v>
      </c>
      <c r="B1950" s="2" t="s">
        <v>5733</v>
      </c>
      <c r="C1950" s="2" t="s">
        <v>7</v>
      </c>
      <c r="D1950" s="2" t="s">
        <v>5734</v>
      </c>
      <c r="E1950" s="2" t="s">
        <v>5735</v>
      </c>
      <c r="F1950" s="3">
        <v>45975.583333333336</v>
      </c>
      <c r="G1950" s="2">
        <v>7288.0</v>
      </c>
      <c r="H1950" s="2">
        <v>7288.0</v>
      </c>
      <c r="I1950" s="2">
        <v>5751.0</v>
      </c>
      <c r="J1950" s="2">
        <v>24.0</v>
      </c>
      <c r="K1950" s="2">
        <v>23.0</v>
      </c>
      <c r="L1950" s="2">
        <v>1.0</v>
      </c>
      <c r="M1950" s="2">
        <v>95.0</v>
      </c>
      <c r="N1950" s="2" t="s">
        <v>423</v>
      </c>
      <c r="O1950" s="2">
        <v>119.0</v>
      </c>
      <c r="P1950" s="2" t="s">
        <v>189</v>
      </c>
      <c r="Q1950" s="2" t="s">
        <v>1367</v>
      </c>
      <c r="R1950" s="2">
        <v>41.0</v>
      </c>
      <c r="U1950" s="2" t="b">
        <v>0</v>
      </c>
      <c r="V1950" s="5">
        <v>0.004</v>
      </c>
      <c r="W1950" s="5">
        <v>0.0435</v>
      </c>
      <c r="X1950" s="5">
        <v>1.74E-4</v>
      </c>
      <c r="Y1950" s="2">
        <v>4.130434783</v>
      </c>
      <c r="AA1950" s="2" t="s">
        <v>423</v>
      </c>
    </row>
    <row r="1951">
      <c r="A1951" s="2">
        <v>3778.0</v>
      </c>
      <c r="B1951" s="2" t="s">
        <v>5736</v>
      </c>
      <c r="C1951" s="2" t="s">
        <v>7</v>
      </c>
      <c r="D1951" s="2" t="s">
        <v>5737</v>
      </c>
      <c r="E1951" s="2" t="s">
        <v>5738</v>
      </c>
      <c r="F1951" s="3">
        <v>45975.625</v>
      </c>
      <c r="G1951" s="2">
        <v>51373.0</v>
      </c>
      <c r="H1951" s="2">
        <v>51373.0</v>
      </c>
      <c r="I1951" s="2">
        <v>41655.0</v>
      </c>
      <c r="J1951" s="2">
        <v>130.0</v>
      </c>
      <c r="K1951" s="2">
        <v>122.0</v>
      </c>
      <c r="L1951" s="2">
        <v>2.0</v>
      </c>
      <c r="M1951" s="4">
        <v>3420.0</v>
      </c>
      <c r="N1951" s="2" t="s">
        <v>36</v>
      </c>
      <c r="O1951" s="2">
        <v>71.0</v>
      </c>
      <c r="P1951" s="2" t="s">
        <v>31</v>
      </c>
      <c r="Q1951" s="2" t="s">
        <v>1367</v>
      </c>
      <c r="R1951" s="2">
        <v>40.0</v>
      </c>
      <c r="U1951" s="2" t="b">
        <v>0</v>
      </c>
      <c r="V1951" s="5">
        <v>0.0029</v>
      </c>
      <c r="W1951" s="5">
        <v>0.0164</v>
      </c>
      <c r="X1951" s="5">
        <v>4.8E-5</v>
      </c>
      <c r="Y1951" s="2">
        <v>28.03278689</v>
      </c>
      <c r="AA1951" s="2" t="s">
        <v>33</v>
      </c>
    </row>
    <row r="1952">
      <c r="A1952" s="2">
        <v>3777.0</v>
      </c>
      <c r="B1952" s="2" t="s">
        <v>5739</v>
      </c>
      <c r="C1952" s="2" t="s">
        <v>7</v>
      </c>
      <c r="D1952" s="2" t="s">
        <v>5740</v>
      </c>
      <c r="E1952" s="2" t="s">
        <v>5741</v>
      </c>
      <c r="F1952" s="3">
        <v>45975.625</v>
      </c>
      <c r="G1952" s="2">
        <v>66395.0</v>
      </c>
      <c r="H1952" s="2">
        <v>66395.0</v>
      </c>
      <c r="I1952" s="2">
        <v>54421.0</v>
      </c>
      <c r="J1952" s="2">
        <v>142.0</v>
      </c>
      <c r="K1952" s="2">
        <v>134.0</v>
      </c>
      <c r="L1952" s="2">
        <v>0.0</v>
      </c>
      <c r="M1952" s="2">
        <v>0.0</v>
      </c>
      <c r="N1952" s="2" t="s">
        <v>30</v>
      </c>
      <c r="O1952" s="2">
        <v>70.0</v>
      </c>
      <c r="P1952" s="2" t="s">
        <v>189</v>
      </c>
      <c r="Q1952" s="2" t="s">
        <v>1367</v>
      </c>
      <c r="R1952" s="2">
        <v>42.0</v>
      </c>
      <c r="U1952" s="2" t="b">
        <v>0</v>
      </c>
      <c r="V1952" s="5">
        <v>0.0025</v>
      </c>
      <c r="W1952" s="5">
        <v>0.0</v>
      </c>
      <c r="X1952" s="5">
        <v>0.0</v>
      </c>
      <c r="Y1952" s="2">
        <v>0.0</v>
      </c>
      <c r="Z1952" s="2">
        <v>2015.0</v>
      </c>
      <c r="AA1952" s="2" t="s">
        <v>33</v>
      </c>
    </row>
    <row r="1953">
      <c r="A1953" s="2">
        <v>3797.0</v>
      </c>
      <c r="B1953" s="2" t="s">
        <v>5742</v>
      </c>
      <c r="C1953" s="2" t="s">
        <v>7</v>
      </c>
      <c r="D1953" s="2" t="s">
        <v>5743</v>
      </c>
      <c r="E1953" s="2" t="s">
        <v>5744</v>
      </c>
      <c r="F1953" s="3">
        <v>45975.666666666664</v>
      </c>
      <c r="G1953" s="2">
        <v>7295.0</v>
      </c>
      <c r="H1953" s="2">
        <v>7295.0</v>
      </c>
      <c r="I1953" s="2">
        <v>5767.0</v>
      </c>
      <c r="J1953" s="2">
        <v>26.0</v>
      </c>
      <c r="K1953" s="2">
        <v>25.0</v>
      </c>
      <c r="L1953" s="2">
        <v>0.0</v>
      </c>
      <c r="M1953" s="2">
        <v>0.0</v>
      </c>
      <c r="N1953" s="2" t="s">
        <v>423</v>
      </c>
      <c r="O1953" s="2">
        <v>119.0</v>
      </c>
      <c r="P1953" s="2" t="s">
        <v>31</v>
      </c>
      <c r="Q1953" s="2" t="s">
        <v>1367</v>
      </c>
      <c r="R1953" s="2">
        <v>43.0</v>
      </c>
      <c r="U1953" s="2" t="b">
        <v>0</v>
      </c>
      <c r="V1953" s="5">
        <v>0.0043</v>
      </c>
      <c r="W1953" s="5">
        <v>0.0</v>
      </c>
      <c r="X1953" s="5">
        <v>0.0</v>
      </c>
      <c r="Y1953" s="2">
        <v>0.0</v>
      </c>
      <c r="AA1953" s="2" t="s">
        <v>423</v>
      </c>
    </row>
    <row r="1954">
      <c r="A1954" s="2">
        <v>3780.0</v>
      </c>
      <c r="B1954" s="2" t="s">
        <v>5745</v>
      </c>
      <c r="C1954" s="2" t="s">
        <v>7</v>
      </c>
      <c r="D1954" s="2" t="s">
        <v>5746</v>
      </c>
      <c r="E1954" s="2" t="s">
        <v>5747</v>
      </c>
      <c r="F1954" s="3">
        <v>45975.708333333336</v>
      </c>
      <c r="G1954" s="2">
        <v>51320.0</v>
      </c>
      <c r="H1954" s="2">
        <v>51320.0</v>
      </c>
      <c r="I1954" s="2">
        <v>41727.0</v>
      </c>
      <c r="J1954" s="2">
        <v>150.0</v>
      </c>
      <c r="K1954" s="2">
        <v>140.0</v>
      </c>
      <c r="L1954" s="2">
        <v>1.0</v>
      </c>
      <c r="M1954" s="2">
        <v>998.0</v>
      </c>
      <c r="N1954" s="2" t="s">
        <v>36</v>
      </c>
      <c r="O1954" s="2">
        <v>71.0</v>
      </c>
      <c r="P1954" s="2" t="s">
        <v>189</v>
      </c>
      <c r="Q1954" s="2" t="s">
        <v>1367</v>
      </c>
      <c r="R1954" s="2">
        <v>43.0</v>
      </c>
      <c r="U1954" s="2" t="b">
        <v>0</v>
      </c>
      <c r="V1954" s="5">
        <v>0.0034</v>
      </c>
      <c r="W1954" s="5">
        <v>0.0071</v>
      </c>
      <c r="X1954" s="5">
        <v>2.4E-5</v>
      </c>
      <c r="Y1954" s="2">
        <v>7.128571429</v>
      </c>
      <c r="AA1954" s="2" t="s">
        <v>33</v>
      </c>
    </row>
    <row r="1955">
      <c r="A1955" s="2">
        <v>3779.0</v>
      </c>
      <c r="B1955" s="2" t="s">
        <v>5748</v>
      </c>
      <c r="C1955" s="2" t="s">
        <v>7</v>
      </c>
      <c r="D1955" s="2" t="s">
        <v>5749</v>
      </c>
      <c r="E1955" s="2" t="s">
        <v>5750</v>
      </c>
      <c r="F1955" s="3">
        <v>45975.708333333336</v>
      </c>
      <c r="G1955" s="2">
        <v>66341.0</v>
      </c>
      <c r="H1955" s="2">
        <v>66341.0</v>
      </c>
      <c r="I1955" s="2">
        <v>54481.0</v>
      </c>
      <c r="J1955" s="2">
        <v>151.0</v>
      </c>
      <c r="K1955" s="2">
        <v>147.0</v>
      </c>
      <c r="L1955" s="2">
        <v>4.0</v>
      </c>
      <c r="M1955" s="4">
        <v>24661.0</v>
      </c>
      <c r="N1955" s="2" t="s">
        <v>30</v>
      </c>
      <c r="O1955" s="2">
        <v>70.0</v>
      </c>
      <c r="P1955" s="2" t="s">
        <v>31</v>
      </c>
      <c r="Q1955" s="2" t="s">
        <v>1367</v>
      </c>
      <c r="R1955" s="2">
        <v>46.0</v>
      </c>
      <c r="U1955" s="2" t="b">
        <v>0</v>
      </c>
      <c r="V1955" s="5">
        <v>0.0027</v>
      </c>
      <c r="W1955" s="5">
        <v>0.0272</v>
      </c>
      <c r="X1955" s="5">
        <v>7.3E-5</v>
      </c>
      <c r="Y1955" s="2">
        <v>167.7619048</v>
      </c>
      <c r="Z1955" s="2">
        <v>1656.0</v>
      </c>
      <c r="AA1955" s="2" t="s">
        <v>33</v>
      </c>
    </row>
    <row r="1956">
      <c r="A1956" s="2">
        <v>3798.0</v>
      </c>
      <c r="B1956" s="2" t="s">
        <v>5751</v>
      </c>
      <c r="C1956" s="2" t="s">
        <v>7</v>
      </c>
      <c r="D1956" s="2" t="s">
        <v>5752</v>
      </c>
      <c r="E1956" s="2" t="s">
        <v>5753</v>
      </c>
      <c r="F1956" s="3">
        <v>45975.75</v>
      </c>
      <c r="G1956" s="2">
        <v>7294.0</v>
      </c>
      <c r="H1956" s="2">
        <v>7294.0</v>
      </c>
      <c r="I1956" s="2">
        <v>5760.0</v>
      </c>
      <c r="J1956" s="2">
        <v>43.0</v>
      </c>
      <c r="K1956" s="2">
        <v>41.0</v>
      </c>
      <c r="L1956" s="2">
        <v>1.0</v>
      </c>
      <c r="M1956" s="2">
        <v>99.0</v>
      </c>
      <c r="N1956" s="2" t="s">
        <v>423</v>
      </c>
      <c r="O1956" s="2">
        <v>119.0</v>
      </c>
      <c r="P1956" s="2" t="s">
        <v>31</v>
      </c>
      <c r="Q1956" s="2" t="s">
        <v>1367</v>
      </c>
      <c r="R1956" s="2">
        <v>32.0</v>
      </c>
      <c r="U1956" s="2" t="b">
        <v>0</v>
      </c>
      <c r="V1956" s="5">
        <v>0.0071</v>
      </c>
      <c r="W1956" s="5">
        <v>0.0244</v>
      </c>
      <c r="X1956" s="5">
        <v>1.74E-4</v>
      </c>
      <c r="Y1956" s="2">
        <v>2.414634146</v>
      </c>
      <c r="AA1956" s="2" t="s">
        <v>423</v>
      </c>
    </row>
    <row r="1957">
      <c r="A1957" s="2">
        <v>3782.0</v>
      </c>
      <c r="B1957" s="2" t="s">
        <v>5754</v>
      </c>
      <c r="C1957" s="2" t="s">
        <v>7</v>
      </c>
      <c r="D1957" s="2" t="s">
        <v>5755</v>
      </c>
      <c r="E1957" s="2" t="s">
        <v>5756</v>
      </c>
      <c r="F1957" s="3">
        <v>45976.458333333336</v>
      </c>
      <c r="G1957" s="2">
        <v>51452.0</v>
      </c>
      <c r="H1957" s="2">
        <v>51452.0</v>
      </c>
      <c r="I1957" s="2">
        <v>41467.0</v>
      </c>
      <c r="J1957" s="2">
        <v>157.0</v>
      </c>
      <c r="K1957" s="2">
        <v>147.0</v>
      </c>
      <c r="L1957" s="2">
        <v>1.0</v>
      </c>
      <c r="M1957" s="4">
        <v>4790.0</v>
      </c>
      <c r="N1957" s="2" t="s">
        <v>36</v>
      </c>
      <c r="O1957" s="2">
        <v>71.0</v>
      </c>
      <c r="P1957" s="2" t="s">
        <v>189</v>
      </c>
      <c r="Q1957" s="2" t="s">
        <v>1367</v>
      </c>
      <c r="R1957" s="2">
        <v>35.0</v>
      </c>
      <c r="U1957" s="2" t="b">
        <v>0</v>
      </c>
      <c r="V1957" s="5">
        <v>0.0035</v>
      </c>
      <c r="W1957" s="5">
        <v>0.0068</v>
      </c>
      <c r="X1957" s="5">
        <v>2.4E-5</v>
      </c>
      <c r="Y1957" s="2">
        <v>32.58503401</v>
      </c>
      <c r="AA1957" s="2" t="s">
        <v>33</v>
      </c>
    </row>
    <row r="1958">
      <c r="A1958" s="2">
        <v>3781.0</v>
      </c>
      <c r="B1958" s="2" t="s">
        <v>5757</v>
      </c>
      <c r="C1958" s="2" t="s">
        <v>7</v>
      </c>
      <c r="D1958" s="2" t="s">
        <v>5758</v>
      </c>
      <c r="E1958" s="2" t="s">
        <v>5759</v>
      </c>
      <c r="F1958" s="3">
        <v>45976.458333333336</v>
      </c>
      <c r="G1958" s="2">
        <v>66353.0</v>
      </c>
      <c r="H1958" s="2">
        <v>66353.0</v>
      </c>
      <c r="I1958" s="2">
        <v>54117.0</v>
      </c>
      <c r="J1958" s="2">
        <v>149.0</v>
      </c>
      <c r="K1958" s="2">
        <v>138.0</v>
      </c>
      <c r="L1958" s="2">
        <v>1.0</v>
      </c>
      <c r="M1958" s="4">
        <v>1780.0</v>
      </c>
      <c r="N1958" s="2" t="s">
        <v>30</v>
      </c>
      <c r="O1958" s="2">
        <v>70.0</v>
      </c>
      <c r="P1958" s="2" t="s">
        <v>189</v>
      </c>
      <c r="Q1958" s="2" t="s">
        <v>1367</v>
      </c>
      <c r="R1958" s="2">
        <v>47.0</v>
      </c>
      <c r="U1958" s="2" t="b">
        <v>0</v>
      </c>
      <c r="V1958" s="5">
        <v>0.0026</v>
      </c>
      <c r="W1958" s="5">
        <v>0.0072</v>
      </c>
      <c r="X1958" s="5">
        <v>1.8E-5</v>
      </c>
      <c r="Y1958" s="2">
        <v>12.89855072</v>
      </c>
      <c r="AA1958" s="2" t="s">
        <v>33</v>
      </c>
    </row>
    <row r="1959">
      <c r="A1959" s="2">
        <v>3799.0</v>
      </c>
      <c r="B1959" s="2" t="s">
        <v>5760</v>
      </c>
      <c r="C1959" s="2" t="s">
        <v>7</v>
      </c>
      <c r="D1959" s="2" t="s">
        <v>5761</v>
      </c>
      <c r="E1959" s="2" t="s">
        <v>5762</v>
      </c>
      <c r="F1959" s="3">
        <v>45976.583333333336</v>
      </c>
      <c r="G1959" s="2">
        <v>7319.0</v>
      </c>
      <c r="H1959" s="2">
        <v>7319.0</v>
      </c>
      <c r="I1959" s="2">
        <v>5776.0</v>
      </c>
      <c r="J1959" s="2">
        <v>27.0</v>
      </c>
      <c r="K1959" s="2">
        <v>25.0</v>
      </c>
      <c r="L1959" s="2">
        <v>2.0</v>
      </c>
      <c r="M1959" s="4">
        <v>3658.0</v>
      </c>
      <c r="N1959" s="2" t="s">
        <v>423</v>
      </c>
      <c r="O1959" s="2">
        <v>119.0</v>
      </c>
      <c r="P1959" s="2" t="s">
        <v>31</v>
      </c>
      <c r="Q1959" s="2" t="s">
        <v>1367</v>
      </c>
      <c r="R1959" s="2">
        <v>38.0</v>
      </c>
      <c r="U1959" s="2" t="b">
        <v>0</v>
      </c>
      <c r="V1959" s="5">
        <v>0.0043</v>
      </c>
      <c r="W1959" s="5">
        <v>0.08</v>
      </c>
      <c r="X1959" s="5">
        <v>3.46E-4</v>
      </c>
      <c r="Y1959" s="2">
        <v>146.32</v>
      </c>
      <c r="AA1959" s="2" t="s">
        <v>423</v>
      </c>
    </row>
    <row r="1960">
      <c r="A1960" s="2">
        <v>3784.0</v>
      </c>
      <c r="B1960" s="2" t="s">
        <v>5763</v>
      </c>
      <c r="C1960" s="2" t="s">
        <v>7</v>
      </c>
      <c r="D1960" s="2" t="s">
        <v>5764</v>
      </c>
      <c r="E1960" s="2" t="s">
        <v>5765</v>
      </c>
      <c r="F1960" s="3">
        <v>45976.625</v>
      </c>
      <c r="G1960" s="2">
        <v>51502.0</v>
      </c>
      <c r="H1960" s="2">
        <v>51502.0</v>
      </c>
      <c r="I1960" s="2">
        <v>41743.0</v>
      </c>
      <c r="J1960" s="2">
        <v>160.0</v>
      </c>
      <c r="K1960" s="2">
        <v>154.0</v>
      </c>
      <c r="L1960" s="2">
        <v>4.0</v>
      </c>
      <c r="M1960" s="4">
        <v>29584.0</v>
      </c>
      <c r="N1960" s="2" t="s">
        <v>36</v>
      </c>
      <c r="O1960" s="2">
        <v>71.0</v>
      </c>
      <c r="P1960" s="2" t="s">
        <v>189</v>
      </c>
      <c r="Q1960" s="2" t="s">
        <v>1367</v>
      </c>
      <c r="R1960" s="2">
        <v>33.0</v>
      </c>
      <c r="U1960" s="2" t="b">
        <v>0</v>
      </c>
      <c r="V1960" s="5">
        <v>0.0037</v>
      </c>
      <c r="W1960" s="5">
        <v>0.026</v>
      </c>
      <c r="X1960" s="5">
        <v>9.6E-5</v>
      </c>
      <c r="Y1960" s="2">
        <v>192.1038961</v>
      </c>
      <c r="AA1960" s="2" t="s">
        <v>33</v>
      </c>
    </row>
    <row r="1961">
      <c r="A1961" s="2">
        <v>3783.0</v>
      </c>
      <c r="B1961" s="2" t="s">
        <v>5766</v>
      </c>
      <c r="C1961" s="2" t="s">
        <v>7</v>
      </c>
      <c r="D1961" s="2" t="s">
        <v>5767</v>
      </c>
      <c r="E1961" s="2" t="s">
        <v>5768</v>
      </c>
      <c r="F1961" s="3">
        <v>45976.625</v>
      </c>
      <c r="G1961" s="2">
        <v>66387.0</v>
      </c>
      <c r="H1961" s="2">
        <v>66387.0</v>
      </c>
      <c r="I1961" s="2">
        <v>54394.0</v>
      </c>
      <c r="J1961" s="2">
        <v>164.0</v>
      </c>
      <c r="K1961" s="2">
        <v>159.0</v>
      </c>
      <c r="L1961" s="2">
        <v>2.0</v>
      </c>
      <c r="M1961" s="4">
        <v>5350.0</v>
      </c>
      <c r="N1961" s="2" t="s">
        <v>30</v>
      </c>
      <c r="O1961" s="2">
        <v>70.0</v>
      </c>
      <c r="P1961" s="2" t="s">
        <v>31</v>
      </c>
      <c r="Q1961" s="2" t="s">
        <v>1367</v>
      </c>
      <c r="R1961" s="2">
        <v>29.0</v>
      </c>
      <c r="U1961" s="2" t="b">
        <v>0</v>
      </c>
      <c r="V1961" s="5">
        <v>0.0029</v>
      </c>
      <c r="W1961" s="5">
        <v>0.0126</v>
      </c>
      <c r="X1961" s="5">
        <v>3.7E-5</v>
      </c>
      <c r="Y1961" s="2">
        <v>33.64779874</v>
      </c>
      <c r="Z1961" s="2">
        <v>1579.0</v>
      </c>
      <c r="AA1961" s="2" t="s">
        <v>33</v>
      </c>
    </row>
    <row r="1962">
      <c r="A1962" s="2">
        <v>3800.0</v>
      </c>
      <c r="B1962" s="2" t="s">
        <v>5769</v>
      </c>
      <c r="C1962" s="2" t="s">
        <v>7</v>
      </c>
      <c r="D1962" s="2" t="s">
        <v>5770</v>
      </c>
      <c r="E1962" s="2" t="s">
        <v>5771</v>
      </c>
      <c r="F1962" s="3">
        <v>45976.666666666664</v>
      </c>
      <c r="G1962" s="2">
        <v>7298.0</v>
      </c>
      <c r="H1962" s="2">
        <v>7298.0</v>
      </c>
      <c r="I1962" s="2">
        <v>5773.0</v>
      </c>
      <c r="J1962" s="2">
        <v>28.0</v>
      </c>
      <c r="K1962" s="2">
        <v>28.0</v>
      </c>
      <c r="L1962" s="2">
        <v>0.0</v>
      </c>
      <c r="M1962" s="2">
        <v>0.0</v>
      </c>
      <c r="N1962" s="2" t="s">
        <v>423</v>
      </c>
      <c r="O1962" s="2">
        <v>119.0</v>
      </c>
      <c r="P1962" s="2" t="s">
        <v>189</v>
      </c>
      <c r="Q1962" s="2" t="s">
        <v>1367</v>
      </c>
      <c r="R1962" s="2">
        <v>51.0</v>
      </c>
      <c r="U1962" s="2" t="b">
        <v>0</v>
      </c>
      <c r="V1962" s="5">
        <v>0.0049</v>
      </c>
      <c r="W1962" s="5">
        <v>0.0</v>
      </c>
      <c r="X1962" s="5">
        <v>0.0</v>
      </c>
      <c r="Y1962" s="2">
        <v>0.0</v>
      </c>
      <c r="AA1962" s="2" t="s">
        <v>423</v>
      </c>
    </row>
    <row r="1963">
      <c r="A1963" s="2">
        <v>3786.0</v>
      </c>
      <c r="B1963" s="2" t="s">
        <v>5772</v>
      </c>
      <c r="C1963" s="2" t="s">
        <v>7</v>
      </c>
      <c r="D1963" s="2" t="s">
        <v>5773</v>
      </c>
      <c r="E1963" s="2" t="s">
        <v>5774</v>
      </c>
      <c r="F1963" s="3">
        <v>45976.708333333336</v>
      </c>
      <c r="G1963" s="2">
        <v>51479.0</v>
      </c>
      <c r="H1963" s="2">
        <v>51479.0</v>
      </c>
      <c r="I1963" s="2">
        <v>41701.0</v>
      </c>
      <c r="J1963" s="2">
        <v>167.0</v>
      </c>
      <c r="K1963" s="2">
        <v>159.0</v>
      </c>
      <c r="L1963" s="2">
        <v>3.0</v>
      </c>
      <c r="M1963" s="4">
        <v>10822.0</v>
      </c>
      <c r="N1963" s="2" t="s">
        <v>36</v>
      </c>
      <c r="O1963" s="2">
        <v>71.0</v>
      </c>
      <c r="P1963" s="2" t="s">
        <v>31</v>
      </c>
      <c r="Q1963" s="2" t="s">
        <v>1367</v>
      </c>
      <c r="R1963" s="2">
        <v>36.0</v>
      </c>
      <c r="U1963" s="2" t="b">
        <v>1</v>
      </c>
      <c r="V1963" s="5">
        <v>0.0038</v>
      </c>
      <c r="W1963" s="5">
        <v>0.0189</v>
      </c>
      <c r="X1963" s="5">
        <v>7.2E-5</v>
      </c>
      <c r="Y1963" s="2">
        <v>68.06289308</v>
      </c>
      <c r="AA1963" s="2" t="s">
        <v>33</v>
      </c>
    </row>
    <row r="1964">
      <c r="A1964" s="2">
        <v>3785.0</v>
      </c>
      <c r="B1964" s="2" t="s">
        <v>5775</v>
      </c>
      <c r="C1964" s="2" t="s">
        <v>7</v>
      </c>
      <c r="D1964" s="2" t="s">
        <v>5776</v>
      </c>
      <c r="E1964" s="2" t="s">
        <v>5777</v>
      </c>
      <c r="F1964" s="3">
        <v>45976.708333333336</v>
      </c>
      <c r="G1964" s="2">
        <v>66347.0</v>
      </c>
      <c r="H1964" s="2">
        <v>66347.0</v>
      </c>
      <c r="I1964" s="2">
        <v>54374.0</v>
      </c>
      <c r="J1964" s="2">
        <v>190.0</v>
      </c>
      <c r="K1964" s="2">
        <v>177.0</v>
      </c>
      <c r="L1964" s="2">
        <v>3.0</v>
      </c>
      <c r="M1964" s="4">
        <v>18227.0</v>
      </c>
      <c r="N1964" s="2" t="s">
        <v>30</v>
      </c>
      <c r="O1964" s="2">
        <v>70.0</v>
      </c>
      <c r="P1964" s="2" t="s">
        <v>31</v>
      </c>
      <c r="Q1964" s="2" t="s">
        <v>1367</v>
      </c>
      <c r="R1964" s="2">
        <v>33.0</v>
      </c>
      <c r="U1964" s="2" t="b">
        <v>0</v>
      </c>
      <c r="V1964" s="5">
        <v>0.0033</v>
      </c>
      <c r="W1964" s="5">
        <v>0.0169</v>
      </c>
      <c r="X1964" s="5">
        <v>5.5E-5</v>
      </c>
      <c r="Y1964" s="2">
        <v>102.9774011</v>
      </c>
      <c r="AA1964" s="2" t="s">
        <v>33</v>
      </c>
    </row>
    <row r="1965">
      <c r="A1965" s="2">
        <v>3801.0</v>
      </c>
      <c r="B1965" s="2" t="s">
        <v>5778</v>
      </c>
      <c r="C1965" s="2" t="s">
        <v>7</v>
      </c>
      <c r="D1965" s="2" t="s">
        <v>5779</v>
      </c>
      <c r="E1965" s="2" t="s">
        <v>5780</v>
      </c>
      <c r="F1965" s="3">
        <v>45976.75</v>
      </c>
      <c r="G1965" s="2">
        <v>7296.0</v>
      </c>
      <c r="H1965" s="2">
        <v>7296.0</v>
      </c>
      <c r="I1965" s="2">
        <v>5756.0</v>
      </c>
      <c r="J1965" s="2">
        <v>33.0</v>
      </c>
      <c r="K1965" s="2">
        <v>31.0</v>
      </c>
      <c r="L1965" s="2">
        <v>1.0</v>
      </c>
      <c r="M1965" s="2">
        <v>159.0</v>
      </c>
      <c r="N1965" s="2" t="s">
        <v>423</v>
      </c>
      <c r="O1965" s="2">
        <v>119.0</v>
      </c>
      <c r="P1965" s="2" t="s">
        <v>31</v>
      </c>
      <c r="Q1965" s="2" t="s">
        <v>1367</v>
      </c>
      <c r="R1965" s="2">
        <v>40.0</v>
      </c>
      <c r="U1965" s="2" t="b">
        <v>0</v>
      </c>
      <c r="V1965" s="5">
        <v>0.0054</v>
      </c>
      <c r="W1965" s="5">
        <v>0.0323</v>
      </c>
      <c r="X1965" s="5">
        <v>1.74E-4</v>
      </c>
      <c r="Y1965" s="2">
        <v>5.129032258</v>
      </c>
      <c r="AA1965" s="2" t="s">
        <v>423</v>
      </c>
    </row>
    <row r="1966">
      <c r="A1966" s="2">
        <v>3788.0</v>
      </c>
      <c r="B1966" s="2" t="s">
        <v>5781</v>
      </c>
      <c r="C1966" s="2" t="s">
        <v>4871</v>
      </c>
      <c r="D1966" s="2" t="s">
        <v>5055</v>
      </c>
      <c r="E1966" s="2" t="s">
        <v>5782</v>
      </c>
      <c r="F1966" s="3">
        <v>45977.458333333336</v>
      </c>
      <c r="G1966" s="2">
        <v>51516.0</v>
      </c>
      <c r="H1966" s="2">
        <v>51516.0</v>
      </c>
      <c r="I1966" s="2">
        <v>41538.0</v>
      </c>
      <c r="J1966" s="2">
        <v>193.0</v>
      </c>
      <c r="K1966" s="2">
        <v>176.0</v>
      </c>
      <c r="L1966" s="2">
        <v>6.0</v>
      </c>
      <c r="M1966" s="4">
        <v>19470.0</v>
      </c>
      <c r="N1966" s="2" t="s">
        <v>36</v>
      </c>
      <c r="O1966" s="2">
        <v>71.0</v>
      </c>
      <c r="P1966" s="2" t="s">
        <v>189</v>
      </c>
      <c r="Q1966" s="2" t="s">
        <v>1367</v>
      </c>
      <c r="R1966" s="2">
        <v>31.0</v>
      </c>
      <c r="U1966" s="2" t="b">
        <v>1</v>
      </c>
      <c r="V1966" s="5">
        <v>0.0042</v>
      </c>
      <c r="W1966" s="5">
        <v>0.0341</v>
      </c>
      <c r="X1966" s="5">
        <v>1.44E-4</v>
      </c>
      <c r="Y1966" s="2">
        <v>110.625</v>
      </c>
      <c r="AA1966" s="2" t="s">
        <v>33</v>
      </c>
    </row>
    <row r="1967">
      <c r="A1967" s="2">
        <v>3787.0</v>
      </c>
      <c r="B1967" s="2" t="s">
        <v>5783</v>
      </c>
      <c r="C1967" s="2" t="s">
        <v>7</v>
      </c>
      <c r="D1967" s="2" t="s">
        <v>5784</v>
      </c>
      <c r="E1967" s="2" t="s">
        <v>5785</v>
      </c>
      <c r="F1967" s="3">
        <v>45977.458333333336</v>
      </c>
      <c r="G1967" s="2">
        <v>66341.0</v>
      </c>
      <c r="H1967" s="2">
        <v>66341.0</v>
      </c>
      <c r="I1967" s="2">
        <v>54274.0</v>
      </c>
      <c r="J1967" s="2">
        <v>256.0</v>
      </c>
      <c r="K1967" s="2">
        <v>234.0</v>
      </c>
      <c r="L1967" s="2">
        <v>2.0</v>
      </c>
      <c r="M1967" s="4">
        <v>4899.0</v>
      </c>
      <c r="N1967" s="2" t="s">
        <v>30</v>
      </c>
      <c r="O1967" s="2">
        <v>70.0</v>
      </c>
      <c r="P1967" s="2" t="s">
        <v>189</v>
      </c>
      <c r="Q1967" s="2" t="s">
        <v>1367</v>
      </c>
      <c r="R1967" s="2">
        <v>31.0</v>
      </c>
      <c r="U1967" s="2" t="b">
        <v>0</v>
      </c>
      <c r="V1967" s="5">
        <v>0.0043</v>
      </c>
      <c r="W1967" s="5">
        <v>0.0085</v>
      </c>
      <c r="X1967" s="5">
        <v>3.7E-5</v>
      </c>
      <c r="Y1967" s="2">
        <v>20.93589744</v>
      </c>
      <c r="Z1967" s="2">
        <v>2483.0</v>
      </c>
      <c r="AA1967" s="2" t="s">
        <v>33</v>
      </c>
    </row>
    <row r="1968">
      <c r="A1968" s="2">
        <v>3802.0</v>
      </c>
      <c r="B1968" s="2" t="s">
        <v>5786</v>
      </c>
      <c r="C1968" s="2" t="s">
        <v>7</v>
      </c>
      <c r="D1968" s="2" t="s">
        <v>5787</v>
      </c>
      <c r="E1968" s="2" t="s">
        <v>5788</v>
      </c>
      <c r="F1968" s="3">
        <v>45977.583333333336</v>
      </c>
      <c r="G1968" s="2">
        <v>7332.0</v>
      </c>
      <c r="H1968" s="2">
        <v>7332.0</v>
      </c>
      <c r="I1968" s="2">
        <v>5790.0</v>
      </c>
      <c r="J1968" s="2">
        <v>29.0</v>
      </c>
      <c r="K1968" s="2">
        <v>29.0</v>
      </c>
      <c r="L1968" s="2">
        <v>0.0</v>
      </c>
      <c r="M1968" s="2">
        <v>0.0</v>
      </c>
      <c r="N1968" s="2" t="s">
        <v>423</v>
      </c>
      <c r="O1968" s="2">
        <v>119.0</v>
      </c>
      <c r="P1968" s="2" t="s">
        <v>31</v>
      </c>
      <c r="Q1968" s="2" t="s">
        <v>1367</v>
      </c>
      <c r="R1968" s="2">
        <v>40.0</v>
      </c>
      <c r="U1968" s="2" t="b">
        <v>0</v>
      </c>
      <c r="V1968" s="5">
        <v>0.005</v>
      </c>
      <c r="W1968" s="5">
        <v>0.0</v>
      </c>
      <c r="X1968" s="5">
        <v>0.0</v>
      </c>
      <c r="Y1968" s="2">
        <v>0.0</v>
      </c>
      <c r="AA1968" s="2" t="s">
        <v>423</v>
      </c>
    </row>
    <row r="1969">
      <c r="A1969" s="2">
        <v>3790.0</v>
      </c>
      <c r="B1969" s="2" t="s">
        <v>5789</v>
      </c>
      <c r="C1969" s="2" t="s">
        <v>7</v>
      </c>
      <c r="D1969" s="2" t="s">
        <v>5790</v>
      </c>
      <c r="E1969" s="2" t="s">
        <v>5791</v>
      </c>
      <c r="F1969" s="3">
        <v>45977.625</v>
      </c>
      <c r="G1969" s="2">
        <v>51577.0</v>
      </c>
      <c r="H1969" s="2">
        <v>51577.0</v>
      </c>
      <c r="I1969" s="2">
        <v>41810.0</v>
      </c>
      <c r="J1969" s="2">
        <v>191.0</v>
      </c>
      <c r="K1969" s="2">
        <v>177.0</v>
      </c>
      <c r="L1969" s="2">
        <v>1.0</v>
      </c>
      <c r="M1969" s="4">
        <v>1600.0</v>
      </c>
      <c r="N1969" s="2" t="s">
        <v>36</v>
      </c>
      <c r="O1969" s="2">
        <v>71.0</v>
      </c>
      <c r="P1969" s="2" t="s">
        <v>31</v>
      </c>
      <c r="Q1969" s="2" t="s">
        <v>1367</v>
      </c>
      <c r="R1969" s="2">
        <v>36.0</v>
      </c>
      <c r="U1969" s="2" t="b">
        <v>0</v>
      </c>
      <c r="V1969" s="5">
        <v>0.0042</v>
      </c>
      <c r="W1969" s="5">
        <v>0.0056</v>
      </c>
      <c r="X1969" s="5">
        <v>2.4E-5</v>
      </c>
      <c r="Y1969" s="2">
        <v>9.039548023</v>
      </c>
      <c r="AA1969" s="2" t="s">
        <v>33</v>
      </c>
    </row>
    <row r="1970">
      <c r="A1970" s="2">
        <v>3789.0</v>
      </c>
      <c r="B1970" s="2" t="s">
        <v>5792</v>
      </c>
      <c r="C1970" s="2" t="s">
        <v>7</v>
      </c>
      <c r="D1970" s="2" t="s">
        <v>5793</v>
      </c>
      <c r="E1970" s="2" t="s">
        <v>5794</v>
      </c>
      <c r="F1970" s="3">
        <v>45977.625</v>
      </c>
      <c r="G1970" s="2">
        <v>66393.0</v>
      </c>
      <c r="H1970" s="2">
        <v>66393.0</v>
      </c>
      <c r="I1970" s="2">
        <v>54532.0</v>
      </c>
      <c r="J1970" s="2">
        <v>205.0</v>
      </c>
      <c r="K1970" s="2">
        <v>191.0</v>
      </c>
      <c r="L1970" s="2">
        <v>4.0</v>
      </c>
      <c r="M1970" s="4">
        <v>16049.0</v>
      </c>
      <c r="N1970" s="2" t="s">
        <v>30</v>
      </c>
      <c r="O1970" s="2">
        <v>70.0</v>
      </c>
      <c r="P1970" s="2" t="s">
        <v>31</v>
      </c>
      <c r="Q1970" s="2" t="s">
        <v>1367</v>
      </c>
      <c r="R1970" s="2">
        <v>45.0</v>
      </c>
      <c r="U1970" s="2" t="b">
        <v>0</v>
      </c>
      <c r="V1970" s="5">
        <v>0.0035</v>
      </c>
      <c r="W1970" s="5">
        <v>0.0209</v>
      </c>
      <c r="X1970" s="5">
        <v>7.3E-5</v>
      </c>
      <c r="Y1970" s="2">
        <v>84.02617801</v>
      </c>
      <c r="AA1970" s="2" t="s">
        <v>33</v>
      </c>
    </row>
    <row r="1971">
      <c r="A1971" s="2">
        <v>3803.0</v>
      </c>
      <c r="B1971" s="2" t="s">
        <v>5795</v>
      </c>
      <c r="C1971" s="2" t="s">
        <v>7</v>
      </c>
      <c r="D1971" s="2" t="s">
        <v>5796</v>
      </c>
      <c r="E1971" s="2" t="s">
        <v>5797</v>
      </c>
      <c r="F1971" s="3">
        <v>45977.666666666664</v>
      </c>
      <c r="G1971" s="2">
        <v>7327.0</v>
      </c>
      <c r="H1971" s="2">
        <v>7327.0</v>
      </c>
      <c r="I1971" s="2">
        <v>5797.0</v>
      </c>
      <c r="J1971" s="2">
        <v>48.0</v>
      </c>
      <c r="K1971" s="2">
        <v>46.0</v>
      </c>
      <c r="L1971" s="2">
        <v>1.0</v>
      </c>
      <c r="M1971" s="2">
        <v>165.0</v>
      </c>
      <c r="N1971" s="2" t="s">
        <v>423</v>
      </c>
      <c r="O1971" s="2">
        <v>119.0</v>
      </c>
      <c r="P1971" s="2" t="s">
        <v>31</v>
      </c>
      <c r="Q1971" s="2" t="s">
        <v>1367</v>
      </c>
      <c r="R1971" s="2">
        <v>39.0</v>
      </c>
      <c r="U1971" s="2" t="b">
        <v>0</v>
      </c>
      <c r="V1971" s="5">
        <v>0.0079</v>
      </c>
      <c r="W1971" s="5">
        <v>0.0217</v>
      </c>
      <c r="X1971" s="5">
        <v>1.73E-4</v>
      </c>
      <c r="Y1971" s="2">
        <v>3.586956522</v>
      </c>
      <c r="AA1971" s="2" t="s">
        <v>423</v>
      </c>
    </row>
    <row r="1972">
      <c r="A1972" s="2">
        <v>3792.0</v>
      </c>
      <c r="B1972" s="2" t="s">
        <v>5798</v>
      </c>
      <c r="C1972" s="2" t="s">
        <v>7</v>
      </c>
      <c r="D1972" s="2" t="s">
        <v>5799</v>
      </c>
      <c r="E1972" s="2" t="s">
        <v>5800</v>
      </c>
      <c r="F1972" s="3">
        <v>45977.708333333336</v>
      </c>
      <c r="G1972" s="2">
        <v>51555.0</v>
      </c>
      <c r="H1972" s="2">
        <v>51555.0</v>
      </c>
      <c r="I1972" s="2">
        <v>41800.0</v>
      </c>
      <c r="J1972" s="2">
        <v>267.0</v>
      </c>
      <c r="K1972" s="2">
        <v>255.0</v>
      </c>
      <c r="L1972" s="2">
        <v>7.0</v>
      </c>
      <c r="M1972" s="4">
        <v>26354.0</v>
      </c>
      <c r="N1972" s="2" t="s">
        <v>36</v>
      </c>
      <c r="O1972" s="2">
        <v>71.0</v>
      </c>
      <c r="P1972" s="2" t="s">
        <v>31</v>
      </c>
      <c r="Q1972" s="2" t="s">
        <v>1367</v>
      </c>
      <c r="R1972" s="2">
        <v>38.0</v>
      </c>
      <c r="U1972" s="2" t="b">
        <v>0</v>
      </c>
      <c r="V1972" s="5">
        <v>0.0061</v>
      </c>
      <c r="W1972" s="5">
        <v>0.0275</v>
      </c>
      <c r="X1972" s="5">
        <v>1.67E-4</v>
      </c>
      <c r="Y1972" s="2">
        <v>103.3490196</v>
      </c>
      <c r="AA1972" s="2" t="s">
        <v>33</v>
      </c>
    </row>
    <row r="1973">
      <c r="A1973" s="2">
        <v>3791.0</v>
      </c>
      <c r="B1973" s="2" t="s">
        <v>5801</v>
      </c>
      <c r="C1973" s="2" t="s">
        <v>7</v>
      </c>
      <c r="D1973" s="2" t="s">
        <v>5802</v>
      </c>
      <c r="E1973" s="2" t="s">
        <v>5803</v>
      </c>
      <c r="F1973" s="3">
        <v>45977.708333333336</v>
      </c>
      <c r="G1973" s="2">
        <v>66348.0</v>
      </c>
      <c r="H1973" s="2">
        <v>66348.0</v>
      </c>
      <c r="I1973" s="2">
        <v>54460.0</v>
      </c>
      <c r="J1973" s="2">
        <v>210.0</v>
      </c>
      <c r="K1973" s="2">
        <v>201.0</v>
      </c>
      <c r="L1973" s="2">
        <v>1.0</v>
      </c>
      <c r="M1973" s="4">
        <v>4450.0</v>
      </c>
      <c r="N1973" s="2" t="s">
        <v>30</v>
      </c>
      <c r="O1973" s="2">
        <v>70.0</v>
      </c>
      <c r="P1973" s="2" t="s">
        <v>31</v>
      </c>
      <c r="Q1973" s="2" t="s">
        <v>1367</v>
      </c>
      <c r="R1973" s="2">
        <v>40.0</v>
      </c>
      <c r="U1973" s="2" t="b">
        <v>0</v>
      </c>
      <c r="V1973" s="5">
        <v>0.0037</v>
      </c>
      <c r="W1973" s="5">
        <v>0.005</v>
      </c>
      <c r="X1973" s="5">
        <v>1.8E-5</v>
      </c>
      <c r="Y1973" s="2">
        <v>22.13930348</v>
      </c>
      <c r="Z1973" s="2">
        <v>5083.0</v>
      </c>
      <c r="AA1973" s="2" t="s">
        <v>33</v>
      </c>
    </row>
    <row r="1974">
      <c r="A1974" s="2">
        <v>3804.0</v>
      </c>
      <c r="B1974" s="2" t="s">
        <v>5804</v>
      </c>
      <c r="C1974" s="2" t="s">
        <v>7</v>
      </c>
      <c r="D1974" s="2" t="s">
        <v>5805</v>
      </c>
      <c r="E1974" s="2" t="s">
        <v>5806</v>
      </c>
      <c r="F1974" s="3">
        <v>45977.75</v>
      </c>
      <c r="G1974" s="2">
        <v>7337.0</v>
      </c>
      <c r="H1974" s="2">
        <v>7337.0</v>
      </c>
      <c r="I1974" s="2">
        <v>5811.0</v>
      </c>
      <c r="J1974" s="2">
        <v>32.0</v>
      </c>
      <c r="K1974" s="2">
        <v>30.0</v>
      </c>
      <c r="L1974" s="2">
        <v>1.0</v>
      </c>
      <c r="M1974" s="4">
        <v>2352.0</v>
      </c>
      <c r="N1974" s="2" t="s">
        <v>423</v>
      </c>
      <c r="O1974" s="2">
        <v>119.0</v>
      </c>
      <c r="P1974" s="2" t="s">
        <v>189</v>
      </c>
      <c r="Q1974" s="2" t="s">
        <v>1367</v>
      </c>
      <c r="R1974" s="2">
        <v>50.0</v>
      </c>
      <c r="U1974" s="2" t="b">
        <v>0</v>
      </c>
      <c r="V1974" s="5">
        <v>0.0052</v>
      </c>
      <c r="W1974" s="5">
        <v>0.0333</v>
      </c>
      <c r="X1974" s="5">
        <v>1.72E-4</v>
      </c>
      <c r="Y1974" s="2">
        <v>78.4</v>
      </c>
      <c r="AA1974" s="2" t="s">
        <v>423</v>
      </c>
    </row>
    <row r="1975">
      <c r="A1975" s="2">
        <v>3805.0</v>
      </c>
      <c r="B1975" s="2" t="s">
        <v>5807</v>
      </c>
      <c r="C1975" s="2" t="s">
        <v>7</v>
      </c>
      <c r="D1975" s="2" t="s">
        <v>5808</v>
      </c>
      <c r="E1975" s="2" t="s">
        <v>5809</v>
      </c>
      <c r="F1975" s="3">
        <v>45979.50069444445</v>
      </c>
      <c r="G1975" s="2">
        <v>64770.0</v>
      </c>
      <c r="H1975" s="2">
        <v>64770.0</v>
      </c>
      <c r="I1975" s="2">
        <v>50727.0</v>
      </c>
      <c r="J1975" s="2">
        <v>79.0</v>
      </c>
      <c r="K1975" s="2">
        <v>72.0</v>
      </c>
      <c r="L1975" s="2">
        <v>0.0</v>
      </c>
      <c r="M1975" s="2">
        <v>0.0</v>
      </c>
      <c r="N1975" s="2" t="s">
        <v>30</v>
      </c>
      <c r="O1975" s="2">
        <v>70.0</v>
      </c>
      <c r="P1975" s="2" t="s">
        <v>189</v>
      </c>
      <c r="Q1975" s="2" t="s">
        <v>1367</v>
      </c>
      <c r="R1975" s="2">
        <v>33.0</v>
      </c>
      <c r="U1975" s="2" t="b">
        <v>0</v>
      </c>
      <c r="V1975" s="5">
        <v>0.0014</v>
      </c>
      <c r="W1975" s="5">
        <v>0.0</v>
      </c>
      <c r="X1975" s="5">
        <v>0.0</v>
      </c>
      <c r="Y1975" s="2">
        <v>0.0</v>
      </c>
      <c r="Z1975" s="2">
        <v>5196.0</v>
      </c>
      <c r="AA1975" s="2" t="s">
        <v>33</v>
      </c>
    </row>
    <row r="1976">
      <c r="A1976" s="2">
        <v>3807.0</v>
      </c>
      <c r="B1976" s="2" t="s">
        <v>5810</v>
      </c>
      <c r="C1976" s="2" t="s">
        <v>7</v>
      </c>
      <c r="D1976" s="2" t="s">
        <v>5808</v>
      </c>
      <c r="E1976" s="2" t="e">
        <v>#N/A</v>
      </c>
      <c r="F1976" s="3">
        <v>45979.50208333333</v>
      </c>
      <c r="G1976" s="2">
        <v>64770.0</v>
      </c>
      <c r="H1976" s="2">
        <v>64770.0</v>
      </c>
      <c r="I1976" s="2">
        <v>50570.0</v>
      </c>
      <c r="J1976" s="2">
        <v>159.0</v>
      </c>
      <c r="K1976" s="2">
        <v>90.0</v>
      </c>
      <c r="L1976" s="2">
        <v>0.0</v>
      </c>
      <c r="M1976" s="2">
        <v>0.0</v>
      </c>
      <c r="N1976" s="2" t="s">
        <v>30</v>
      </c>
      <c r="O1976" s="2">
        <v>70.0</v>
      </c>
      <c r="P1976" s="2" t="s">
        <v>31</v>
      </c>
      <c r="Q1976" s="2" t="s">
        <v>1367</v>
      </c>
      <c r="R1976" s="2">
        <v>33.0</v>
      </c>
      <c r="U1976" s="2" t="b">
        <v>0</v>
      </c>
      <c r="V1976" s="5">
        <v>0.0018</v>
      </c>
      <c r="W1976" s="5">
        <v>0.0</v>
      </c>
      <c r="X1976" s="5">
        <v>0.0</v>
      </c>
      <c r="Y1976" s="2">
        <v>0.0</v>
      </c>
      <c r="AA1976" s="2" t="s">
        <v>33</v>
      </c>
    </row>
    <row r="1977">
      <c r="A1977" s="2">
        <v>3806.0</v>
      </c>
      <c r="B1977" s="2" t="s">
        <v>5811</v>
      </c>
      <c r="C1977" s="2" t="s">
        <v>7</v>
      </c>
      <c r="D1977" s="2" t="s">
        <v>5808</v>
      </c>
      <c r="E1977" s="2" t="s">
        <v>5812</v>
      </c>
      <c r="F1977" s="3">
        <v>45979.504166666666</v>
      </c>
      <c r="G1977" s="2">
        <v>50862.0</v>
      </c>
      <c r="H1977" s="2">
        <v>50862.0</v>
      </c>
      <c r="I1977" s="2">
        <v>40234.0</v>
      </c>
      <c r="J1977" s="2">
        <v>199.0</v>
      </c>
      <c r="K1977" s="2">
        <v>117.0</v>
      </c>
      <c r="L1977" s="2">
        <v>0.0</v>
      </c>
      <c r="M1977" s="2">
        <v>0.0</v>
      </c>
      <c r="N1977" s="2" t="s">
        <v>36</v>
      </c>
      <c r="O1977" s="2">
        <v>71.0</v>
      </c>
      <c r="P1977" s="2" t="s">
        <v>31</v>
      </c>
      <c r="Q1977" s="2" t="s">
        <v>1367</v>
      </c>
      <c r="R1977" s="2">
        <v>33.0</v>
      </c>
      <c r="U1977" s="2" t="b">
        <v>0</v>
      </c>
      <c r="V1977" s="5">
        <v>0.0029</v>
      </c>
      <c r="W1977" s="5">
        <v>0.0</v>
      </c>
      <c r="X1977" s="5">
        <v>0.0</v>
      </c>
      <c r="Y1977" s="2">
        <v>0.0</v>
      </c>
      <c r="AA1977" s="2" t="s">
        <v>33</v>
      </c>
    </row>
    <row r="1978">
      <c r="A1978" s="2">
        <v>3809.0</v>
      </c>
      <c r="B1978" s="2" t="s">
        <v>5813</v>
      </c>
      <c r="C1978" s="2" t="s">
        <v>7</v>
      </c>
      <c r="D1978" s="2" t="s">
        <v>5814</v>
      </c>
      <c r="E1978" s="2" t="s">
        <v>5815</v>
      </c>
      <c r="F1978" s="3">
        <v>45979.625</v>
      </c>
      <c r="G1978" s="2">
        <v>50733.0</v>
      </c>
      <c r="H1978" s="2">
        <v>50733.0</v>
      </c>
      <c r="I1978" s="2">
        <v>41204.0</v>
      </c>
      <c r="J1978" s="2">
        <v>170.0</v>
      </c>
      <c r="K1978" s="2">
        <v>160.0</v>
      </c>
      <c r="L1978" s="2">
        <v>3.0</v>
      </c>
      <c r="M1978" s="4">
        <v>14123.0</v>
      </c>
      <c r="N1978" s="2" t="s">
        <v>36</v>
      </c>
      <c r="O1978" s="2">
        <v>71.0</v>
      </c>
      <c r="P1978" s="2" t="s">
        <v>189</v>
      </c>
      <c r="Q1978" s="2" t="s">
        <v>1367</v>
      </c>
      <c r="R1978" s="2">
        <v>31.0</v>
      </c>
      <c r="U1978" s="2" t="b">
        <v>0</v>
      </c>
      <c r="V1978" s="5">
        <v>0.0039</v>
      </c>
      <c r="W1978" s="5">
        <v>0.0188</v>
      </c>
      <c r="X1978" s="5">
        <v>7.3E-5</v>
      </c>
      <c r="Y1978" s="2">
        <v>88.26875</v>
      </c>
      <c r="AA1978" s="2" t="s">
        <v>33</v>
      </c>
    </row>
    <row r="1979">
      <c r="A1979" s="2">
        <v>3808.0</v>
      </c>
      <c r="B1979" s="2" t="s">
        <v>5816</v>
      </c>
      <c r="C1979" s="2" t="s">
        <v>7</v>
      </c>
      <c r="D1979" s="2" t="s">
        <v>5817</v>
      </c>
      <c r="E1979" s="2" t="s">
        <v>5818</v>
      </c>
      <c r="F1979" s="3">
        <v>45979.625</v>
      </c>
      <c r="G1979" s="2">
        <v>64579.0</v>
      </c>
      <c r="H1979" s="2">
        <v>64579.0</v>
      </c>
      <c r="I1979" s="2">
        <v>53006.0</v>
      </c>
      <c r="J1979" s="2">
        <v>201.0</v>
      </c>
      <c r="K1979" s="2">
        <v>176.0</v>
      </c>
      <c r="L1979" s="2">
        <v>3.0</v>
      </c>
      <c r="M1979" s="4">
        <v>8420.0</v>
      </c>
      <c r="N1979" s="2" t="s">
        <v>30</v>
      </c>
      <c r="O1979" s="2">
        <v>70.0</v>
      </c>
      <c r="P1979" s="2" t="s">
        <v>31</v>
      </c>
      <c r="Q1979" s="2" t="s">
        <v>1367</v>
      </c>
      <c r="R1979" s="2">
        <v>38.0</v>
      </c>
      <c r="U1979" s="2" t="b">
        <v>0</v>
      </c>
      <c r="V1979" s="5">
        <v>0.0033</v>
      </c>
      <c r="W1979" s="5">
        <v>0.017</v>
      </c>
      <c r="X1979" s="5">
        <v>5.7E-5</v>
      </c>
      <c r="Y1979" s="2">
        <v>47.84090909</v>
      </c>
      <c r="Z1979" s="2">
        <v>1856.0</v>
      </c>
      <c r="AA1979" s="2" t="s">
        <v>33</v>
      </c>
    </row>
    <row r="1980">
      <c r="A1980" s="2">
        <v>3812.0</v>
      </c>
      <c r="B1980" s="2" t="s">
        <v>5819</v>
      </c>
      <c r="C1980" s="2" t="s">
        <v>7</v>
      </c>
      <c r="D1980" s="2" t="s">
        <v>5820</v>
      </c>
      <c r="E1980" s="2" t="s">
        <v>5821</v>
      </c>
      <c r="F1980" s="3">
        <v>45979.65</v>
      </c>
      <c r="G1980" s="2">
        <v>7224.0</v>
      </c>
      <c r="H1980" s="2">
        <v>7224.0</v>
      </c>
      <c r="I1980" s="2">
        <v>5672.0</v>
      </c>
      <c r="J1980" s="2">
        <v>32.0</v>
      </c>
      <c r="K1980" s="2">
        <v>31.0</v>
      </c>
      <c r="L1980" s="2">
        <v>0.0</v>
      </c>
      <c r="M1980" s="2">
        <v>0.0</v>
      </c>
      <c r="N1980" s="2" t="s">
        <v>423</v>
      </c>
      <c r="O1980" s="2">
        <v>119.0</v>
      </c>
      <c r="P1980" s="2" t="s">
        <v>189</v>
      </c>
      <c r="Q1980" s="2" t="s">
        <v>1367</v>
      </c>
      <c r="R1980" s="2">
        <v>34.0</v>
      </c>
      <c r="U1980" s="2" t="b">
        <v>0</v>
      </c>
      <c r="V1980" s="5">
        <v>0.0055</v>
      </c>
      <c r="W1980" s="5">
        <v>0.0</v>
      </c>
      <c r="X1980" s="5">
        <v>0.0</v>
      </c>
      <c r="Y1980" s="2">
        <v>0.0</v>
      </c>
      <c r="AA1980" s="2" t="s">
        <v>423</v>
      </c>
    </row>
    <row r="1981">
      <c r="A1981" s="2">
        <v>3813.0</v>
      </c>
      <c r="B1981" s="2" t="s">
        <v>5822</v>
      </c>
      <c r="C1981" s="2" t="s">
        <v>7</v>
      </c>
      <c r="D1981" s="2" t="s">
        <v>5823</v>
      </c>
      <c r="E1981" s="2" t="s">
        <v>5824</v>
      </c>
      <c r="F1981" s="3">
        <v>45979.708333333336</v>
      </c>
      <c r="G1981" s="2">
        <v>7200.0</v>
      </c>
      <c r="H1981" s="2">
        <v>7200.0</v>
      </c>
      <c r="I1981" s="2">
        <v>5662.0</v>
      </c>
      <c r="J1981" s="2">
        <v>32.0</v>
      </c>
      <c r="K1981" s="2">
        <v>31.0</v>
      </c>
      <c r="L1981" s="2">
        <v>0.0</v>
      </c>
      <c r="M1981" s="2">
        <v>0.0</v>
      </c>
      <c r="N1981" s="2" t="s">
        <v>423</v>
      </c>
      <c r="O1981" s="2">
        <v>119.0</v>
      </c>
      <c r="P1981" s="2" t="s">
        <v>189</v>
      </c>
      <c r="Q1981" s="2" t="s">
        <v>1367</v>
      </c>
      <c r="R1981" s="2">
        <v>49.0</v>
      </c>
      <c r="U1981" s="2" t="b">
        <v>0</v>
      </c>
      <c r="V1981" s="5">
        <v>0.0055</v>
      </c>
      <c r="W1981" s="5">
        <v>0.0</v>
      </c>
      <c r="X1981" s="5">
        <v>0.0</v>
      </c>
      <c r="Y1981" s="2">
        <v>0.0</v>
      </c>
      <c r="AA1981" s="2" t="s">
        <v>423</v>
      </c>
    </row>
    <row r="1982">
      <c r="A1982" s="2">
        <v>3811.0</v>
      </c>
      <c r="B1982" s="2" t="s">
        <v>5825</v>
      </c>
      <c r="C1982" s="2" t="s">
        <v>7</v>
      </c>
      <c r="D1982" s="2" t="s">
        <v>5826</v>
      </c>
      <c r="E1982" s="2" t="s">
        <v>5827</v>
      </c>
      <c r="F1982" s="3">
        <v>45979.708333333336</v>
      </c>
      <c r="G1982" s="2">
        <v>50788.0</v>
      </c>
      <c r="H1982" s="2">
        <v>50788.0</v>
      </c>
      <c r="I1982" s="2">
        <v>41271.0</v>
      </c>
      <c r="J1982" s="2">
        <v>154.0</v>
      </c>
      <c r="K1982" s="2">
        <v>147.0</v>
      </c>
      <c r="L1982" s="2">
        <v>1.0</v>
      </c>
      <c r="M1982" s="2">
        <v>890.0</v>
      </c>
      <c r="N1982" s="2" t="s">
        <v>36</v>
      </c>
      <c r="O1982" s="2">
        <v>71.0</v>
      </c>
      <c r="P1982" s="2" t="s">
        <v>189</v>
      </c>
      <c r="Q1982" s="2" t="s">
        <v>1367</v>
      </c>
      <c r="R1982" s="2">
        <v>46.0</v>
      </c>
      <c r="U1982" s="2" t="b">
        <v>0</v>
      </c>
      <c r="V1982" s="5">
        <v>0.0036</v>
      </c>
      <c r="W1982" s="5">
        <v>0.0068</v>
      </c>
      <c r="X1982" s="5">
        <v>2.4E-5</v>
      </c>
      <c r="Y1982" s="2">
        <v>6.054421769</v>
      </c>
      <c r="AA1982" s="2" t="s">
        <v>33</v>
      </c>
    </row>
    <row r="1983">
      <c r="A1983" s="2">
        <v>3810.0</v>
      </c>
      <c r="B1983" s="2" t="s">
        <v>5828</v>
      </c>
      <c r="C1983" s="2" t="s">
        <v>7</v>
      </c>
      <c r="D1983" s="2" t="s">
        <v>5829</v>
      </c>
      <c r="E1983" s="2" t="s">
        <v>5830</v>
      </c>
      <c r="F1983" s="3">
        <v>45979.708333333336</v>
      </c>
      <c r="G1983" s="2">
        <v>64678.0</v>
      </c>
      <c r="H1983" s="2">
        <v>64678.0</v>
      </c>
      <c r="I1983" s="2">
        <v>52820.0</v>
      </c>
      <c r="J1983" s="2">
        <v>174.0</v>
      </c>
      <c r="K1983" s="2">
        <v>165.0</v>
      </c>
      <c r="L1983" s="2">
        <v>3.0</v>
      </c>
      <c r="M1983" s="4">
        <v>3482.0</v>
      </c>
      <c r="N1983" s="2" t="s">
        <v>30</v>
      </c>
      <c r="O1983" s="2">
        <v>70.0</v>
      </c>
      <c r="P1983" s="2" t="s">
        <v>189</v>
      </c>
      <c r="Q1983" s="2" t="s">
        <v>1367</v>
      </c>
      <c r="R1983" s="2">
        <v>46.0</v>
      </c>
      <c r="U1983" s="2" t="b">
        <v>0</v>
      </c>
      <c r="V1983" s="5">
        <v>0.0031</v>
      </c>
      <c r="W1983" s="5">
        <v>0.0182</v>
      </c>
      <c r="X1983" s="5">
        <v>5.7E-5</v>
      </c>
      <c r="Y1983" s="2">
        <v>21.1030303</v>
      </c>
      <c r="Z1983" s="2">
        <v>370.0</v>
      </c>
      <c r="AA1983" s="2" t="s">
        <v>33</v>
      </c>
    </row>
    <row r="1984">
      <c r="A1984" s="2">
        <v>3814.0</v>
      </c>
      <c r="B1984" s="2" t="s">
        <v>5831</v>
      </c>
      <c r="C1984" s="2" t="s">
        <v>7</v>
      </c>
      <c r="D1984" s="2" t="s">
        <v>5832</v>
      </c>
      <c r="E1984" s="2" t="s">
        <v>5833</v>
      </c>
      <c r="F1984" s="3">
        <v>45979.791666666664</v>
      </c>
      <c r="G1984" s="2">
        <v>7209.0</v>
      </c>
      <c r="H1984" s="2">
        <v>7209.0</v>
      </c>
      <c r="I1984" s="2">
        <v>5665.0</v>
      </c>
      <c r="J1984" s="2">
        <v>26.0</v>
      </c>
      <c r="K1984" s="2">
        <v>25.0</v>
      </c>
      <c r="L1984" s="2">
        <v>1.0</v>
      </c>
      <c r="M1984" s="2">
        <v>199.0</v>
      </c>
      <c r="N1984" s="2" t="s">
        <v>423</v>
      </c>
      <c r="O1984" s="2">
        <v>119.0</v>
      </c>
      <c r="P1984" s="2" t="s">
        <v>189</v>
      </c>
      <c r="Q1984" s="2" t="s">
        <v>1367</v>
      </c>
      <c r="R1984" s="2">
        <v>47.0</v>
      </c>
      <c r="U1984" s="2" t="b">
        <v>0</v>
      </c>
      <c r="V1984" s="5">
        <v>0.0044</v>
      </c>
      <c r="W1984" s="5">
        <v>0.04</v>
      </c>
      <c r="X1984" s="5">
        <v>1.77E-4</v>
      </c>
      <c r="Y1984" s="2">
        <v>7.96</v>
      </c>
      <c r="AA1984" s="2" t="s">
        <v>423</v>
      </c>
    </row>
    <row r="1985">
      <c r="A1985" s="2">
        <v>3816.0</v>
      </c>
      <c r="B1985" s="2" t="s">
        <v>5834</v>
      </c>
      <c r="C1985" s="2" t="s">
        <v>7</v>
      </c>
      <c r="D1985" s="2" t="s">
        <v>3908</v>
      </c>
      <c r="E1985" s="2" t="s">
        <v>3337</v>
      </c>
      <c r="F1985" s="3">
        <v>45980.48055555556</v>
      </c>
      <c r="G1985" s="2">
        <v>64814.0</v>
      </c>
      <c r="H1985" s="2">
        <v>64814.0</v>
      </c>
      <c r="I1985" s="2">
        <v>52928.0</v>
      </c>
      <c r="J1985" s="2">
        <v>181.0</v>
      </c>
      <c r="K1985" s="2">
        <v>160.0</v>
      </c>
      <c r="L1985" s="2">
        <v>2.0</v>
      </c>
      <c r="M1985" s="4">
        <v>2968.0</v>
      </c>
      <c r="N1985" s="2" t="s">
        <v>30</v>
      </c>
      <c r="O1985" s="2">
        <v>70.0</v>
      </c>
      <c r="P1985" s="2" t="s">
        <v>189</v>
      </c>
      <c r="Q1985" s="2" t="s">
        <v>1367</v>
      </c>
      <c r="R1985" s="2">
        <v>31.0</v>
      </c>
      <c r="U1985" s="2" t="b">
        <v>0</v>
      </c>
      <c r="V1985" s="5">
        <v>0.003</v>
      </c>
      <c r="W1985" s="5">
        <v>0.0125</v>
      </c>
      <c r="X1985" s="5">
        <v>3.8E-5</v>
      </c>
      <c r="Y1985" s="2">
        <v>18.55</v>
      </c>
      <c r="AA1985" s="2" t="s">
        <v>33</v>
      </c>
    </row>
    <row r="1986">
      <c r="A1986" s="2">
        <v>3817.0</v>
      </c>
      <c r="B1986" s="2" t="s">
        <v>5835</v>
      </c>
      <c r="C1986" s="2" t="s">
        <v>7</v>
      </c>
      <c r="D1986" s="2" t="s">
        <v>3333</v>
      </c>
      <c r="E1986" s="2" t="s">
        <v>3334</v>
      </c>
      <c r="F1986" s="3">
        <v>45980.48611111111</v>
      </c>
      <c r="G1986" s="2">
        <v>50914.0</v>
      </c>
      <c r="H1986" s="2">
        <v>50914.0</v>
      </c>
      <c r="I1986" s="2">
        <v>41198.0</v>
      </c>
      <c r="J1986" s="2">
        <v>153.0</v>
      </c>
      <c r="K1986" s="2">
        <v>144.0</v>
      </c>
      <c r="L1986" s="2">
        <v>1.0</v>
      </c>
      <c r="M1986" s="4">
        <v>2052.0</v>
      </c>
      <c r="N1986" s="2" t="s">
        <v>36</v>
      </c>
      <c r="O1986" s="2">
        <v>71.0</v>
      </c>
      <c r="P1986" s="2" t="s">
        <v>31</v>
      </c>
      <c r="Q1986" s="2" t="s">
        <v>1367</v>
      </c>
      <c r="R1986" s="2">
        <v>43.0</v>
      </c>
      <c r="U1986" s="2" t="b">
        <v>0</v>
      </c>
      <c r="V1986" s="5">
        <v>0.0035</v>
      </c>
      <c r="W1986" s="5">
        <v>0.0069</v>
      </c>
      <c r="X1986" s="5">
        <v>2.4E-5</v>
      </c>
      <c r="Y1986" s="2">
        <v>14.25</v>
      </c>
      <c r="AA1986" s="2" t="s">
        <v>33</v>
      </c>
    </row>
    <row r="1987">
      <c r="A1987" s="2">
        <v>3819.0</v>
      </c>
      <c r="B1987" s="2" t="s">
        <v>5836</v>
      </c>
      <c r="C1987" s="2" t="s">
        <v>7</v>
      </c>
      <c r="D1987" s="2" t="s">
        <v>5837</v>
      </c>
      <c r="E1987" s="2" t="s">
        <v>5838</v>
      </c>
      <c r="F1987" s="3">
        <v>45980.625</v>
      </c>
      <c r="G1987" s="2">
        <v>50881.0</v>
      </c>
      <c r="H1987" s="2">
        <v>50881.0</v>
      </c>
      <c r="I1987" s="2">
        <v>41293.0</v>
      </c>
      <c r="J1987" s="2">
        <v>150.0</v>
      </c>
      <c r="K1987" s="2">
        <v>139.0</v>
      </c>
      <c r="L1987" s="2">
        <v>0.0</v>
      </c>
      <c r="M1987" s="2">
        <v>0.0</v>
      </c>
      <c r="N1987" s="2" t="s">
        <v>36</v>
      </c>
      <c r="O1987" s="2">
        <v>71.0</v>
      </c>
      <c r="P1987" s="2" t="s">
        <v>189</v>
      </c>
      <c r="Q1987" s="2" t="s">
        <v>1367</v>
      </c>
      <c r="R1987" s="2">
        <v>44.0</v>
      </c>
      <c r="U1987" s="2" t="b">
        <v>0</v>
      </c>
      <c r="V1987" s="5">
        <v>0.0034</v>
      </c>
      <c r="W1987" s="5">
        <v>0.0</v>
      </c>
      <c r="X1987" s="5">
        <v>0.0</v>
      </c>
      <c r="Y1987" s="2">
        <v>0.0</v>
      </c>
      <c r="AA1987" s="2" t="s">
        <v>33</v>
      </c>
    </row>
    <row r="1988">
      <c r="A1988" s="2">
        <v>3818.0</v>
      </c>
      <c r="B1988" s="2" t="s">
        <v>5839</v>
      </c>
      <c r="C1988" s="2" t="s">
        <v>7</v>
      </c>
      <c r="D1988" s="2" t="s">
        <v>5840</v>
      </c>
      <c r="E1988" s="2" t="s">
        <v>5841</v>
      </c>
      <c r="F1988" s="3">
        <v>45980.625</v>
      </c>
      <c r="G1988" s="2">
        <v>64774.0</v>
      </c>
      <c r="H1988" s="2">
        <v>64774.0</v>
      </c>
      <c r="I1988" s="2">
        <v>53018.0</v>
      </c>
      <c r="J1988" s="2">
        <v>174.0</v>
      </c>
      <c r="K1988" s="2">
        <v>166.0</v>
      </c>
      <c r="L1988" s="2">
        <v>1.0</v>
      </c>
      <c r="M1988" s="4">
        <v>1290.0</v>
      </c>
      <c r="N1988" s="2" t="s">
        <v>30</v>
      </c>
      <c r="O1988" s="2">
        <v>70.0</v>
      </c>
      <c r="P1988" s="2" t="s">
        <v>189</v>
      </c>
      <c r="Q1988" s="2" t="s">
        <v>1367</v>
      </c>
      <c r="R1988" s="2">
        <v>43.0</v>
      </c>
      <c r="U1988" s="2" t="b">
        <v>0</v>
      </c>
      <c r="V1988" s="5">
        <v>0.0031</v>
      </c>
      <c r="W1988" s="5">
        <v>0.006</v>
      </c>
      <c r="X1988" s="5">
        <v>1.9E-5</v>
      </c>
      <c r="Y1988" s="2">
        <v>7.771084337</v>
      </c>
      <c r="Z1988" s="2">
        <v>2536.0</v>
      </c>
      <c r="AA1988" s="2" t="s">
        <v>33</v>
      </c>
    </row>
    <row r="1989">
      <c r="A1989" s="2">
        <v>3822.0</v>
      </c>
      <c r="B1989" s="2" t="s">
        <v>5842</v>
      </c>
      <c r="C1989" s="2" t="s">
        <v>7</v>
      </c>
      <c r="D1989" s="2" t="s">
        <v>5843</v>
      </c>
      <c r="E1989" s="2" t="s">
        <v>5844</v>
      </c>
      <c r="F1989" s="3">
        <v>45980.70763888889</v>
      </c>
      <c r="G1989" s="2">
        <v>7284.0</v>
      </c>
      <c r="H1989" s="2">
        <v>7284.0</v>
      </c>
      <c r="I1989" s="2">
        <v>5673.0</v>
      </c>
      <c r="J1989" s="2">
        <v>31.0</v>
      </c>
      <c r="K1989" s="2">
        <v>23.0</v>
      </c>
      <c r="L1989" s="2">
        <v>0.0</v>
      </c>
      <c r="M1989" s="2">
        <v>0.0</v>
      </c>
      <c r="N1989" s="2" t="s">
        <v>423</v>
      </c>
      <c r="O1989" s="2">
        <v>119.0</v>
      </c>
      <c r="P1989" s="2" t="s">
        <v>189</v>
      </c>
      <c r="Q1989" s="2" t="s">
        <v>32</v>
      </c>
      <c r="R1989" s="2">
        <v>42.0</v>
      </c>
      <c r="U1989" s="2" t="b">
        <v>0</v>
      </c>
      <c r="V1989" s="5">
        <v>0.0041</v>
      </c>
      <c r="W1989" s="5">
        <v>0.0</v>
      </c>
      <c r="X1989" s="5">
        <v>0.0</v>
      </c>
      <c r="Y1989" s="2">
        <v>0.0</v>
      </c>
      <c r="AA1989" s="2" t="s">
        <v>423</v>
      </c>
    </row>
    <row r="1990">
      <c r="A1990" s="2">
        <v>3821.0</v>
      </c>
      <c r="B1990" s="2" t="s">
        <v>5845</v>
      </c>
      <c r="C1990" s="2" t="s">
        <v>7</v>
      </c>
      <c r="D1990" s="2" t="s">
        <v>5846</v>
      </c>
      <c r="E1990" s="2" t="s">
        <v>5847</v>
      </c>
      <c r="F1990" s="3">
        <v>45980.708333333336</v>
      </c>
      <c r="G1990" s="2">
        <v>50897.0</v>
      </c>
      <c r="H1990" s="2">
        <v>50897.0</v>
      </c>
      <c r="I1990" s="2">
        <v>41339.0</v>
      </c>
      <c r="J1990" s="2">
        <v>137.0</v>
      </c>
      <c r="K1990" s="2">
        <v>132.0</v>
      </c>
      <c r="L1990" s="2">
        <v>3.0</v>
      </c>
      <c r="M1990" s="4">
        <v>4159.0</v>
      </c>
      <c r="N1990" s="2" t="s">
        <v>36</v>
      </c>
      <c r="O1990" s="2">
        <v>71.0</v>
      </c>
      <c r="P1990" s="2" t="s">
        <v>189</v>
      </c>
      <c r="Q1990" s="2" t="s">
        <v>1367</v>
      </c>
      <c r="R1990" s="2">
        <v>39.0</v>
      </c>
      <c r="U1990" s="2" t="b">
        <v>0</v>
      </c>
      <c r="V1990" s="5">
        <v>0.0032</v>
      </c>
      <c r="W1990" s="5">
        <v>0.0227</v>
      </c>
      <c r="X1990" s="5">
        <v>7.3E-5</v>
      </c>
      <c r="Y1990" s="2">
        <v>31.50757576</v>
      </c>
      <c r="AA1990" s="2" t="s">
        <v>33</v>
      </c>
    </row>
    <row r="1991">
      <c r="A1991" s="2">
        <v>3820.0</v>
      </c>
      <c r="B1991" s="2" t="s">
        <v>5848</v>
      </c>
      <c r="C1991" s="2" t="s">
        <v>7</v>
      </c>
      <c r="D1991" s="2" t="s">
        <v>5849</v>
      </c>
      <c r="E1991" s="2" t="s">
        <v>5850</v>
      </c>
      <c r="F1991" s="3">
        <v>45980.708333333336</v>
      </c>
      <c r="G1991" s="2">
        <v>64792.0</v>
      </c>
      <c r="H1991" s="2">
        <v>64792.0</v>
      </c>
      <c r="I1991" s="2">
        <v>53147.0</v>
      </c>
      <c r="J1991" s="2">
        <v>158.0</v>
      </c>
      <c r="K1991" s="2">
        <v>149.0</v>
      </c>
      <c r="L1991" s="2">
        <v>2.0</v>
      </c>
      <c r="M1991" s="4">
        <v>3285.0</v>
      </c>
      <c r="N1991" s="2" t="s">
        <v>30</v>
      </c>
      <c r="O1991" s="2">
        <v>70.0</v>
      </c>
      <c r="P1991" s="2" t="s">
        <v>189</v>
      </c>
      <c r="Q1991" s="2" t="s">
        <v>1367</v>
      </c>
      <c r="R1991" s="2">
        <v>39.0</v>
      </c>
      <c r="U1991" s="2" t="b">
        <v>0</v>
      </c>
      <c r="V1991" s="5">
        <v>0.0028</v>
      </c>
      <c r="W1991" s="5">
        <v>0.0134</v>
      </c>
      <c r="X1991" s="5">
        <v>3.8E-5</v>
      </c>
      <c r="Y1991" s="2">
        <v>22.04697987</v>
      </c>
      <c r="Z1991" s="2">
        <v>4475.0</v>
      </c>
      <c r="AA1991" s="2" t="s">
        <v>33</v>
      </c>
    </row>
    <row r="1992">
      <c r="A1992" s="2">
        <v>3823.0</v>
      </c>
      <c r="B1992" s="2" t="s">
        <v>5851</v>
      </c>
      <c r="C1992" s="2" t="s">
        <v>7</v>
      </c>
      <c r="D1992" s="2" t="s">
        <v>5852</v>
      </c>
      <c r="E1992" s="2" t="s">
        <v>5853</v>
      </c>
      <c r="F1992" s="3">
        <v>45980.75</v>
      </c>
      <c r="G1992" s="2">
        <v>7260.0</v>
      </c>
      <c r="H1992" s="2">
        <v>7260.0</v>
      </c>
      <c r="I1992" s="2">
        <v>5670.0</v>
      </c>
      <c r="J1992" s="2">
        <v>22.0</v>
      </c>
      <c r="K1992" s="2">
        <v>19.0</v>
      </c>
      <c r="L1992" s="2">
        <v>0.0</v>
      </c>
      <c r="M1992" s="2">
        <v>0.0</v>
      </c>
      <c r="N1992" s="2" t="s">
        <v>423</v>
      </c>
      <c r="O1992" s="2">
        <v>119.0</v>
      </c>
      <c r="P1992" s="2" t="s">
        <v>189</v>
      </c>
      <c r="Q1992" s="2" t="s">
        <v>32</v>
      </c>
      <c r="R1992" s="2">
        <v>45.0</v>
      </c>
      <c r="U1992" s="2" t="b">
        <v>0</v>
      </c>
      <c r="V1992" s="5">
        <v>0.0034</v>
      </c>
      <c r="W1992" s="5">
        <v>0.0</v>
      </c>
      <c r="X1992" s="5">
        <v>0.0</v>
      </c>
      <c r="Y1992" s="2">
        <v>0.0</v>
      </c>
      <c r="AA1992" s="2" t="s">
        <v>423</v>
      </c>
    </row>
    <row r="1993">
      <c r="A1993" s="2">
        <v>3824.0</v>
      </c>
      <c r="B1993" s="2" t="s">
        <v>5854</v>
      </c>
      <c r="C1993" s="2" t="s">
        <v>7</v>
      </c>
      <c r="D1993" s="2" t="s">
        <v>5855</v>
      </c>
      <c r="E1993" s="2" t="s">
        <v>5856</v>
      </c>
      <c r="F1993" s="3">
        <v>45980.833333333336</v>
      </c>
      <c r="G1993" s="2">
        <v>7270.0</v>
      </c>
      <c r="H1993" s="2">
        <v>7270.0</v>
      </c>
      <c r="I1993" s="2">
        <v>5663.0</v>
      </c>
      <c r="J1993" s="2">
        <v>13.0</v>
      </c>
      <c r="K1993" s="2">
        <v>13.0</v>
      </c>
      <c r="L1993" s="2">
        <v>0.0</v>
      </c>
      <c r="M1993" s="2">
        <v>0.0</v>
      </c>
      <c r="N1993" s="2" t="s">
        <v>423</v>
      </c>
      <c r="O1993" s="2">
        <v>119.0</v>
      </c>
      <c r="P1993" s="2" t="s">
        <v>189</v>
      </c>
      <c r="Q1993" s="2" t="s">
        <v>32</v>
      </c>
      <c r="R1993" s="2">
        <v>48.0</v>
      </c>
      <c r="U1993" s="2" t="b">
        <v>0</v>
      </c>
      <c r="V1993" s="5">
        <v>0.0023</v>
      </c>
      <c r="W1993" s="5">
        <v>0.0</v>
      </c>
      <c r="X1993" s="5">
        <v>0.0</v>
      </c>
      <c r="Y1993" s="2">
        <v>0.0</v>
      </c>
      <c r="AA1993" s="2" t="s">
        <v>423</v>
      </c>
    </row>
    <row r="1994">
      <c r="A1994" s="2">
        <v>3827.0</v>
      </c>
      <c r="B1994" s="2" t="s">
        <v>5857</v>
      </c>
      <c r="C1994" s="2" t="s">
        <v>7</v>
      </c>
      <c r="D1994" s="2" t="s">
        <v>5858</v>
      </c>
      <c r="E1994" s="2" t="s">
        <v>5859</v>
      </c>
      <c r="F1994" s="3">
        <v>45981.458333333336</v>
      </c>
      <c r="G1994" s="2">
        <v>50965.0</v>
      </c>
      <c r="H1994" s="2">
        <v>50965.0</v>
      </c>
      <c r="I1994" s="2">
        <v>40848.0</v>
      </c>
      <c r="J1994" s="2">
        <v>203.0</v>
      </c>
      <c r="K1994" s="2">
        <v>191.0</v>
      </c>
      <c r="L1994" s="2">
        <v>3.0</v>
      </c>
      <c r="M1994" s="4">
        <v>3878.0</v>
      </c>
      <c r="N1994" s="2" t="s">
        <v>36</v>
      </c>
      <c r="O1994" s="2">
        <v>71.0</v>
      </c>
      <c r="P1994" s="2" t="s">
        <v>31</v>
      </c>
      <c r="Q1994" s="2" t="s">
        <v>32</v>
      </c>
      <c r="R1994" s="2">
        <v>26.0</v>
      </c>
      <c r="U1994" s="2" t="b">
        <v>1</v>
      </c>
      <c r="V1994" s="5">
        <v>0.0047</v>
      </c>
      <c r="W1994" s="5">
        <v>0.0157</v>
      </c>
      <c r="X1994" s="5">
        <v>7.3E-5</v>
      </c>
      <c r="Y1994" s="2">
        <v>20.30366492</v>
      </c>
      <c r="AA1994" s="2" t="s">
        <v>33</v>
      </c>
    </row>
    <row r="1995">
      <c r="A1995" s="2">
        <v>3825.0</v>
      </c>
      <c r="B1995" s="2" t="s">
        <v>5860</v>
      </c>
      <c r="C1995" s="2" t="s">
        <v>7</v>
      </c>
      <c r="D1995" s="2" t="s">
        <v>5861</v>
      </c>
      <c r="E1995" s="2" t="s">
        <v>5862</v>
      </c>
      <c r="F1995" s="3">
        <v>45981.458333333336</v>
      </c>
      <c r="G1995" s="2">
        <v>64918.0</v>
      </c>
      <c r="H1995" s="2">
        <v>64918.0</v>
      </c>
      <c r="I1995" s="2">
        <v>52812.0</v>
      </c>
      <c r="J1995" s="2">
        <v>195.0</v>
      </c>
      <c r="K1995" s="2">
        <v>188.0</v>
      </c>
      <c r="L1995" s="2">
        <v>3.0</v>
      </c>
      <c r="M1995" s="4">
        <v>6459.0</v>
      </c>
      <c r="N1995" s="2" t="s">
        <v>30</v>
      </c>
      <c r="O1995" s="2">
        <v>70.0</v>
      </c>
      <c r="P1995" s="2" t="s">
        <v>189</v>
      </c>
      <c r="Q1995" s="2" t="s">
        <v>32</v>
      </c>
      <c r="R1995" s="2">
        <v>25.0</v>
      </c>
      <c r="U1995" s="2" t="b">
        <v>0</v>
      </c>
      <c r="V1995" s="5">
        <v>0.0036</v>
      </c>
      <c r="W1995" s="5">
        <v>0.016</v>
      </c>
      <c r="X1995" s="5">
        <v>5.7E-5</v>
      </c>
      <c r="Y1995" s="2">
        <v>34.35638298</v>
      </c>
      <c r="Z1995" s="2">
        <v>1192.0</v>
      </c>
      <c r="AA1995" s="2" t="s">
        <v>33</v>
      </c>
    </row>
    <row r="1996">
      <c r="A1996" s="2">
        <v>3832.0</v>
      </c>
      <c r="B1996" s="2" t="s">
        <v>5863</v>
      </c>
      <c r="C1996" s="2" t="s">
        <v>7</v>
      </c>
      <c r="D1996" s="2" t="s">
        <v>5864</v>
      </c>
      <c r="E1996" s="2" t="s">
        <v>5865</v>
      </c>
      <c r="F1996" s="3">
        <v>45981.61041666667</v>
      </c>
      <c r="G1996" s="2">
        <v>7273.0</v>
      </c>
      <c r="H1996" s="2">
        <v>7273.0</v>
      </c>
      <c r="I1996" s="2">
        <v>5689.0</v>
      </c>
      <c r="J1996" s="2">
        <v>21.0</v>
      </c>
      <c r="K1996" s="2">
        <v>21.0</v>
      </c>
      <c r="L1996" s="2">
        <v>0.0</v>
      </c>
      <c r="M1996" s="2">
        <v>0.0</v>
      </c>
      <c r="N1996" s="2" t="s">
        <v>423</v>
      </c>
      <c r="O1996" s="2">
        <v>119.0</v>
      </c>
      <c r="P1996" s="2" t="s">
        <v>31</v>
      </c>
      <c r="Q1996" s="2" t="s">
        <v>1367</v>
      </c>
      <c r="R1996" s="2">
        <v>45.0</v>
      </c>
      <c r="U1996" s="2" t="b">
        <v>0</v>
      </c>
      <c r="V1996" s="5">
        <v>0.0037</v>
      </c>
      <c r="W1996" s="5">
        <v>0.0</v>
      </c>
      <c r="X1996" s="5">
        <v>0.0</v>
      </c>
      <c r="Y1996" s="2">
        <v>0.0</v>
      </c>
      <c r="AA1996" s="2" t="s">
        <v>423</v>
      </c>
    </row>
    <row r="1997">
      <c r="A1997" s="2">
        <v>3828.0</v>
      </c>
      <c r="B1997" s="2" t="s">
        <v>5866</v>
      </c>
      <c r="C1997" s="2" t="s">
        <v>7</v>
      </c>
      <c r="D1997" s="2" t="s">
        <v>5867</v>
      </c>
      <c r="E1997" s="2" t="s">
        <v>5868</v>
      </c>
      <c r="F1997" s="3">
        <v>45981.625</v>
      </c>
      <c r="G1997" s="2">
        <v>50952.0</v>
      </c>
      <c r="H1997" s="2">
        <v>50952.0</v>
      </c>
      <c r="I1997" s="2">
        <v>41010.0</v>
      </c>
      <c r="J1997" s="2">
        <v>148.0</v>
      </c>
      <c r="K1997" s="2">
        <v>139.0</v>
      </c>
      <c r="L1997" s="2">
        <v>4.0</v>
      </c>
      <c r="M1997" s="4">
        <v>22236.0</v>
      </c>
      <c r="N1997" s="2" t="s">
        <v>36</v>
      </c>
      <c r="O1997" s="2">
        <v>71.0</v>
      </c>
      <c r="P1997" s="2" t="s">
        <v>31</v>
      </c>
      <c r="Q1997" s="2" t="s">
        <v>32</v>
      </c>
      <c r="R1997" s="2">
        <v>32.0</v>
      </c>
      <c r="U1997" s="2" t="b">
        <v>1</v>
      </c>
      <c r="V1997" s="5">
        <v>0.0034</v>
      </c>
      <c r="W1997" s="5">
        <v>0.0288</v>
      </c>
      <c r="X1997" s="5">
        <v>9.8E-5</v>
      </c>
      <c r="Y1997" s="2">
        <v>159.971223</v>
      </c>
      <c r="AA1997" s="2" t="s">
        <v>33</v>
      </c>
    </row>
    <row r="1998">
      <c r="A1998" s="2">
        <v>3826.0</v>
      </c>
      <c r="B1998" s="2" t="s">
        <v>5869</v>
      </c>
      <c r="C1998" s="2" t="s">
        <v>7</v>
      </c>
      <c r="D1998" s="2" t="s">
        <v>5870</v>
      </c>
      <c r="E1998" s="2" t="s">
        <v>5871</v>
      </c>
      <c r="F1998" s="3">
        <v>45981.625</v>
      </c>
      <c r="G1998" s="2">
        <v>64935.0</v>
      </c>
      <c r="H1998" s="2">
        <v>64935.0</v>
      </c>
      <c r="I1998" s="2">
        <v>53057.0</v>
      </c>
      <c r="J1998" s="2">
        <v>205.0</v>
      </c>
      <c r="K1998" s="2">
        <v>189.0</v>
      </c>
      <c r="L1998" s="2">
        <v>1.0</v>
      </c>
      <c r="M1998" s="4">
        <v>1776.0</v>
      </c>
      <c r="N1998" s="2" t="s">
        <v>30</v>
      </c>
      <c r="O1998" s="2">
        <v>70.0</v>
      </c>
      <c r="P1998" s="2" t="s">
        <v>31</v>
      </c>
      <c r="Q1998" s="2" t="s">
        <v>32</v>
      </c>
      <c r="R1998" s="2">
        <v>31.0</v>
      </c>
      <c r="U1998" s="2" t="b">
        <v>0</v>
      </c>
      <c r="V1998" s="5">
        <v>0.0036</v>
      </c>
      <c r="W1998" s="5">
        <v>0.0053</v>
      </c>
      <c r="X1998" s="5">
        <v>1.9E-5</v>
      </c>
      <c r="Y1998" s="2">
        <v>9.396825397</v>
      </c>
      <c r="AA1998" s="2" t="s">
        <v>33</v>
      </c>
    </row>
    <row r="1999">
      <c r="A1999" s="2">
        <v>3833.0</v>
      </c>
      <c r="B1999" s="2" t="s">
        <v>5872</v>
      </c>
      <c r="C1999" s="2" t="s">
        <v>7</v>
      </c>
      <c r="D1999" s="2" t="s">
        <v>5873</v>
      </c>
      <c r="E1999" s="2" t="s">
        <v>5874</v>
      </c>
      <c r="F1999" s="3">
        <v>45981.666666666664</v>
      </c>
      <c r="G1999" s="2">
        <v>7271.0</v>
      </c>
      <c r="H1999" s="2">
        <v>7271.0</v>
      </c>
      <c r="I1999" s="2">
        <v>5707.0</v>
      </c>
      <c r="J1999" s="2">
        <v>24.0</v>
      </c>
      <c r="K1999" s="2">
        <v>24.0</v>
      </c>
      <c r="L1999" s="2">
        <v>1.0</v>
      </c>
      <c r="M1999" s="4">
        <v>1390.0</v>
      </c>
      <c r="N1999" s="2" t="s">
        <v>423</v>
      </c>
      <c r="O1999" s="2">
        <v>119.0</v>
      </c>
      <c r="P1999" s="2" t="s">
        <v>31</v>
      </c>
      <c r="Q1999" s="2" t="s">
        <v>1367</v>
      </c>
      <c r="R1999" s="2">
        <v>40.0</v>
      </c>
      <c r="U1999" s="2" t="b">
        <v>0</v>
      </c>
      <c r="V1999" s="5">
        <v>0.0042</v>
      </c>
      <c r="W1999" s="5">
        <v>0.0417</v>
      </c>
      <c r="X1999" s="5">
        <v>1.75E-4</v>
      </c>
      <c r="Y1999" s="2">
        <v>57.91666667</v>
      </c>
      <c r="AA1999" s="2" t="s">
        <v>423</v>
      </c>
    </row>
    <row r="2000">
      <c r="A2000" s="2">
        <v>3830.0</v>
      </c>
      <c r="B2000" s="2" t="s">
        <v>5875</v>
      </c>
      <c r="C2000" s="2" t="s">
        <v>7</v>
      </c>
      <c r="D2000" s="2" t="s">
        <v>5876</v>
      </c>
      <c r="E2000" s="2" t="s">
        <v>5877</v>
      </c>
      <c r="F2000" s="3">
        <v>45981.708333333336</v>
      </c>
      <c r="G2000" s="2">
        <v>50921.0</v>
      </c>
      <c r="H2000" s="2">
        <v>50921.0</v>
      </c>
      <c r="I2000" s="2">
        <v>41119.0</v>
      </c>
      <c r="J2000" s="2">
        <v>154.0</v>
      </c>
      <c r="K2000" s="2">
        <v>142.0</v>
      </c>
      <c r="L2000" s="2">
        <v>4.0</v>
      </c>
      <c r="M2000" s="4">
        <v>10546.0</v>
      </c>
      <c r="N2000" s="2" t="s">
        <v>36</v>
      </c>
      <c r="O2000" s="2">
        <v>71.0</v>
      </c>
      <c r="P2000" s="2" t="s">
        <v>31</v>
      </c>
      <c r="Q2000" s="2" t="s">
        <v>32</v>
      </c>
      <c r="R2000" s="2">
        <v>43.0</v>
      </c>
      <c r="U2000" s="2" t="b">
        <v>0</v>
      </c>
      <c r="V2000" s="5">
        <v>0.0035</v>
      </c>
      <c r="W2000" s="5">
        <v>0.0282</v>
      </c>
      <c r="X2000" s="5">
        <v>9.7E-5</v>
      </c>
      <c r="Y2000" s="2">
        <v>74.26760563</v>
      </c>
      <c r="AA2000" s="2" t="s">
        <v>33</v>
      </c>
    </row>
    <row r="2001">
      <c r="A2001" s="2">
        <v>3829.0</v>
      </c>
      <c r="B2001" s="2" t="s">
        <v>5878</v>
      </c>
      <c r="C2001" s="2" t="s">
        <v>7</v>
      </c>
      <c r="D2001" s="2" t="s">
        <v>5879</v>
      </c>
      <c r="E2001" s="2" t="s">
        <v>5880</v>
      </c>
      <c r="F2001" s="3">
        <v>45981.708333333336</v>
      </c>
      <c r="G2001" s="2">
        <v>64958.0</v>
      </c>
      <c r="H2001" s="2">
        <v>64958.0</v>
      </c>
      <c r="I2001" s="2">
        <v>53099.0</v>
      </c>
      <c r="J2001" s="2">
        <v>166.0</v>
      </c>
      <c r="K2001" s="2">
        <v>161.0</v>
      </c>
      <c r="L2001" s="2">
        <v>2.0</v>
      </c>
      <c r="M2001" s="4">
        <v>8768.0</v>
      </c>
      <c r="N2001" s="2" t="s">
        <v>30</v>
      </c>
      <c r="O2001" s="2">
        <v>70.0</v>
      </c>
      <c r="P2001" s="2" t="s">
        <v>31</v>
      </c>
      <c r="Q2001" s="2" t="s">
        <v>32</v>
      </c>
      <c r="R2001" s="2">
        <v>42.0</v>
      </c>
      <c r="U2001" s="2" t="b">
        <v>0</v>
      </c>
      <c r="V2001" s="5">
        <v>0.003</v>
      </c>
      <c r="W2001" s="5">
        <v>0.0124</v>
      </c>
      <c r="X2001" s="5">
        <v>3.8E-5</v>
      </c>
      <c r="Y2001" s="2">
        <v>54.45962733</v>
      </c>
      <c r="AA2001" s="2" t="s">
        <v>33</v>
      </c>
    </row>
    <row r="2002">
      <c r="A2002" s="2">
        <v>3834.0</v>
      </c>
      <c r="B2002" s="2" t="s">
        <v>5881</v>
      </c>
      <c r="C2002" s="2" t="s">
        <v>7</v>
      </c>
      <c r="D2002" s="2" t="s">
        <v>5882</v>
      </c>
      <c r="E2002" s="2" t="s">
        <v>5883</v>
      </c>
      <c r="F2002" s="3">
        <v>45981.75</v>
      </c>
      <c r="G2002" s="2">
        <v>7279.0</v>
      </c>
      <c r="H2002" s="2">
        <v>7279.0</v>
      </c>
      <c r="I2002" s="2">
        <v>5689.0</v>
      </c>
      <c r="J2002" s="2">
        <v>16.0</v>
      </c>
      <c r="K2002" s="2">
        <v>15.0</v>
      </c>
      <c r="L2002" s="2">
        <v>0.0</v>
      </c>
      <c r="M2002" s="2">
        <v>0.0</v>
      </c>
      <c r="N2002" s="2" t="s">
        <v>423</v>
      </c>
      <c r="O2002" s="2">
        <v>119.0</v>
      </c>
      <c r="P2002" s="2" t="s">
        <v>31</v>
      </c>
      <c r="Q2002" s="2" t="s">
        <v>1367</v>
      </c>
      <c r="R2002" s="2">
        <v>45.0</v>
      </c>
      <c r="U2002" s="2" t="b">
        <v>0</v>
      </c>
      <c r="V2002" s="5">
        <v>0.0026</v>
      </c>
      <c r="W2002" s="5">
        <v>0.0</v>
      </c>
      <c r="X2002" s="5">
        <v>0.0</v>
      </c>
      <c r="Y2002" s="2">
        <v>0.0</v>
      </c>
      <c r="AA2002" s="2" t="s">
        <v>423</v>
      </c>
    </row>
    <row r="2003">
      <c r="A2003" s="2">
        <v>3842.0</v>
      </c>
      <c r="B2003" s="2" t="s">
        <v>5884</v>
      </c>
      <c r="C2003" s="2" t="s">
        <v>7</v>
      </c>
      <c r="D2003" s="2" t="s">
        <v>5885</v>
      </c>
      <c r="E2003" s="2" t="s">
        <v>5886</v>
      </c>
      <c r="F2003" s="3">
        <v>45982.53680555556</v>
      </c>
      <c r="G2003" s="2">
        <v>65224.0</v>
      </c>
      <c r="H2003" s="2">
        <v>65224.0</v>
      </c>
      <c r="I2003" s="2">
        <v>53434.0</v>
      </c>
      <c r="J2003" s="2">
        <v>182.0</v>
      </c>
      <c r="K2003" s="2">
        <v>165.0</v>
      </c>
      <c r="L2003" s="2">
        <v>1.0</v>
      </c>
      <c r="M2003" s="4">
        <v>1999.0</v>
      </c>
      <c r="N2003" s="2" t="s">
        <v>30</v>
      </c>
      <c r="O2003" s="2">
        <v>70.0</v>
      </c>
      <c r="P2003" s="2" t="s">
        <v>31</v>
      </c>
      <c r="Q2003" s="2" t="s">
        <v>32</v>
      </c>
      <c r="R2003" s="2">
        <v>42.0</v>
      </c>
      <c r="U2003" s="2" t="b">
        <v>0</v>
      </c>
      <c r="V2003" s="5">
        <v>0.0031</v>
      </c>
      <c r="W2003" s="5">
        <v>0.0061</v>
      </c>
      <c r="X2003" s="5">
        <v>1.9E-5</v>
      </c>
      <c r="Y2003" s="2">
        <v>12.11515152</v>
      </c>
      <c r="AA2003" s="2" t="s">
        <v>33</v>
      </c>
    </row>
    <row r="2004">
      <c r="A2004" s="2">
        <v>3843.0</v>
      </c>
      <c r="B2004" s="2" t="s">
        <v>5887</v>
      </c>
      <c r="C2004" s="2" t="s">
        <v>7</v>
      </c>
      <c r="D2004" s="2" t="s">
        <v>5888</v>
      </c>
      <c r="E2004" s="2" t="s">
        <v>5889</v>
      </c>
      <c r="F2004" s="3">
        <v>45982.5375</v>
      </c>
      <c r="G2004" s="2">
        <v>51043.0</v>
      </c>
      <c r="H2004" s="2">
        <v>51043.0</v>
      </c>
      <c r="I2004" s="2">
        <v>41242.0</v>
      </c>
      <c r="J2004" s="2">
        <v>181.0</v>
      </c>
      <c r="K2004" s="2">
        <v>162.0</v>
      </c>
      <c r="L2004" s="2">
        <v>3.0</v>
      </c>
      <c r="M2004" s="4">
        <v>7508.0</v>
      </c>
      <c r="N2004" s="2" t="s">
        <v>36</v>
      </c>
      <c r="O2004" s="2">
        <v>71.0</v>
      </c>
      <c r="P2004" s="2" t="s">
        <v>31</v>
      </c>
      <c r="Q2004" s="2" t="s">
        <v>32</v>
      </c>
      <c r="R2004" s="2">
        <v>49.0</v>
      </c>
      <c r="U2004" s="2" t="b">
        <v>0</v>
      </c>
      <c r="V2004" s="5">
        <v>0.0039</v>
      </c>
      <c r="W2004" s="5">
        <v>0.0185</v>
      </c>
      <c r="X2004" s="5">
        <v>7.3E-5</v>
      </c>
      <c r="Y2004" s="2">
        <v>46.34567901</v>
      </c>
      <c r="AA2004" s="2" t="s">
        <v>33</v>
      </c>
    </row>
    <row r="2005">
      <c r="A2005" s="2">
        <v>3844.0</v>
      </c>
      <c r="B2005" s="2" t="s">
        <v>5890</v>
      </c>
      <c r="C2005" s="2" t="s">
        <v>7</v>
      </c>
      <c r="D2005" s="2" t="s">
        <v>5891</v>
      </c>
      <c r="E2005" s="2" t="s">
        <v>5892</v>
      </c>
      <c r="F2005" s="3">
        <v>45982.625</v>
      </c>
      <c r="G2005" s="2">
        <v>65169.0</v>
      </c>
      <c r="H2005" s="2">
        <v>65169.0</v>
      </c>
      <c r="I2005" s="2">
        <v>53420.0</v>
      </c>
      <c r="J2005" s="2">
        <v>237.0</v>
      </c>
      <c r="K2005" s="2">
        <v>219.0</v>
      </c>
      <c r="L2005" s="2">
        <v>4.0</v>
      </c>
      <c r="M2005" s="4">
        <v>6605.0</v>
      </c>
      <c r="N2005" s="2" t="s">
        <v>30</v>
      </c>
      <c r="O2005" s="2">
        <v>70.0</v>
      </c>
      <c r="P2005" s="2" t="s">
        <v>31</v>
      </c>
      <c r="Q2005" s="2" t="s">
        <v>32</v>
      </c>
      <c r="R2005" s="2">
        <v>30.0</v>
      </c>
      <c r="U2005" s="2" t="b">
        <v>0</v>
      </c>
      <c r="V2005" s="5">
        <v>0.0041</v>
      </c>
      <c r="W2005" s="5">
        <v>0.0183</v>
      </c>
      <c r="X2005" s="5">
        <v>7.5E-5</v>
      </c>
      <c r="Y2005" s="2">
        <v>30.15981735</v>
      </c>
      <c r="Z2005" s="2">
        <v>4382.0</v>
      </c>
      <c r="AA2005" s="2" t="s">
        <v>33</v>
      </c>
    </row>
    <row r="2006">
      <c r="A2006" s="2">
        <v>3845.0</v>
      </c>
      <c r="B2006" s="2" t="s">
        <v>5893</v>
      </c>
      <c r="C2006" s="2" t="s">
        <v>7</v>
      </c>
      <c r="D2006" s="2" t="s">
        <v>5894</v>
      </c>
      <c r="E2006" s="2" t="s">
        <v>5895</v>
      </c>
      <c r="F2006" s="3">
        <v>45982.62847222222</v>
      </c>
      <c r="G2006" s="2">
        <v>50999.0</v>
      </c>
      <c r="H2006" s="2">
        <v>50999.0</v>
      </c>
      <c r="I2006" s="2">
        <v>41394.0</v>
      </c>
      <c r="J2006" s="2">
        <v>192.0</v>
      </c>
      <c r="K2006" s="2">
        <v>177.0</v>
      </c>
      <c r="L2006" s="2">
        <v>4.0</v>
      </c>
      <c r="M2006" s="4">
        <v>6508.0</v>
      </c>
      <c r="N2006" s="2" t="s">
        <v>36</v>
      </c>
      <c r="O2006" s="2">
        <v>71.0</v>
      </c>
      <c r="P2006" s="2" t="s">
        <v>31</v>
      </c>
      <c r="Q2006" s="2" t="s">
        <v>32</v>
      </c>
      <c r="R2006" s="2">
        <v>31.0</v>
      </c>
      <c r="U2006" s="2" t="b">
        <v>1</v>
      </c>
      <c r="V2006" s="5">
        <v>0.0043</v>
      </c>
      <c r="W2006" s="5">
        <v>0.0226</v>
      </c>
      <c r="X2006" s="5">
        <v>9.7E-5</v>
      </c>
      <c r="Y2006" s="2">
        <v>36.76836158</v>
      </c>
      <c r="AA2006" s="2" t="s">
        <v>33</v>
      </c>
    </row>
    <row r="2007">
      <c r="A2007" s="2">
        <v>3847.0</v>
      </c>
      <c r="B2007" s="2" t="s">
        <v>5896</v>
      </c>
      <c r="C2007" s="2" t="s">
        <v>7</v>
      </c>
      <c r="D2007" s="2" t="s">
        <v>5897</v>
      </c>
      <c r="E2007" s="2" t="s">
        <v>5898</v>
      </c>
      <c r="F2007" s="3">
        <v>45982.708333333336</v>
      </c>
      <c r="G2007" s="2">
        <v>51002.0</v>
      </c>
      <c r="H2007" s="2">
        <v>51002.0</v>
      </c>
      <c r="I2007" s="2">
        <v>41302.0</v>
      </c>
      <c r="J2007" s="2">
        <v>180.0</v>
      </c>
      <c r="K2007" s="2">
        <v>167.0</v>
      </c>
      <c r="L2007" s="2">
        <v>1.0</v>
      </c>
      <c r="M2007" s="4">
        <v>3812.0</v>
      </c>
      <c r="N2007" s="2" t="s">
        <v>36</v>
      </c>
      <c r="O2007" s="2">
        <v>71.0</v>
      </c>
      <c r="P2007" s="2" t="s">
        <v>31</v>
      </c>
      <c r="Q2007" s="2" t="s">
        <v>32</v>
      </c>
      <c r="R2007" s="2">
        <v>51.0</v>
      </c>
      <c r="U2007" s="2" t="b">
        <v>1</v>
      </c>
      <c r="V2007" s="5">
        <v>0.004</v>
      </c>
      <c r="W2007" s="5">
        <v>0.006</v>
      </c>
      <c r="X2007" s="5">
        <v>2.4E-5</v>
      </c>
      <c r="Y2007" s="2">
        <v>22.82634731</v>
      </c>
      <c r="AA2007" s="2" t="s">
        <v>33</v>
      </c>
    </row>
    <row r="2008">
      <c r="A2008" s="2">
        <v>3846.0</v>
      </c>
      <c r="B2008" s="2" t="s">
        <v>5899</v>
      </c>
      <c r="C2008" s="2" t="s">
        <v>7</v>
      </c>
      <c r="D2008" s="2" t="s">
        <v>5900</v>
      </c>
      <c r="E2008" s="2" t="s">
        <v>5901</v>
      </c>
      <c r="F2008" s="3">
        <v>45982.708333333336</v>
      </c>
      <c r="G2008" s="2">
        <v>65271.0</v>
      </c>
      <c r="H2008" s="2">
        <v>65271.0</v>
      </c>
      <c r="I2008" s="2">
        <v>53401.0</v>
      </c>
      <c r="J2008" s="2">
        <v>209.0</v>
      </c>
      <c r="K2008" s="2">
        <v>194.0</v>
      </c>
      <c r="L2008" s="2">
        <v>4.0</v>
      </c>
      <c r="M2008" s="4">
        <v>9098.0</v>
      </c>
      <c r="N2008" s="2" t="s">
        <v>30</v>
      </c>
      <c r="O2008" s="2">
        <v>70.0</v>
      </c>
      <c r="P2008" s="2" t="s">
        <v>31</v>
      </c>
      <c r="Q2008" s="2" t="s">
        <v>32</v>
      </c>
      <c r="R2008" s="2">
        <v>47.0</v>
      </c>
      <c r="U2008" s="2" t="b">
        <v>0</v>
      </c>
      <c r="V2008" s="5">
        <v>0.0036</v>
      </c>
      <c r="W2008" s="5">
        <v>0.0206</v>
      </c>
      <c r="X2008" s="5">
        <v>7.5E-5</v>
      </c>
      <c r="Y2008" s="2">
        <v>46.89690722</v>
      </c>
      <c r="Z2008" s="2">
        <v>6462.0</v>
      </c>
      <c r="AA2008" s="2" t="s">
        <v>33</v>
      </c>
    </row>
    <row r="2009">
      <c r="A2009" s="2">
        <v>3860.0</v>
      </c>
      <c r="B2009" s="2" t="s">
        <v>5902</v>
      </c>
      <c r="C2009" s="2" t="s">
        <v>7</v>
      </c>
      <c r="D2009" s="2" t="s">
        <v>5903</v>
      </c>
      <c r="E2009" s="2" t="s">
        <v>5904</v>
      </c>
      <c r="F2009" s="3">
        <v>45982.72083333333</v>
      </c>
      <c r="G2009" s="2">
        <v>7315.0</v>
      </c>
      <c r="H2009" s="2">
        <v>7315.0</v>
      </c>
      <c r="I2009" s="2">
        <v>5729.0</v>
      </c>
      <c r="J2009" s="2">
        <v>16.0</v>
      </c>
      <c r="K2009" s="2">
        <v>15.0</v>
      </c>
      <c r="L2009" s="2">
        <v>0.0</v>
      </c>
      <c r="M2009" s="2">
        <v>0.0</v>
      </c>
      <c r="N2009" s="2" t="s">
        <v>423</v>
      </c>
      <c r="O2009" s="2">
        <v>119.0</v>
      </c>
      <c r="P2009" s="2" t="s">
        <v>31</v>
      </c>
      <c r="Q2009" s="2" t="s">
        <v>1367</v>
      </c>
      <c r="R2009" s="2">
        <v>39.0</v>
      </c>
      <c r="U2009" s="2" t="b">
        <v>0</v>
      </c>
      <c r="V2009" s="5">
        <v>0.0026</v>
      </c>
      <c r="W2009" s="5">
        <v>0.0</v>
      </c>
      <c r="X2009" s="5">
        <v>0.0</v>
      </c>
      <c r="Y2009" s="2">
        <v>0.0</v>
      </c>
      <c r="AA2009" s="2" t="s">
        <v>423</v>
      </c>
    </row>
    <row r="2010">
      <c r="A2010" s="2">
        <v>3861.0</v>
      </c>
      <c r="B2010" s="2" t="s">
        <v>5905</v>
      </c>
      <c r="C2010" s="2" t="s">
        <v>7</v>
      </c>
      <c r="D2010" s="2" t="s">
        <v>5906</v>
      </c>
      <c r="E2010" s="2" t="s">
        <v>5907</v>
      </c>
      <c r="F2010" s="3">
        <v>45982.791666666664</v>
      </c>
      <c r="G2010" s="2">
        <v>7324.0</v>
      </c>
      <c r="H2010" s="2">
        <v>7324.0</v>
      </c>
      <c r="I2010" s="2">
        <v>5675.0</v>
      </c>
      <c r="J2010" s="2">
        <v>23.0</v>
      </c>
      <c r="K2010" s="2">
        <v>23.0</v>
      </c>
      <c r="L2010" s="2">
        <v>0.0</v>
      </c>
      <c r="M2010" s="2">
        <v>0.0</v>
      </c>
      <c r="N2010" s="2" t="s">
        <v>423</v>
      </c>
      <c r="O2010" s="2">
        <v>119.0</v>
      </c>
      <c r="P2010" s="2" t="s">
        <v>31</v>
      </c>
      <c r="Q2010" s="2" t="s">
        <v>1367</v>
      </c>
      <c r="R2010" s="2">
        <v>45.0</v>
      </c>
      <c r="U2010" s="2" t="b">
        <v>0</v>
      </c>
      <c r="V2010" s="5">
        <v>0.0041</v>
      </c>
      <c r="W2010" s="5">
        <v>0.0</v>
      </c>
      <c r="X2010" s="5">
        <v>0.0</v>
      </c>
      <c r="Y2010" s="2">
        <v>0.0</v>
      </c>
      <c r="AA2010" s="2" t="s">
        <v>423</v>
      </c>
    </row>
    <row r="2011">
      <c r="A2011" s="2">
        <v>3849.0</v>
      </c>
      <c r="B2011" s="2" t="s">
        <v>5908</v>
      </c>
      <c r="C2011" s="2" t="s">
        <v>7</v>
      </c>
      <c r="D2011" s="2" t="s">
        <v>5909</v>
      </c>
      <c r="E2011" s="2" t="s">
        <v>5910</v>
      </c>
      <c r="F2011" s="3">
        <v>45983.458333333336</v>
      </c>
      <c r="G2011" s="2">
        <v>51001.0</v>
      </c>
      <c r="H2011" s="2">
        <v>51001.0</v>
      </c>
      <c r="I2011" s="2">
        <v>40914.0</v>
      </c>
      <c r="J2011" s="2">
        <v>158.0</v>
      </c>
      <c r="K2011" s="2">
        <v>146.0</v>
      </c>
      <c r="L2011" s="2">
        <v>3.0</v>
      </c>
      <c r="M2011" s="4">
        <v>11086.0</v>
      </c>
      <c r="N2011" s="2" t="s">
        <v>36</v>
      </c>
      <c r="O2011" s="2">
        <v>71.0</v>
      </c>
      <c r="P2011" s="2" t="s">
        <v>31</v>
      </c>
      <c r="Q2011" s="2" t="s">
        <v>32</v>
      </c>
      <c r="R2011" s="2">
        <v>33.0</v>
      </c>
      <c r="U2011" s="2" t="b">
        <v>0</v>
      </c>
      <c r="V2011" s="5">
        <v>0.0036</v>
      </c>
      <c r="W2011" s="5">
        <v>0.0205</v>
      </c>
      <c r="X2011" s="5">
        <v>7.3E-5</v>
      </c>
      <c r="Y2011" s="2">
        <v>75.93150685</v>
      </c>
      <c r="AA2011" s="2" t="s">
        <v>33</v>
      </c>
    </row>
    <row r="2012">
      <c r="A2012" s="2">
        <v>3848.0</v>
      </c>
      <c r="B2012" s="2" t="s">
        <v>5911</v>
      </c>
      <c r="C2012" s="2" t="s">
        <v>7</v>
      </c>
      <c r="D2012" s="2" t="s">
        <v>5912</v>
      </c>
      <c r="E2012" s="2" t="s">
        <v>5913</v>
      </c>
      <c r="F2012" s="3">
        <v>45983.458333333336</v>
      </c>
      <c r="G2012" s="2">
        <v>65369.0</v>
      </c>
      <c r="H2012" s="2">
        <v>65369.0</v>
      </c>
      <c r="I2012" s="2">
        <v>53190.0</v>
      </c>
      <c r="J2012" s="2">
        <v>137.0</v>
      </c>
      <c r="K2012" s="2">
        <v>133.0</v>
      </c>
      <c r="L2012" s="2">
        <v>4.0</v>
      </c>
      <c r="M2012" s="4">
        <v>30077.0</v>
      </c>
      <c r="N2012" s="2" t="s">
        <v>30</v>
      </c>
      <c r="O2012" s="2">
        <v>70.0</v>
      </c>
      <c r="P2012" s="2" t="s">
        <v>31</v>
      </c>
      <c r="Q2012" s="2" t="s">
        <v>32</v>
      </c>
      <c r="R2012" s="2">
        <v>32.0</v>
      </c>
      <c r="U2012" s="2" t="b">
        <v>0</v>
      </c>
      <c r="V2012" s="5">
        <v>0.0025</v>
      </c>
      <c r="W2012" s="5">
        <v>0.0301</v>
      </c>
      <c r="X2012" s="5">
        <v>7.5E-5</v>
      </c>
      <c r="Y2012" s="2">
        <v>226.1428571</v>
      </c>
      <c r="AA2012" s="2" t="s">
        <v>33</v>
      </c>
    </row>
    <row r="2013">
      <c r="A2013" s="2">
        <v>3862.0</v>
      </c>
      <c r="B2013" s="2" t="s">
        <v>5914</v>
      </c>
      <c r="C2013" s="2" t="s">
        <v>7</v>
      </c>
      <c r="D2013" s="2" t="s">
        <v>5915</v>
      </c>
      <c r="E2013" s="2" t="s">
        <v>5916</v>
      </c>
      <c r="F2013" s="3">
        <v>45983.583333333336</v>
      </c>
      <c r="G2013" s="2">
        <v>7307.0</v>
      </c>
      <c r="H2013" s="2">
        <v>7307.0</v>
      </c>
      <c r="I2013" s="2">
        <v>2634.0</v>
      </c>
      <c r="J2013" s="2">
        <v>12.0</v>
      </c>
      <c r="K2013" s="2">
        <v>12.0</v>
      </c>
      <c r="L2013" s="2">
        <v>0.0</v>
      </c>
      <c r="M2013" s="2">
        <v>0.0</v>
      </c>
      <c r="N2013" s="2" t="s">
        <v>423</v>
      </c>
      <c r="O2013" s="2">
        <v>119.0</v>
      </c>
      <c r="P2013" s="2" t="s">
        <v>31</v>
      </c>
      <c r="Q2013" s="2" t="s">
        <v>1367</v>
      </c>
      <c r="R2013" s="2">
        <v>41.0</v>
      </c>
      <c r="U2013" s="2" t="b">
        <v>0</v>
      </c>
      <c r="V2013" s="5">
        <v>0.0046</v>
      </c>
      <c r="W2013" s="5">
        <v>0.0</v>
      </c>
      <c r="X2013" s="5">
        <v>0.0</v>
      </c>
      <c r="Y2013" s="2">
        <v>0.0</v>
      </c>
      <c r="AA2013" s="2" t="s">
        <v>423</v>
      </c>
    </row>
    <row r="2014">
      <c r="A2014" s="2">
        <v>3851.0</v>
      </c>
      <c r="B2014" s="2" t="s">
        <v>5917</v>
      </c>
      <c r="C2014" s="2" t="s">
        <v>7</v>
      </c>
      <c r="D2014" s="2" t="s">
        <v>5918</v>
      </c>
      <c r="E2014" s="2" t="s">
        <v>5919</v>
      </c>
      <c r="F2014" s="3">
        <v>45983.625</v>
      </c>
      <c r="G2014" s="2">
        <v>51032.0</v>
      </c>
      <c r="H2014" s="2">
        <v>51032.0</v>
      </c>
      <c r="I2014" s="2">
        <v>41235.0</v>
      </c>
      <c r="J2014" s="2">
        <v>203.0</v>
      </c>
      <c r="K2014" s="2">
        <v>192.0</v>
      </c>
      <c r="L2014" s="2">
        <v>4.0</v>
      </c>
      <c r="M2014" s="4">
        <v>8048.0</v>
      </c>
      <c r="N2014" s="2" t="s">
        <v>36</v>
      </c>
      <c r="O2014" s="2">
        <v>71.0</v>
      </c>
      <c r="P2014" s="2" t="s">
        <v>31</v>
      </c>
      <c r="Q2014" s="2" t="s">
        <v>32</v>
      </c>
      <c r="R2014" s="2">
        <v>27.0</v>
      </c>
      <c r="U2014" s="2" t="b">
        <v>1</v>
      </c>
      <c r="V2014" s="5">
        <v>0.0047</v>
      </c>
      <c r="W2014" s="5">
        <v>0.0208</v>
      </c>
      <c r="X2014" s="5">
        <v>9.7E-5</v>
      </c>
      <c r="Y2014" s="2">
        <v>41.91666667</v>
      </c>
      <c r="AA2014" s="2" t="s">
        <v>33</v>
      </c>
    </row>
    <row r="2015">
      <c r="A2015" s="2">
        <v>3850.0</v>
      </c>
      <c r="B2015" s="2" t="s">
        <v>5920</v>
      </c>
      <c r="C2015" s="2" t="s">
        <v>7</v>
      </c>
      <c r="D2015" s="2" t="s">
        <v>5921</v>
      </c>
      <c r="E2015" s="2" t="s">
        <v>5922</v>
      </c>
      <c r="F2015" s="3">
        <v>45983.625</v>
      </c>
      <c r="G2015" s="2">
        <v>65479.0</v>
      </c>
      <c r="H2015" s="2">
        <v>65479.0</v>
      </c>
      <c r="I2015" s="2">
        <v>53583.0</v>
      </c>
      <c r="J2015" s="2">
        <v>253.0</v>
      </c>
      <c r="K2015" s="2">
        <v>243.0</v>
      </c>
      <c r="L2015" s="2">
        <v>2.0</v>
      </c>
      <c r="M2015" s="4">
        <v>3445.0</v>
      </c>
      <c r="N2015" s="2" t="s">
        <v>30</v>
      </c>
      <c r="O2015" s="2">
        <v>70.0</v>
      </c>
      <c r="P2015" s="2" t="s">
        <v>31</v>
      </c>
      <c r="Q2015" s="2" t="s">
        <v>32</v>
      </c>
      <c r="R2015" s="2">
        <v>26.0</v>
      </c>
      <c r="U2015" s="2" t="b">
        <v>0</v>
      </c>
      <c r="V2015" s="5">
        <v>0.0045</v>
      </c>
      <c r="W2015" s="5">
        <v>0.0082</v>
      </c>
      <c r="X2015" s="5">
        <v>3.7E-5</v>
      </c>
      <c r="Y2015" s="2">
        <v>14.17695473</v>
      </c>
      <c r="Z2015" s="2">
        <v>1594.0</v>
      </c>
      <c r="AA2015" s="2" t="s">
        <v>33</v>
      </c>
    </row>
    <row r="2016">
      <c r="A2016" s="2">
        <v>3863.0</v>
      </c>
      <c r="B2016" s="2" t="s">
        <v>5923</v>
      </c>
      <c r="C2016" s="2" t="s">
        <v>7</v>
      </c>
      <c r="D2016" s="2" t="s">
        <v>5924</v>
      </c>
      <c r="E2016" s="2" t="s">
        <v>5925</v>
      </c>
      <c r="F2016" s="3">
        <v>45983.666666666664</v>
      </c>
      <c r="G2016" s="2">
        <v>7312.0</v>
      </c>
      <c r="H2016" s="2">
        <v>7312.0</v>
      </c>
      <c r="I2016" s="2">
        <v>5752.0</v>
      </c>
      <c r="J2016" s="2">
        <v>26.0</v>
      </c>
      <c r="K2016" s="2">
        <v>26.0</v>
      </c>
      <c r="L2016" s="2">
        <v>0.0</v>
      </c>
      <c r="M2016" s="2">
        <v>0.0</v>
      </c>
      <c r="N2016" s="2" t="s">
        <v>423</v>
      </c>
      <c r="O2016" s="2">
        <v>119.0</v>
      </c>
      <c r="P2016" s="2" t="s">
        <v>31</v>
      </c>
      <c r="Q2016" s="2" t="s">
        <v>1367</v>
      </c>
      <c r="R2016" s="2">
        <v>44.0</v>
      </c>
      <c r="U2016" s="2" t="b">
        <v>0</v>
      </c>
      <c r="V2016" s="5">
        <v>0.0045</v>
      </c>
      <c r="W2016" s="5">
        <v>0.0</v>
      </c>
      <c r="X2016" s="5">
        <v>0.0</v>
      </c>
      <c r="Y2016" s="2">
        <v>0.0</v>
      </c>
      <c r="AA2016" s="2" t="s">
        <v>423</v>
      </c>
    </row>
    <row r="2017">
      <c r="A2017" s="2">
        <v>3853.0</v>
      </c>
      <c r="B2017" s="2" t="s">
        <v>5926</v>
      </c>
      <c r="C2017" s="2" t="s">
        <v>7</v>
      </c>
      <c r="D2017" s="2" t="s">
        <v>5927</v>
      </c>
      <c r="E2017" s="2" t="s">
        <v>5928</v>
      </c>
      <c r="F2017" s="3">
        <v>45983.708333333336</v>
      </c>
      <c r="G2017" s="2">
        <v>51059.0</v>
      </c>
      <c r="H2017" s="2">
        <v>51059.0</v>
      </c>
      <c r="I2017" s="2">
        <v>41264.0</v>
      </c>
      <c r="J2017" s="2">
        <v>177.0</v>
      </c>
      <c r="K2017" s="2">
        <v>172.0</v>
      </c>
      <c r="L2017" s="2">
        <v>2.0</v>
      </c>
      <c r="M2017" s="4">
        <v>3993.0</v>
      </c>
      <c r="N2017" s="2" t="s">
        <v>36</v>
      </c>
      <c r="O2017" s="2">
        <v>71.0</v>
      </c>
      <c r="P2017" s="2" t="s">
        <v>31</v>
      </c>
      <c r="Q2017" s="2" t="s">
        <v>32</v>
      </c>
      <c r="R2017" s="2">
        <v>26.0</v>
      </c>
      <c r="U2017" s="2" t="b">
        <v>0</v>
      </c>
      <c r="V2017" s="5">
        <v>0.0042</v>
      </c>
      <c r="W2017" s="5">
        <v>0.0116</v>
      </c>
      <c r="X2017" s="5">
        <v>4.8E-5</v>
      </c>
      <c r="Y2017" s="2">
        <v>23.21511628</v>
      </c>
      <c r="AA2017" s="2" t="s">
        <v>33</v>
      </c>
    </row>
    <row r="2018">
      <c r="A2018" s="2">
        <v>3852.0</v>
      </c>
      <c r="B2018" s="2" t="s">
        <v>5929</v>
      </c>
      <c r="C2018" s="2" t="s">
        <v>7</v>
      </c>
      <c r="D2018" s="2" t="s">
        <v>5930</v>
      </c>
      <c r="E2018" s="2" t="s">
        <v>5931</v>
      </c>
      <c r="F2018" s="3">
        <v>45983.708333333336</v>
      </c>
      <c r="G2018" s="2">
        <v>65537.0</v>
      </c>
      <c r="H2018" s="2">
        <v>65537.0</v>
      </c>
      <c r="I2018" s="2">
        <v>53551.0</v>
      </c>
      <c r="J2018" s="2">
        <v>201.0</v>
      </c>
      <c r="K2018" s="2">
        <v>189.0</v>
      </c>
      <c r="L2018" s="2">
        <v>3.0</v>
      </c>
      <c r="M2018" s="4">
        <v>3886.0</v>
      </c>
      <c r="N2018" s="2" t="s">
        <v>30</v>
      </c>
      <c r="O2018" s="2">
        <v>70.0</v>
      </c>
      <c r="P2018" s="2" t="s">
        <v>31</v>
      </c>
      <c r="Q2018" s="2" t="s">
        <v>32</v>
      </c>
      <c r="R2018" s="2">
        <v>26.0</v>
      </c>
      <c r="U2018" s="2" t="b">
        <v>0</v>
      </c>
      <c r="V2018" s="5">
        <v>0.0035</v>
      </c>
      <c r="W2018" s="5">
        <v>0.0159</v>
      </c>
      <c r="X2018" s="5">
        <v>5.6E-5</v>
      </c>
      <c r="Y2018" s="2">
        <v>20.56084656</v>
      </c>
      <c r="AA2018" s="2" t="s">
        <v>33</v>
      </c>
    </row>
    <row r="2019">
      <c r="A2019" s="2">
        <v>3855.0</v>
      </c>
      <c r="B2019" s="2" t="s">
        <v>5932</v>
      </c>
      <c r="C2019" s="2" t="s">
        <v>7</v>
      </c>
      <c r="D2019" s="2" t="s">
        <v>5933</v>
      </c>
      <c r="E2019" s="2" t="s">
        <v>5934</v>
      </c>
      <c r="F2019" s="3">
        <v>45984.458333333336</v>
      </c>
      <c r="G2019" s="2">
        <v>51165.0</v>
      </c>
      <c r="H2019" s="2">
        <v>51165.0</v>
      </c>
      <c r="I2019" s="2">
        <v>41005.0</v>
      </c>
      <c r="J2019" s="2">
        <v>149.0</v>
      </c>
      <c r="K2019" s="2">
        <v>141.0</v>
      </c>
      <c r="L2019" s="2">
        <v>3.0</v>
      </c>
      <c r="M2019" s="4">
        <v>6197.0</v>
      </c>
      <c r="N2019" s="2" t="s">
        <v>36</v>
      </c>
      <c r="O2019" s="2">
        <v>71.0</v>
      </c>
      <c r="P2019" s="2" t="s">
        <v>31</v>
      </c>
      <c r="Q2019" s="2" t="s">
        <v>32</v>
      </c>
      <c r="R2019" s="2">
        <v>44.0</v>
      </c>
      <c r="U2019" s="2" t="b">
        <v>1</v>
      </c>
      <c r="V2019" s="5">
        <v>0.0034</v>
      </c>
      <c r="W2019" s="5">
        <v>0.0213</v>
      </c>
      <c r="X2019" s="5">
        <v>7.3E-5</v>
      </c>
      <c r="Y2019" s="2">
        <v>43.95035461</v>
      </c>
      <c r="AA2019" s="2" t="s">
        <v>33</v>
      </c>
    </row>
    <row r="2020">
      <c r="A2020" s="2">
        <v>3854.0</v>
      </c>
      <c r="B2020" s="2" t="s">
        <v>5935</v>
      </c>
      <c r="C2020" s="2" t="s">
        <v>7</v>
      </c>
      <c r="D2020" s="2" t="s">
        <v>5936</v>
      </c>
      <c r="E2020" s="2" t="s">
        <v>5937</v>
      </c>
      <c r="F2020" s="3">
        <v>45984.458333333336</v>
      </c>
      <c r="G2020" s="2">
        <v>65731.0</v>
      </c>
      <c r="H2020" s="2">
        <v>65731.0</v>
      </c>
      <c r="I2020" s="2">
        <v>53440.0</v>
      </c>
      <c r="J2020" s="2">
        <v>182.0</v>
      </c>
      <c r="K2020" s="2">
        <v>171.0</v>
      </c>
      <c r="L2020" s="2">
        <v>3.0</v>
      </c>
      <c r="M2020" s="4">
        <v>16869.0</v>
      </c>
      <c r="N2020" s="2" t="s">
        <v>30</v>
      </c>
      <c r="O2020" s="2">
        <v>70.0</v>
      </c>
      <c r="P2020" s="2" t="s">
        <v>31</v>
      </c>
      <c r="Q2020" s="2" t="s">
        <v>32</v>
      </c>
      <c r="R2020" s="2">
        <v>47.0</v>
      </c>
      <c r="U2020" s="2" t="b">
        <v>0</v>
      </c>
      <c r="V2020" s="5">
        <v>0.0032</v>
      </c>
      <c r="W2020" s="5">
        <v>0.0175</v>
      </c>
      <c r="X2020" s="5">
        <v>5.6E-5</v>
      </c>
      <c r="Y2020" s="2">
        <v>98.64912281</v>
      </c>
      <c r="Z2020" s="2" t="s">
        <v>1215</v>
      </c>
      <c r="AA2020" s="2" t="s">
        <v>33</v>
      </c>
    </row>
    <row r="2021">
      <c r="A2021" s="2">
        <v>3857.0</v>
      </c>
      <c r="B2021" s="2" t="s">
        <v>5938</v>
      </c>
      <c r="C2021" s="2" t="s">
        <v>7</v>
      </c>
      <c r="D2021" s="2" t="s">
        <v>5939</v>
      </c>
      <c r="E2021" s="2" t="s">
        <v>5940</v>
      </c>
      <c r="F2021" s="3">
        <v>45984.625</v>
      </c>
      <c r="G2021" s="2">
        <v>51198.0</v>
      </c>
      <c r="H2021" s="2">
        <v>51198.0</v>
      </c>
      <c r="I2021" s="2">
        <v>41485.0</v>
      </c>
      <c r="J2021" s="2">
        <v>161.0</v>
      </c>
      <c r="K2021" s="2">
        <v>146.0</v>
      </c>
      <c r="L2021" s="2">
        <v>1.0</v>
      </c>
      <c r="M2021" s="4">
        <v>1350.0</v>
      </c>
      <c r="N2021" s="2" t="s">
        <v>36</v>
      </c>
      <c r="O2021" s="2">
        <v>71.0</v>
      </c>
      <c r="P2021" s="2" t="s">
        <v>31</v>
      </c>
      <c r="Q2021" s="2" t="s">
        <v>32</v>
      </c>
      <c r="R2021" s="2">
        <v>37.0</v>
      </c>
      <c r="U2021" s="2" t="b">
        <v>0</v>
      </c>
      <c r="V2021" s="5">
        <v>0.0035</v>
      </c>
      <c r="W2021" s="5">
        <v>0.0068</v>
      </c>
      <c r="X2021" s="5">
        <v>2.4E-5</v>
      </c>
      <c r="Y2021" s="2">
        <v>9.246575342</v>
      </c>
      <c r="AA2021" s="2" t="s">
        <v>33</v>
      </c>
    </row>
    <row r="2022">
      <c r="A2022" s="2">
        <v>3856.0</v>
      </c>
      <c r="B2022" s="2" t="s">
        <v>5941</v>
      </c>
      <c r="C2022" s="2" t="s">
        <v>7</v>
      </c>
      <c r="D2022" s="2" t="s">
        <v>5942</v>
      </c>
      <c r="E2022" s="2" t="s">
        <v>5943</v>
      </c>
      <c r="F2022" s="3">
        <v>45984.625</v>
      </c>
      <c r="G2022" s="2">
        <v>65834.0</v>
      </c>
      <c r="H2022" s="2">
        <v>65834.0</v>
      </c>
      <c r="I2022" s="2">
        <v>53853.0</v>
      </c>
      <c r="J2022" s="2">
        <v>177.0</v>
      </c>
      <c r="K2022" s="2">
        <v>162.0</v>
      </c>
      <c r="L2022" s="2">
        <v>1.0</v>
      </c>
      <c r="M2022" s="4">
        <v>1129.0</v>
      </c>
      <c r="N2022" s="2" t="s">
        <v>30</v>
      </c>
      <c r="O2022" s="2">
        <v>70.0</v>
      </c>
      <c r="P2022" s="2" t="s">
        <v>31</v>
      </c>
      <c r="Q2022" s="2" t="s">
        <v>32</v>
      </c>
      <c r="R2022" s="2">
        <v>36.0</v>
      </c>
      <c r="U2022" s="2" t="b">
        <v>0</v>
      </c>
      <c r="V2022" s="5">
        <v>0.003</v>
      </c>
      <c r="W2022" s="5">
        <v>0.0062</v>
      </c>
      <c r="X2022" s="5">
        <v>1.9E-5</v>
      </c>
      <c r="Y2022" s="2">
        <v>6.969135802</v>
      </c>
      <c r="Z2022" s="2">
        <v>4338.0</v>
      </c>
      <c r="AA2022" s="2" t="s">
        <v>33</v>
      </c>
    </row>
    <row r="2023">
      <c r="A2023" s="2">
        <v>3859.0</v>
      </c>
      <c r="B2023" s="2" t="s">
        <v>5944</v>
      </c>
      <c r="C2023" s="2" t="s">
        <v>7</v>
      </c>
      <c r="D2023" s="2" t="s">
        <v>5945</v>
      </c>
      <c r="E2023" s="2" t="s">
        <v>5946</v>
      </c>
      <c r="F2023" s="3">
        <v>45984.708333333336</v>
      </c>
      <c r="G2023" s="2">
        <v>51225.0</v>
      </c>
      <c r="H2023" s="2">
        <v>51225.0</v>
      </c>
      <c r="I2023" s="2">
        <v>41456.0</v>
      </c>
      <c r="J2023" s="2">
        <v>195.0</v>
      </c>
      <c r="K2023" s="2">
        <v>189.0</v>
      </c>
      <c r="L2023" s="2">
        <v>1.0</v>
      </c>
      <c r="M2023" s="4">
        <v>5600.0</v>
      </c>
      <c r="N2023" s="2" t="s">
        <v>36</v>
      </c>
      <c r="O2023" s="2">
        <v>71.0</v>
      </c>
      <c r="P2023" s="2" t="s">
        <v>31</v>
      </c>
      <c r="Q2023" s="2" t="s">
        <v>32</v>
      </c>
      <c r="R2023" s="2">
        <v>28.0</v>
      </c>
      <c r="U2023" s="2" t="b">
        <v>1</v>
      </c>
      <c r="V2023" s="5">
        <v>0.0046</v>
      </c>
      <c r="W2023" s="5">
        <v>0.0053</v>
      </c>
      <c r="X2023" s="5">
        <v>2.4E-5</v>
      </c>
      <c r="Y2023" s="2">
        <v>29.62962963</v>
      </c>
      <c r="AA2023" s="2" t="s">
        <v>33</v>
      </c>
    </row>
    <row r="2024">
      <c r="A2024" s="2">
        <v>3858.0</v>
      </c>
      <c r="B2024" s="2" t="s">
        <v>5947</v>
      </c>
      <c r="C2024" s="2" t="s">
        <v>7</v>
      </c>
      <c r="D2024" s="2" t="s">
        <v>5948</v>
      </c>
      <c r="E2024" s="2" t="s">
        <v>5949</v>
      </c>
      <c r="F2024" s="3">
        <v>45984.708333333336</v>
      </c>
      <c r="G2024" s="2">
        <v>65905.0</v>
      </c>
      <c r="H2024" s="2">
        <v>65905.0</v>
      </c>
      <c r="I2024" s="2">
        <v>53967.0</v>
      </c>
      <c r="J2024" s="2">
        <v>224.0</v>
      </c>
      <c r="K2024" s="2">
        <v>207.0</v>
      </c>
      <c r="L2024" s="2">
        <v>4.0</v>
      </c>
      <c r="M2024" s="4">
        <v>6892.0</v>
      </c>
      <c r="N2024" s="2" t="s">
        <v>30</v>
      </c>
      <c r="O2024" s="2">
        <v>70.0</v>
      </c>
      <c r="P2024" s="2" t="s">
        <v>31</v>
      </c>
      <c r="Q2024" s="2" t="s">
        <v>32</v>
      </c>
      <c r="R2024" s="2">
        <v>27.0</v>
      </c>
      <c r="U2024" s="2" t="b">
        <v>0</v>
      </c>
      <c r="V2024" s="5">
        <v>0.0038</v>
      </c>
      <c r="W2024" s="5">
        <v>0.0193</v>
      </c>
      <c r="X2024" s="5">
        <v>7.4E-5</v>
      </c>
      <c r="Y2024" s="2">
        <v>33.29468599</v>
      </c>
      <c r="Z2024" s="2">
        <v>4763.0</v>
      </c>
      <c r="AA2024" s="2" t="s">
        <v>33</v>
      </c>
    </row>
    <row r="2025">
      <c r="A2025" s="2">
        <v>3864.0</v>
      </c>
      <c r="B2025" s="2" t="s">
        <v>5950</v>
      </c>
      <c r="C2025" s="2" t="s">
        <v>7</v>
      </c>
      <c r="D2025" s="2" t="s">
        <v>5951</v>
      </c>
      <c r="E2025" s="2" t="s">
        <v>5952</v>
      </c>
      <c r="F2025" s="3">
        <v>45985.46111111111</v>
      </c>
      <c r="G2025" s="2">
        <v>66060.0</v>
      </c>
      <c r="H2025" s="2">
        <v>66060.0</v>
      </c>
      <c r="I2025" s="2">
        <v>53947.0</v>
      </c>
      <c r="J2025" s="2">
        <v>195.0</v>
      </c>
      <c r="K2025" s="2">
        <v>188.0</v>
      </c>
      <c r="L2025" s="2">
        <v>2.0</v>
      </c>
      <c r="M2025" s="4">
        <v>7644.0</v>
      </c>
      <c r="N2025" s="2" t="s">
        <v>30</v>
      </c>
      <c r="O2025" s="2">
        <v>70.0</v>
      </c>
      <c r="P2025" s="2" t="s">
        <v>31</v>
      </c>
      <c r="Q2025" s="2" t="s">
        <v>32</v>
      </c>
      <c r="R2025" s="2">
        <v>36.0</v>
      </c>
      <c r="U2025" s="2" t="b">
        <v>0</v>
      </c>
      <c r="V2025" s="5">
        <v>0.0035</v>
      </c>
      <c r="W2025" s="5">
        <v>0.0106</v>
      </c>
      <c r="X2025" s="5">
        <v>3.7E-5</v>
      </c>
      <c r="Y2025" s="2">
        <v>40.65957447</v>
      </c>
      <c r="Z2025" s="2">
        <v>3005.0</v>
      </c>
      <c r="AA2025" s="2" t="s">
        <v>33</v>
      </c>
    </row>
    <row r="2026">
      <c r="A2026" s="2">
        <v>3865.0</v>
      </c>
      <c r="B2026" s="2" t="s">
        <v>5953</v>
      </c>
      <c r="C2026" s="2" t="s">
        <v>7</v>
      </c>
      <c r="D2026" s="2" t="s">
        <v>5954</v>
      </c>
      <c r="E2026" s="2" t="s">
        <v>5955</v>
      </c>
      <c r="F2026" s="3">
        <v>45985.461805555555</v>
      </c>
      <c r="G2026" s="2">
        <v>51268.0</v>
      </c>
      <c r="H2026" s="2">
        <v>51268.0</v>
      </c>
      <c r="I2026" s="2">
        <v>41335.0</v>
      </c>
      <c r="J2026" s="2">
        <v>167.0</v>
      </c>
      <c r="K2026" s="2">
        <v>152.0</v>
      </c>
      <c r="L2026" s="2">
        <v>4.0</v>
      </c>
      <c r="M2026" s="4">
        <v>20185.0</v>
      </c>
      <c r="N2026" s="2" t="s">
        <v>36</v>
      </c>
      <c r="O2026" s="2">
        <v>71.0</v>
      </c>
      <c r="P2026" s="2" t="s">
        <v>31</v>
      </c>
      <c r="Q2026" s="2" t="s">
        <v>32</v>
      </c>
      <c r="R2026" s="2">
        <v>36.0</v>
      </c>
      <c r="U2026" s="2" t="b">
        <v>0</v>
      </c>
      <c r="V2026" s="5">
        <v>0.0037</v>
      </c>
      <c r="W2026" s="5">
        <v>0.0263</v>
      </c>
      <c r="X2026" s="5">
        <v>9.7E-5</v>
      </c>
      <c r="Y2026" s="2">
        <v>132.7960526</v>
      </c>
      <c r="AA2026" s="2" t="s">
        <v>33</v>
      </c>
    </row>
    <row r="2027">
      <c r="A2027" s="2">
        <v>3870.0</v>
      </c>
      <c r="B2027" s="2" t="s">
        <v>5956</v>
      </c>
      <c r="C2027" s="2" t="s">
        <v>7</v>
      </c>
      <c r="D2027" s="2" t="s">
        <v>5957</v>
      </c>
      <c r="E2027" s="2" t="s">
        <v>5958</v>
      </c>
      <c r="F2027" s="3">
        <v>45985.583333333336</v>
      </c>
      <c r="G2027" s="2">
        <v>7230.0</v>
      </c>
      <c r="H2027" s="2">
        <v>7230.0</v>
      </c>
      <c r="I2027" s="2">
        <v>5632.0</v>
      </c>
      <c r="J2027" s="2">
        <v>37.0</v>
      </c>
      <c r="K2027" s="2">
        <v>33.0</v>
      </c>
      <c r="L2027" s="2">
        <v>0.0</v>
      </c>
      <c r="M2027" s="2">
        <v>0.0</v>
      </c>
      <c r="N2027" s="2" t="s">
        <v>423</v>
      </c>
      <c r="O2027" s="2">
        <v>119.0</v>
      </c>
      <c r="P2027" s="2" t="s">
        <v>31</v>
      </c>
      <c r="Q2027" s="2" t="s">
        <v>1367</v>
      </c>
      <c r="R2027" s="2">
        <v>42.0</v>
      </c>
      <c r="U2027" s="2" t="b">
        <v>0</v>
      </c>
      <c r="V2027" s="5">
        <v>0.0059</v>
      </c>
      <c r="W2027" s="5">
        <v>0.0</v>
      </c>
      <c r="X2027" s="5">
        <v>0.0</v>
      </c>
      <c r="Y2027" s="2">
        <v>0.0</v>
      </c>
      <c r="AA2027" s="2" t="s">
        <v>423</v>
      </c>
    </row>
    <row r="2028">
      <c r="A2028" s="2">
        <v>3867.0</v>
      </c>
      <c r="B2028" s="2" t="s">
        <v>5959</v>
      </c>
      <c r="C2028" s="2" t="s">
        <v>7</v>
      </c>
      <c r="D2028" s="2" t="s">
        <v>5960</v>
      </c>
      <c r="E2028" s="2" t="s">
        <v>5961</v>
      </c>
      <c r="F2028" s="3">
        <v>45985.625</v>
      </c>
      <c r="G2028" s="2">
        <v>51277.0</v>
      </c>
      <c r="H2028" s="2">
        <v>51277.0</v>
      </c>
      <c r="I2028" s="2">
        <v>41373.0</v>
      </c>
      <c r="J2028" s="2">
        <v>159.0</v>
      </c>
      <c r="K2028" s="2">
        <v>146.0</v>
      </c>
      <c r="L2028" s="2">
        <v>2.0</v>
      </c>
      <c r="M2028" s="4">
        <v>3288.0</v>
      </c>
      <c r="N2028" s="2" t="s">
        <v>36</v>
      </c>
      <c r="O2028" s="2">
        <v>71.0</v>
      </c>
      <c r="P2028" s="2" t="s">
        <v>31</v>
      </c>
      <c r="Q2028" s="2" t="s">
        <v>32</v>
      </c>
      <c r="R2028" s="2">
        <v>27.0</v>
      </c>
      <c r="U2028" s="2" t="b">
        <v>0</v>
      </c>
      <c r="V2028" s="5">
        <v>0.0035</v>
      </c>
      <c r="W2028" s="5">
        <v>0.0137</v>
      </c>
      <c r="X2028" s="5">
        <v>4.8E-5</v>
      </c>
      <c r="Y2028" s="2">
        <v>22.52054795</v>
      </c>
      <c r="AA2028" s="2" t="s">
        <v>33</v>
      </c>
    </row>
    <row r="2029">
      <c r="A2029" s="2">
        <v>3866.0</v>
      </c>
      <c r="B2029" s="2" t="s">
        <v>5962</v>
      </c>
      <c r="C2029" s="2" t="s">
        <v>7</v>
      </c>
      <c r="D2029" s="2" t="s">
        <v>5963</v>
      </c>
      <c r="E2029" s="2" t="s">
        <v>5964</v>
      </c>
      <c r="F2029" s="3">
        <v>45985.625</v>
      </c>
      <c r="G2029" s="2">
        <v>66093.0</v>
      </c>
      <c r="H2029" s="2">
        <v>66093.0</v>
      </c>
      <c r="I2029" s="2">
        <v>54006.0</v>
      </c>
      <c r="J2029" s="2">
        <v>179.0</v>
      </c>
      <c r="K2029" s="2">
        <v>167.0</v>
      </c>
      <c r="L2029" s="2">
        <v>2.0</v>
      </c>
      <c r="M2029" s="4">
        <v>3570.0</v>
      </c>
      <c r="N2029" s="2" t="s">
        <v>30</v>
      </c>
      <c r="O2029" s="2">
        <v>70.0</v>
      </c>
      <c r="P2029" s="2" t="s">
        <v>31</v>
      </c>
      <c r="Q2029" s="2" t="s">
        <v>32</v>
      </c>
      <c r="R2029" s="2">
        <v>25.0</v>
      </c>
      <c r="U2029" s="2" t="b">
        <v>0</v>
      </c>
      <c r="V2029" s="5">
        <v>0.0031</v>
      </c>
      <c r="W2029" s="5">
        <v>0.012</v>
      </c>
      <c r="X2029" s="5">
        <v>3.7E-5</v>
      </c>
      <c r="Y2029" s="2">
        <v>21.37724551</v>
      </c>
      <c r="Z2029" s="2">
        <v>2506.0</v>
      </c>
      <c r="AA2029" s="2" t="s">
        <v>33</v>
      </c>
    </row>
    <row r="2030">
      <c r="A2030" s="2">
        <v>3871.0</v>
      </c>
      <c r="B2030" s="2" t="s">
        <v>5965</v>
      </c>
      <c r="C2030" s="2" t="s">
        <v>7</v>
      </c>
      <c r="D2030" s="2" t="s">
        <v>5966</v>
      </c>
      <c r="E2030" s="2" t="s">
        <v>5967</v>
      </c>
      <c r="F2030" s="3">
        <v>45985.666666666664</v>
      </c>
      <c r="G2030" s="2">
        <v>7233.0</v>
      </c>
      <c r="H2030" s="2">
        <v>7233.0</v>
      </c>
      <c r="I2030" s="2">
        <v>5627.0</v>
      </c>
      <c r="J2030" s="2">
        <v>20.0</v>
      </c>
      <c r="K2030" s="2">
        <v>20.0</v>
      </c>
      <c r="L2030" s="2">
        <v>0.0</v>
      </c>
      <c r="M2030" s="2">
        <v>0.0</v>
      </c>
      <c r="N2030" s="2" t="s">
        <v>423</v>
      </c>
      <c r="O2030" s="2">
        <v>119.0</v>
      </c>
      <c r="P2030" s="2" t="s">
        <v>31</v>
      </c>
      <c r="Q2030" s="2" t="s">
        <v>1367</v>
      </c>
      <c r="R2030" s="2">
        <v>48.0</v>
      </c>
      <c r="U2030" s="2" t="b">
        <v>0</v>
      </c>
      <c r="V2030" s="5">
        <v>0.0036</v>
      </c>
      <c r="W2030" s="5">
        <v>0.0</v>
      </c>
      <c r="X2030" s="5">
        <v>0.0</v>
      </c>
      <c r="Y2030" s="2">
        <v>0.0</v>
      </c>
      <c r="AA2030" s="2" t="s">
        <v>423</v>
      </c>
    </row>
    <row r="2031">
      <c r="A2031" s="2">
        <v>3869.0</v>
      </c>
      <c r="B2031" s="2" t="s">
        <v>5968</v>
      </c>
      <c r="C2031" s="2" t="s">
        <v>7</v>
      </c>
      <c r="D2031" s="2" t="s">
        <v>5969</v>
      </c>
      <c r="E2031" s="2" t="s">
        <v>5970</v>
      </c>
      <c r="F2031" s="3">
        <v>45985.708333333336</v>
      </c>
      <c r="G2031" s="2">
        <v>51307.0</v>
      </c>
      <c r="H2031" s="2">
        <v>51307.0</v>
      </c>
      <c r="I2031" s="2">
        <v>41447.0</v>
      </c>
      <c r="J2031" s="2">
        <v>198.0</v>
      </c>
      <c r="K2031" s="2">
        <v>186.0</v>
      </c>
      <c r="L2031" s="2">
        <v>3.0</v>
      </c>
      <c r="M2031" s="4">
        <v>7722.0</v>
      </c>
      <c r="N2031" s="2" t="s">
        <v>36</v>
      </c>
      <c r="O2031" s="2">
        <v>71.0</v>
      </c>
      <c r="P2031" s="2" t="s">
        <v>31</v>
      </c>
      <c r="Q2031" s="2" t="s">
        <v>32</v>
      </c>
      <c r="R2031" s="2">
        <v>35.0</v>
      </c>
      <c r="U2031" s="2" t="b">
        <v>0</v>
      </c>
      <c r="V2031" s="5">
        <v>0.0045</v>
      </c>
      <c r="W2031" s="5">
        <v>0.0161</v>
      </c>
      <c r="X2031" s="5">
        <v>7.2E-5</v>
      </c>
      <c r="Y2031" s="2">
        <v>41.51612903</v>
      </c>
      <c r="AA2031" s="2" t="s">
        <v>33</v>
      </c>
    </row>
    <row r="2032">
      <c r="A2032" s="2">
        <v>3868.0</v>
      </c>
      <c r="B2032" s="2" t="s">
        <v>5971</v>
      </c>
      <c r="C2032" s="2" t="s">
        <v>7</v>
      </c>
      <c r="D2032" s="2" t="s">
        <v>5972</v>
      </c>
      <c r="E2032" s="2" t="s">
        <v>5973</v>
      </c>
      <c r="F2032" s="3">
        <v>45985.708333333336</v>
      </c>
      <c r="G2032" s="2">
        <v>66161.0</v>
      </c>
      <c r="H2032" s="2">
        <v>66161.0</v>
      </c>
      <c r="I2032" s="2">
        <v>53928.0</v>
      </c>
      <c r="J2032" s="2">
        <v>203.0</v>
      </c>
      <c r="K2032" s="2">
        <v>190.0</v>
      </c>
      <c r="L2032" s="2">
        <v>3.0</v>
      </c>
      <c r="M2032" s="4">
        <v>13032.0</v>
      </c>
      <c r="N2032" s="2" t="s">
        <v>30</v>
      </c>
      <c r="O2032" s="2">
        <v>70.0</v>
      </c>
      <c r="P2032" s="2" t="s">
        <v>31</v>
      </c>
      <c r="Q2032" s="2" t="s">
        <v>32</v>
      </c>
      <c r="R2032" s="2">
        <v>30.0</v>
      </c>
      <c r="U2032" s="2" t="b">
        <v>0</v>
      </c>
      <c r="V2032" s="5">
        <v>0.0035</v>
      </c>
      <c r="W2032" s="5">
        <v>0.0158</v>
      </c>
      <c r="X2032" s="5">
        <v>5.6E-5</v>
      </c>
      <c r="Y2032" s="2">
        <v>68.58947368</v>
      </c>
      <c r="AA2032" s="2" t="s">
        <v>33</v>
      </c>
    </row>
    <row r="2033">
      <c r="A2033" s="2">
        <v>3874.0</v>
      </c>
      <c r="B2033" s="2" t="s">
        <v>5974</v>
      </c>
      <c r="C2033" s="2" t="s">
        <v>7</v>
      </c>
      <c r="D2033" s="2" t="s">
        <v>3333</v>
      </c>
      <c r="E2033" s="2" t="s">
        <v>3334</v>
      </c>
      <c r="F2033" s="3">
        <v>45987.458333333336</v>
      </c>
      <c r="G2033" s="2">
        <v>50688.0</v>
      </c>
      <c r="H2033" s="2">
        <v>50688.0</v>
      </c>
      <c r="I2033" s="2">
        <v>40418.0</v>
      </c>
      <c r="J2033" s="2">
        <v>175.0</v>
      </c>
      <c r="K2033" s="2">
        <v>169.0</v>
      </c>
      <c r="L2033" s="2">
        <v>2.0</v>
      </c>
      <c r="M2033" s="4">
        <v>16567.0</v>
      </c>
      <c r="N2033" s="2" t="s">
        <v>36</v>
      </c>
      <c r="O2033" s="2">
        <v>71.0</v>
      </c>
      <c r="P2033" s="2" t="s">
        <v>31</v>
      </c>
      <c r="Q2033" s="2" t="s">
        <v>32</v>
      </c>
      <c r="R2033" s="2">
        <v>43.0</v>
      </c>
      <c r="U2033" s="2" t="b">
        <v>0</v>
      </c>
      <c r="V2033" s="5">
        <v>0.0042</v>
      </c>
      <c r="W2033" s="5">
        <v>0.0118</v>
      </c>
      <c r="X2033" s="5">
        <v>4.9E-5</v>
      </c>
      <c r="Y2033" s="2">
        <v>98.0295858</v>
      </c>
      <c r="AA2033" s="2" t="s">
        <v>33</v>
      </c>
    </row>
    <row r="2034">
      <c r="A2034" s="2">
        <v>3873.0</v>
      </c>
      <c r="B2034" s="2" t="s">
        <v>5975</v>
      </c>
      <c r="C2034" s="2" t="s">
        <v>7</v>
      </c>
      <c r="D2034" s="2" t="s">
        <v>3908</v>
      </c>
      <c r="E2034" s="2" t="s">
        <v>3337</v>
      </c>
      <c r="F2034" s="3">
        <v>45987.458333333336</v>
      </c>
      <c r="G2034" s="2">
        <v>65193.0</v>
      </c>
      <c r="H2034" s="2">
        <v>65193.0</v>
      </c>
      <c r="I2034" s="2">
        <v>52805.0</v>
      </c>
      <c r="J2034" s="2">
        <v>189.0</v>
      </c>
      <c r="K2034" s="2">
        <v>179.0</v>
      </c>
      <c r="L2034" s="2">
        <v>2.0</v>
      </c>
      <c r="M2034" s="4">
        <v>4987.0</v>
      </c>
      <c r="N2034" s="2" t="s">
        <v>30</v>
      </c>
      <c r="O2034" s="2">
        <v>70.0</v>
      </c>
      <c r="P2034" s="2" t="s">
        <v>31</v>
      </c>
      <c r="Q2034" s="2" t="s">
        <v>32</v>
      </c>
      <c r="R2034" s="2">
        <v>31.0</v>
      </c>
      <c r="U2034" s="2" t="b">
        <v>0</v>
      </c>
      <c r="V2034" s="5">
        <v>0.0034</v>
      </c>
      <c r="W2034" s="5">
        <v>0.0112</v>
      </c>
      <c r="X2034" s="5">
        <v>3.8E-5</v>
      </c>
      <c r="Y2034" s="2">
        <v>27.8603352</v>
      </c>
      <c r="AA2034" s="2" t="s">
        <v>33</v>
      </c>
    </row>
    <row r="2035">
      <c r="A2035" s="2">
        <v>3876.0</v>
      </c>
      <c r="B2035" s="2" t="s">
        <v>5976</v>
      </c>
      <c r="C2035" s="2" t="s">
        <v>7</v>
      </c>
      <c r="D2035" s="2" t="s">
        <v>5977</v>
      </c>
      <c r="E2035" s="2" t="s">
        <v>5978</v>
      </c>
      <c r="F2035" s="3">
        <v>45987.625</v>
      </c>
      <c r="G2035" s="2">
        <v>50606.0</v>
      </c>
      <c r="H2035" s="2">
        <v>50606.0</v>
      </c>
      <c r="I2035" s="2">
        <v>41058.0</v>
      </c>
      <c r="J2035" s="2">
        <v>163.0</v>
      </c>
      <c r="K2035" s="2">
        <v>149.0</v>
      </c>
      <c r="L2035" s="2">
        <v>4.0</v>
      </c>
      <c r="M2035" s="4">
        <v>20700.0</v>
      </c>
      <c r="N2035" s="2" t="s">
        <v>36</v>
      </c>
      <c r="O2035" s="2">
        <v>71.0</v>
      </c>
      <c r="P2035" s="2" t="s">
        <v>31</v>
      </c>
      <c r="Q2035" s="2" t="s">
        <v>32</v>
      </c>
      <c r="R2035" s="2">
        <v>51.0</v>
      </c>
      <c r="U2035" s="2" t="b">
        <v>0</v>
      </c>
      <c r="V2035" s="5">
        <v>0.0036</v>
      </c>
      <c r="W2035" s="5">
        <v>0.0268</v>
      </c>
      <c r="X2035" s="5">
        <v>9.7E-5</v>
      </c>
      <c r="Y2035" s="2">
        <v>138.9261745</v>
      </c>
      <c r="AA2035" s="2" t="s">
        <v>33</v>
      </c>
    </row>
    <row r="2036">
      <c r="A2036" s="2">
        <v>3875.0</v>
      </c>
      <c r="B2036" s="2" t="s">
        <v>5979</v>
      </c>
      <c r="C2036" s="2" t="s">
        <v>7</v>
      </c>
      <c r="D2036" s="2" t="s">
        <v>5980</v>
      </c>
      <c r="E2036" s="2" t="s">
        <v>5981</v>
      </c>
      <c r="F2036" s="3">
        <v>45987.625</v>
      </c>
      <c r="G2036" s="2">
        <v>65082.0</v>
      </c>
      <c r="H2036" s="2">
        <v>65082.0</v>
      </c>
      <c r="I2036" s="2">
        <v>53193.0</v>
      </c>
      <c r="J2036" s="2">
        <v>154.0</v>
      </c>
      <c r="K2036" s="2">
        <v>145.0</v>
      </c>
      <c r="L2036" s="2">
        <v>4.0</v>
      </c>
      <c r="M2036" s="4">
        <v>4840.0</v>
      </c>
      <c r="N2036" s="2" t="s">
        <v>30</v>
      </c>
      <c r="O2036" s="2">
        <v>70.0</v>
      </c>
      <c r="P2036" s="2" t="s">
        <v>31</v>
      </c>
      <c r="Q2036" s="2" t="s">
        <v>32</v>
      </c>
      <c r="R2036" s="2">
        <v>41.0</v>
      </c>
      <c r="U2036" s="2" t="b">
        <v>0</v>
      </c>
      <c r="V2036" s="5">
        <v>0.0027</v>
      </c>
      <c r="W2036" s="5">
        <v>0.0276</v>
      </c>
      <c r="X2036" s="5">
        <v>7.5E-5</v>
      </c>
      <c r="Y2036" s="2">
        <v>33.37931034</v>
      </c>
      <c r="Z2036" s="2" t="s">
        <v>307</v>
      </c>
      <c r="AA2036" s="2" t="s">
        <v>33</v>
      </c>
    </row>
    <row r="2037">
      <c r="A2037" s="2">
        <v>3878.0</v>
      </c>
      <c r="B2037" s="2" t="s">
        <v>5982</v>
      </c>
      <c r="C2037" s="2" t="s">
        <v>7</v>
      </c>
      <c r="D2037" s="2" t="s">
        <v>5983</v>
      </c>
      <c r="E2037" s="2" t="s">
        <v>5984</v>
      </c>
      <c r="F2037" s="3">
        <v>45987.708333333336</v>
      </c>
      <c r="G2037" s="2">
        <v>50606.0</v>
      </c>
      <c r="H2037" s="2">
        <v>50606.0</v>
      </c>
      <c r="I2037" s="2">
        <v>40846.0</v>
      </c>
      <c r="J2037" s="2">
        <v>182.0</v>
      </c>
      <c r="K2037" s="2">
        <v>175.0</v>
      </c>
      <c r="L2037" s="2">
        <v>3.0</v>
      </c>
      <c r="M2037" s="4">
        <v>28140.0</v>
      </c>
      <c r="N2037" s="2" t="s">
        <v>36</v>
      </c>
      <c r="O2037" s="2">
        <v>71.0</v>
      </c>
      <c r="P2037" s="2" t="s">
        <v>31</v>
      </c>
      <c r="Q2037" s="2" t="s">
        <v>32</v>
      </c>
      <c r="R2037" s="2">
        <v>45.0</v>
      </c>
      <c r="U2037" s="2" t="b">
        <v>0</v>
      </c>
      <c r="V2037" s="5">
        <v>0.0043</v>
      </c>
      <c r="W2037" s="5">
        <v>0.0171</v>
      </c>
      <c r="X2037" s="5">
        <v>7.3E-5</v>
      </c>
      <c r="Y2037" s="2">
        <v>160.8</v>
      </c>
      <c r="AA2037" s="2" t="s">
        <v>33</v>
      </c>
    </row>
    <row r="2038">
      <c r="A2038" s="2">
        <v>3877.0</v>
      </c>
      <c r="B2038" s="2" t="s">
        <v>5985</v>
      </c>
      <c r="C2038" s="2" t="s">
        <v>7</v>
      </c>
      <c r="D2038" s="2" t="s">
        <v>5986</v>
      </c>
      <c r="E2038" s="2" t="s">
        <v>5987</v>
      </c>
      <c r="F2038" s="3">
        <v>45987.708333333336</v>
      </c>
      <c r="G2038" s="2">
        <v>65102.0</v>
      </c>
      <c r="H2038" s="2">
        <v>65102.0</v>
      </c>
      <c r="I2038" s="2">
        <v>53193.0</v>
      </c>
      <c r="J2038" s="2">
        <v>197.0</v>
      </c>
      <c r="K2038" s="2">
        <v>183.0</v>
      </c>
      <c r="L2038" s="2">
        <v>6.0</v>
      </c>
      <c r="M2038" s="4">
        <v>20244.0</v>
      </c>
      <c r="N2038" s="2" t="s">
        <v>30</v>
      </c>
      <c r="O2038" s="2">
        <v>70.0</v>
      </c>
      <c r="P2038" s="2" t="s">
        <v>31</v>
      </c>
      <c r="Q2038" s="2" t="s">
        <v>32</v>
      </c>
      <c r="R2038" s="2">
        <v>47.0</v>
      </c>
      <c r="U2038" s="2" t="b">
        <v>0</v>
      </c>
      <c r="V2038" s="5">
        <v>0.0034</v>
      </c>
      <c r="W2038" s="5">
        <v>0.0328</v>
      </c>
      <c r="X2038" s="5">
        <v>1.13E-4</v>
      </c>
      <c r="Y2038" s="2">
        <v>110.6229508</v>
      </c>
      <c r="AA2038" s="2" t="s">
        <v>33</v>
      </c>
    </row>
    <row r="2039">
      <c r="A2039" s="2">
        <v>3879.0</v>
      </c>
      <c r="B2039" s="2" t="s">
        <v>5988</v>
      </c>
      <c r="C2039" s="2" t="s">
        <v>7</v>
      </c>
      <c r="D2039" s="2" t="s">
        <v>5989</v>
      </c>
      <c r="E2039" s="2" t="s">
        <v>5990</v>
      </c>
      <c r="F2039" s="3">
        <v>45987.740277777775</v>
      </c>
      <c r="G2039" s="2">
        <v>7209.0</v>
      </c>
      <c r="H2039" s="2">
        <v>7209.0</v>
      </c>
      <c r="I2039" s="2">
        <v>5629.0</v>
      </c>
      <c r="J2039" s="2">
        <v>33.0</v>
      </c>
      <c r="K2039" s="2">
        <v>32.0</v>
      </c>
      <c r="L2039" s="2">
        <v>0.0</v>
      </c>
      <c r="M2039" s="2">
        <v>0.0</v>
      </c>
      <c r="N2039" s="2" t="s">
        <v>423</v>
      </c>
      <c r="O2039" s="2">
        <v>119.0</v>
      </c>
      <c r="P2039" s="2" t="s">
        <v>31</v>
      </c>
      <c r="Q2039" s="2" t="s">
        <v>1367</v>
      </c>
      <c r="R2039" s="2">
        <v>40.0</v>
      </c>
      <c r="U2039" s="2" t="b">
        <v>0</v>
      </c>
      <c r="V2039" s="5">
        <v>0.0057</v>
      </c>
      <c r="W2039" s="5">
        <v>0.0</v>
      </c>
      <c r="X2039" s="5">
        <v>0.0</v>
      </c>
      <c r="Y2039" s="2">
        <v>0.0</v>
      </c>
      <c r="AA2039" s="2" t="s">
        <v>423</v>
      </c>
    </row>
    <row r="2040">
      <c r="A2040" s="2">
        <v>3880.0</v>
      </c>
      <c r="B2040" s="2" t="s">
        <v>5991</v>
      </c>
      <c r="C2040" s="2" t="s">
        <v>7</v>
      </c>
      <c r="D2040" s="2" t="s">
        <v>5992</v>
      </c>
      <c r="E2040" s="2" t="s">
        <v>5993</v>
      </c>
      <c r="F2040" s="3">
        <v>45987.791666666664</v>
      </c>
      <c r="G2040" s="2">
        <v>7174.0</v>
      </c>
      <c r="H2040" s="2">
        <v>7174.0</v>
      </c>
      <c r="I2040" s="2">
        <v>5631.0</v>
      </c>
      <c r="J2040" s="2">
        <v>30.0</v>
      </c>
      <c r="K2040" s="2">
        <v>28.0</v>
      </c>
      <c r="L2040" s="2">
        <v>0.0</v>
      </c>
      <c r="M2040" s="2">
        <v>0.0</v>
      </c>
      <c r="N2040" s="2" t="s">
        <v>423</v>
      </c>
      <c r="O2040" s="2">
        <v>119.0</v>
      </c>
      <c r="P2040" s="2" t="s">
        <v>31</v>
      </c>
      <c r="Q2040" s="2" t="s">
        <v>1367</v>
      </c>
      <c r="R2040" s="2">
        <v>34.0</v>
      </c>
      <c r="U2040" s="2" t="b">
        <v>0</v>
      </c>
      <c r="V2040" s="5">
        <v>0.005</v>
      </c>
      <c r="W2040" s="5">
        <v>0.0</v>
      </c>
      <c r="X2040" s="5">
        <v>0.0</v>
      </c>
      <c r="Y2040" s="2">
        <v>0.0</v>
      </c>
      <c r="AA2040" s="2" t="s">
        <v>423</v>
      </c>
    </row>
    <row r="2041">
      <c r="A2041" s="2">
        <v>3881.0</v>
      </c>
      <c r="B2041" s="2" t="s">
        <v>5994</v>
      </c>
      <c r="C2041" s="2" t="s">
        <v>7</v>
      </c>
      <c r="D2041" s="2" t="s">
        <v>5995</v>
      </c>
      <c r="E2041" s="2" t="s">
        <v>5996</v>
      </c>
      <c r="F2041" s="3">
        <v>45988.48333333333</v>
      </c>
      <c r="G2041" s="2">
        <v>65193.0</v>
      </c>
      <c r="H2041" s="2">
        <v>65193.0</v>
      </c>
      <c r="I2041" s="2">
        <v>53241.0</v>
      </c>
      <c r="J2041" s="2">
        <v>246.0</v>
      </c>
      <c r="K2041" s="2">
        <v>232.0</v>
      </c>
      <c r="L2041" s="2">
        <v>3.0</v>
      </c>
      <c r="M2041" s="4">
        <v>4608.0</v>
      </c>
      <c r="N2041" s="2" t="s">
        <v>30</v>
      </c>
      <c r="O2041" s="2">
        <v>70.0</v>
      </c>
      <c r="P2041" s="2" t="s">
        <v>31</v>
      </c>
      <c r="Q2041" s="2" t="s">
        <v>32</v>
      </c>
      <c r="R2041" s="2">
        <v>42.0</v>
      </c>
      <c r="U2041" s="2" t="b">
        <v>0</v>
      </c>
      <c r="V2041" s="5">
        <v>0.0044</v>
      </c>
      <c r="W2041" s="5">
        <v>0.0129</v>
      </c>
      <c r="X2041" s="5">
        <v>5.6E-5</v>
      </c>
      <c r="Y2041" s="2">
        <v>19.86206897</v>
      </c>
      <c r="Z2041" s="2">
        <v>3596.0</v>
      </c>
      <c r="AA2041" s="2" t="s">
        <v>33</v>
      </c>
    </row>
    <row r="2042">
      <c r="A2042" s="2">
        <v>3882.0</v>
      </c>
      <c r="B2042" s="2" t="s">
        <v>5997</v>
      </c>
      <c r="C2042" s="2" t="s">
        <v>7</v>
      </c>
      <c r="D2042" s="2" t="s">
        <v>5998</v>
      </c>
      <c r="E2042" s="2" t="s">
        <v>5999</v>
      </c>
      <c r="F2042" s="3">
        <v>45988.48611111111</v>
      </c>
      <c r="G2042" s="2">
        <v>50563.0</v>
      </c>
      <c r="H2042" s="2">
        <v>50563.0</v>
      </c>
      <c r="I2042" s="2">
        <v>40758.0</v>
      </c>
      <c r="J2042" s="2">
        <v>202.0</v>
      </c>
      <c r="K2042" s="2">
        <v>189.0</v>
      </c>
      <c r="L2042" s="2">
        <v>3.0</v>
      </c>
      <c r="M2042" s="4">
        <v>13808.0</v>
      </c>
      <c r="N2042" s="2" t="s">
        <v>36</v>
      </c>
      <c r="O2042" s="2">
        <v>71.0</v>
      </c>
      <c r="P2042" s="2" t="s">
        <v>31</v>
      </c>
      <c r="Q2042" s="2" t="s">
        <v>32</v>
      </c>
      <c r="R2042" s="2">
        <v>43.0</v>
      </c>
      <c r="U2042" s="2" t="b">
        <v>1</v>
      </c>
      <c r="V2042" s="5">
        <v>0.0046</v>
      </c>
      <c r="W2042" s="5">
        <v>0.0159</v>
      </c>
      <c r="X2042" s="5">
        <v>7.4E-5</v>
      </c>
      <c r="Y2042" s="2">
        <v>73.05820106</v>
      </c>
      <c r="AA2042" s="2" t="s">
        <v>33</v>
      </c>
    </row>
    <row r="2043">
      <c r="A2043" s="2">
        <v>3885.0</v>
      </c>
      <c r="B2043" s="2" t="s">
        <v>6000</v>
      </c>
      <c r="C2043" s="2" t="s">
        <v>7</v>
      </c>
      <c r="D2043" s="2" t="s">
        <v>6001</v>
      </c>
      <c r="E2043" s="2" t="s">
        <v>6002</v>
      </c>
      <c r="F2043" s="3">
        <v>45989.708333333336</v>
      </c>
      <c r="G2043" s="2">
        <v>50730.0</v>
      </c>
      <c r="H2043" s="2">
        <v>50730.0</v>
      </c>
      <c r="I2043" s="2">
        <v>40178.0</v>
      </c>
      <c r="J2043" s="2">
        <v>157.0</v>
      </c>
      <c r="K2043" s="2">
        <v>149.0</v>
      </c>
      <c r="L2043" s="2">
        <v>1.0</v>
      </c>
      <c r="M2043" s="2">
        <v>990.0</v>
      </c>
      <c r="N2043" s="2" t="s">
        <v>36</v>
      </c>
      <c r="O2043" s="2">
        <v>71.0</v>
      </c>
      <c r="P2043" s="2" t="s">
        <v>31</v>
      </c>
      <c r="Q2043" s="2" t="s">
        <v>32</v>
      </c>
      <c r="R2043" s="2">
        <v>60.0</v>
      </c>
      <c r="U2043" s="2" t="b">
        <v>0</v>
      </c>
      <c r="V2043" s="5">
        <v>0.0037</v>
      </c>
      <c r="W2043" s="5">
        <v>0.0067</v>
      </c>
      <c r="X2043" s="5">
        <v>2.5E-5</v>
      </c>
      <c r="Y2043" s="2">
        <v>6.644295302</v>
      </c>
      <c r="AA2043" s="2" t="s">
        <v>33</v>
      </c>
    </row>
    <row r="2044">
      <c r="A2044" s="2">
        <v>3884.0</v>
      </c>
      <c r="B2044" s="2" t="s">
        <v>6003</v>
      </c>
      <c r="C2044" s="2" t="s">
        <v>7</v>
      </c>
      <c r="D2044" s="2" t="s">
        <v>6004</v>
      </c>
      <c r="E2044" s="2" t="s">
        <v>6005</v>
      </c>
      <c r="F2044" s="3">
        <v>45989.708333333336</v>
      </c>
      <c r="G2044" s="2">
        <v>65562.0</v>
      </c>
      <c r="H2044" s="2">
        <v>65562.0</v>
      </c>
      <c r="I2044" s="2">
        <v>52422.0</v>
      </c>
      <c r="J2044" s="2">
        <v>238.0</v>
      </c>
      <c r="K2044" s="2">
        <v>222.0</v>
      </c>
      <c r="L2044" s="2">
        <v>2.0</v>
      </c>
      <c r="M2044" s="4">
        <v>15769.0</v>
      </c>
      <c r="N2044" s="2" t="s">
        <v>30</v>
      </c>
      <c r="O2044" s="2">
        <v>70.0</v>
      </c>
      <c r="P2044" s="2" t="s">
        <v>31</v>
      </c>
      <c r="Q2044" s="2" t="s">
        <v>32</v>
      </c>
      <c r="R2044" s="2">
        <v>54.0</v>
      </c>
      <c r="U2044" s="2" t="b">
        <v>0</v>
      </c>
      <c r="V2044" s="5">
        <v>0.0042</v>
      </c>
      <c r="W2044" s="5">
        <v>0.009</v>
      </c>
      <c r="X2044" s="5">
        <v>3.8E-5</v>
      </c>
      <c r="Y2044" s="2">
        <v>71.03153153</v>
      </c>
      <c r="Z2044" s="2">
        <v>4975.0</v>
      </c>
      <c r="AA2044" s="2" t="s">
        <v>33</v>
      </c>
    </row>
    <row r="2045">
      <c r="A2045" s="2">
        <v>3886.0</v>
      </c>
      <c r="B2045" s="2" t="s">
        <v>6006</v>
      </c>
      <c r="C2045" s="2" t="s">
        <v>7</v>
      </c>
      <c r="D2045" s="2" t="s">
        <v>6007</v>
      </c>
      <c r="E2045" s="2" t="s">
        <v>6008</v>
      </c>
      <c r="F2045" s="6">
        <v>45992.49722222222</v>
      </c>
      <c r="G2045" s="2">
        <v>65331.0</v>
      </c>
      <c r="H2045" s="2">
        <v>65331.0</v>
      </c>
      <c r="I2045" s="2">
        <v>53608.0</v>
      </c>
      <c r="J2045" s="2">
        <v>255.0</v>
      </c>
      <c r="K2045" s="2">
        <v>243.0</v>
      </c>
      <c r="L2045" s="2">
        <v>9.0</v>
      </c>
      <c r="M2045" s="4">
        <v>30227.0</v>
      </c>
      <c r="N2045" s="2" t="s">
        <v>30</v>
      </c>
      <c r="O2045" s="2">
        <v>70.0</v>
      </c>
      <c r="P2045" s="2" t="s">
        <v>31</v>
      </c>
      <c r="Q2045" s="2" t="s">
        <v>32</v>
      </c>
      <c r="R2045" s="2">
        <v>39.0</v>
      </c>
      <c r="U2045" s="2" t="b">
        <v>0</v>
      </c>
      <c r="V2045" s="5">
        <v>0.0045</v>
      </c>
      <c r="W2045" s="5">
        <v>0.037</v>
      </c>
      <c r="X2045" s="5">
        <v>1.68E-4</v>
      </c>
      <c r="Y2045" s="2">
        <v>124.3909465</v>
      </c>
      <c r="Z2045" s="2">
        <v>2429.0</v>
      </c>
      <c r="AA2045" s="2" t="s">
        <v>33</v>
      </c>
    </row>
    <row r="2046">
      <c r="A2046" s="2">
        <v>3887.0</v>
      </c>
      <c r="B2046" s="2" t="s">
        <v>6009</v>
      </c>
      <c r="C2046" s="2" t="s">
        <v>7</v>
      </c>
      <c r="D2046" s="2" t="s">
        <v>6010</v>
      </c>
      <c r="E2046" s="2" t="s">
        <v>6011</v>
      </c>
      <c r="F2046" s="6">
        <v>45992.50625</v>
      </c>
      <c r="G2046" s="2">
        <v>50445.0</v>
      </c>
      <c r="H2046" s="2">
        <v>50445.0</v>
      </c>
      <c r="I2046" s="2">
        <v>40643.0</v>
      </c>
      <c r="J2046" s="2">
        <v>189.0</v>
      </c>
      <c r="K2046" s="2">
        <v>175.0</v>
      </c>
      <c r="L2046" s="2">
        <v>1.0</v>
      </c>
      <c r="M2046" s="4">
        <v>5596.0</v>
      </c>
      <c r="N2046" s="2" t="s">
        <v>36</v>
      </c>
      <c r="O2046" s="2">
        <v>71.0</v>
      </c>
      <c r="P2046" s="2" t="s">
        <v>189</v>
      </c>
      <c r="Q2046" s="2" t="s">
        <v>32</v>
      </c>
      <c r="R2046" s="2">
        <v>48.0</v>
      </c>
      <c r="U2046" s="2" t="b">
        <v>0</v>
      </c>
      <c r="V2046" s="5">
        <v>0.0043</v>
      </c>
      <c r="W2046" s="5">
        <v>0.0057</v>
      </c>
      <c r="X2046" s="5">
        <v>2.5E-5</v>
      </c>
      <c r="Y2046" s="2">
        <v>31.97714286</v>
      </c>
      <c r="AA2046" s="2" t="s">
        <v>33</v>
      </c>
    </row>
    <row r="2047">
      <c r="A2047" s="2">
        <v>3888.0</v>
      </c>
      <c r="B2047" s="2" t="s">
        <v>6012</v>
      </c>
      <c r="C2047" s="2" t="s">
        <v>7</v>
      </c>
      <c r="D2047" s="2" t="s">
        <v>6013</v>
      </c>
      <c r="E2047" s="2" t="s">
        <v>6014</v>
      </c>
      <c r="F2047" s="6">
        <v>45992.62569444445</v>
      </c>
      <c r="G2047" s="2">
        <v>64981.0</v>
      </c>
      <c r="H2047" s="2">
        <v>64981.0</v>
      </c>
      <c r="I2047" s="2">
        <v>53739.0</v>
      </c>
      <c r="J2047" s="2">
        <v>203.0</v>
      </c>
      <c r="K2047" s="2">
        <v>189.0</v>
      </c>
      <c r="L2047" s="2">
        <v>0.0</v>
      </c>
      <c r="M2047" s="2">
        <v>0.0</v>
      </c>
      <c r="N2047" s="2" t="s">
        <v>30</v>
      </c>
      <c r="O2047" s="2">
        <v>70.0</v>
      </c>
      <c r="P2047" s="2" t="s">
        <v>189</v>
      </c>
      <c r="Q2047" s="2" t="s">
        <v>32</v>
      </c>
      <c r="R2047" s="2">
        <v>39.0</v>
      </c>
      <c r="U2047" s="2" t="b">
        <v>0</v>
      </c>
      <c r="V2047" s="5">
        <v>0.0035</v>
      </c>
      <c r="W2047" s="5">
        <v>0.0</v>
      </c>
      <c r="X2047" s="5">
        <v>0.0</v>
      </c>
      <c r="Y2047" s="2">
        <v>0.0</v>
      </c>
      <c r="Z2047" s="2">
        <v>5196.0</v>
      </c>
      <c r="AA2047" s="2" t="s">
        <v>33</v>
      </c>
    </row>
    <row r="2048">
      <c r="A2048" s="2">
        <v>3889.0</v>
      </c>
      <c r="B2048" s="2" t="s">
        <v>6015</v>
      </c>
      <c r="C2048" s="2" t="s">
        <v>7</v>
      </c>
      <c r="D2048" s="2" t="s">
        <v>6016</v>
      </c>
      <c r="E2048" s="2" t="s">
        <v>6017</v>
      </c>
      <c r="F2048" s="6">
        <v>45992.626388888886</v>
      </c>
      <c r="G2048" s="2">
        <v>50092.0</v>
      </c>
      <c r="H2048" s="2">
        <v>50092.0</v>
      </c>
      <c r="I2048" s="2">
        <v>40782.0</v>
      </c>
      <c r="J2048" s="2">
        <v>171.0</v>
      </c>
      <c r="K2048" s="2">
        <v>165.0</v>
      </c>
      <c r="L2048" s="2">
        <v>0.0</v>
      </c>
      <c r="M2048" s="2">
        <v>0.0</v>
      </c>
      <c r="N2048" s="2" t="s">
        <v>36</v>
      </c>
      <c r="O2048" s="2">
        <v>71.0</v>
      </c>
      <c r="P2048" s="2" t="s">
        <v>189</v>
      </c>
      <c r="Q2048" s="2" t="s">
        <v>32</v>
      </c>
      <c r="R2048" s="2">
        <v>37.0</v>
      </c>
      <c r="U2048" s="2" t="b">
        <v>0</v>
      </c>
      <c r="V2048" s="5">
        <v>0.004</v>
      </c>
      <c r="W2048" s="5">
        <v>0.0</v>
      </c>
      <c r="X2048" s="5">
        <v>0.0</v>
      </c>
      <c r="Y2048" s="2">
        <v>0.0</v>
      </c>
      <c r="AA2048" s="2" t="s">
        <v>33</v>
      </c>
    </row>
    <row r="2049">
      <c r="A2049" s="2">
        <v>3899.0</v>
      </c>
      <c r="B2049" s="2" t="s">
        <v>6018</v>
      </c>
      <c r="C2049" s="2" t="s">
        <v>7</v>
      </c>
      <c r="D2049" s="2" t="s">
        <v>6019</v>
      </c>
      <c r="E2049" s="2" t="s">
        <v>6020</v>
      </c>
      <c r="F2049" s="6">
        <v>45992.70347222222</v>
      </c>
      <c r="G2049" s="2">
        <v>7214.0</v>
      </c>
      <c r="H2049" s="2">
        <v>7214.0</v>
      </c>
      <c r="I2049" s="2">
        <v>5644.0</v>
      </c>
      <c r="J2049" s="2">
        <v>39.0</v>
      </c>
      <c r="K2049" s="2">
        <v>38.0</v>
      </c>
      <c r="L2049" s="2">
        <v>0.0</v>
      </c>
      <c r="M2049" s="2">
        <v>0.0</v>
      </c>
      <c r="N2049" s="2" t="s">
        <v>423</v>
      </c>
      <c r="O2049" s="2">
        <v>119.0</v>
      </c>
      <c r="P2049" s="2" t="s">
        <v>189</v>
      </c>
      <c r="Q2049" s="2" t="s">
        <v>1367</v>
      </c>
      <c r="R2049" s="2">
        <v>45.0</v>
      </c>
      <c r="U2049" s="2" t="b">
        <v>0</v>
      </c>
      <c r="V2049" s="5">
        <v>0.0067</v>
      </c>
      <c r="W2049" s="5">
        <v>0.0</v>
      </c>
      <c r="X2049" s="5">
        <v>0.0</v>
      </c>
      <c r="Y2049" s="2">
        <v>0.0</v>
      </c>
      <c r="AA2049" s="2" t="s">
        <v>423</v>
      </c>
    </row>
    <row r="2050">
      <c r="A2050" s="2">
        <v>3891.0</v>
      </c>
      <c r="B2050" s="2" t="s">
        <v>6021</v>
      </c>
      <c r="C2050" s="2" t="s">
        <v>7</v>
      </c>
      <c r="D2050" s="2" t="s">
        <v>6022</v>
      </c>
      <c r="E2050" s="2" t="s">
        <v>6023</v>
      </c>
      <c r="F2050" s="6">
        <v>45992.708333333336</v>
      </c>
      <c r="G2050" s="2">
        <v>50118.0</v>
      </c>
      <c r="H2050" s="2">
        <v>50118.0</v>
      </c>
      <c r="I2050" s="2">
        <v>40685.0</v>
      </c>
      <c r="J2050" s="2">
        <v>153.0</v>
      </c>
      <c r="K2050" s="2">
        <v>145.0</v>
      </c>
      <c r="L2050" s="2">
        <v>4.0</v>
      </c>
      <c r="M2050" s="4">
        <v>13676.0</v>
      </c>
      <c r="N2050" s="2" t="s">
        <v>36</v>
      </c>
      <c r="O2050" s="2">
        <v>71.0</v>
      </c>
      <c r="P2050" s="2" t="s">
        <v>189</v>
      </c>
      <c r="Q2050" s="2" t="s">
        <v>32</v>
      </c>
      <c r="R2050" s="2">
        <v>51.0</v>
      </c>
      <c r="U2050" s="2" t="b">
        <v>0</v>
      </c>
      <c r="V2050" s="5">
        <v>0.0036</v>
      </c>
      <c r="W2050" s="5">
        <v>0.0276</v>
      </c>
      <c r="X2050" s="5">
        <v>9.8E-5</v>
      </c>
      <c r="Y2050" s="2">
        <v>94.31724138</v>
      </c>
      <c r="AA2050" s="2" t="s">
        <v>33</v>
      </c>
    </row>
    <row r="2051">
      <c r="A2051" s="2">
        <v>3890.0</v>
      </c>
      <c r="B2051" s="2" t="s">
        <v>6024</v>
      </c>
      <c r="C2051" s="2" t="s">
        <v>7</v>
      </c>
      <c r="D2051" s="2" t="s">
        <v>6025</v>
      </c>
      <c r="E2051" s="2" t="s">
        <v>6026</v>
      </c>
      <c r="F2051" s="6">
        <v>45992.708333333336</v>
      </c>
      <c r="G2051" s="2">
        <v>65036.0</v>
      </c>
      <c r="H2051" s="2">
        <v>65036.0</v>
      </c>
      <c r="I2051" s="2">
        <v>53686.0</v>
      </c>
      <c r="J2051" s="2">
        <v>162.0</v>
      </c>
      <c r="K2051" s="2">
        <v>151.0</v>
      </c>
      <c r="L2051" s="2">
        <v>2.0</v>
      </c>
      <c r="M2051" s="4">
        <v>30779.0</v>
      </c>
      <c r="N2051" s="2" t="s">
        <v>30</v>
      </c>
      <c r="O2051" s="2">
        <v>70.0</v>
      </c>
      <c r="P2051" s="2" t="s">
        <v>31</v>
      </c>
      <c r="Q2051" s="2" t="s">
        <v>32</v>
      </c>
      <c r="R2051" s="2">
        <v>47.0</v>
      </c>
      <c r="U2051" s="2" t="b">
        <v>0</v>
      </c>
      <c r="V2051" s="5">
        <v>0.0028</v>
      </c>
      <c r="W2051" s="5">
        <v>0.0132</v>
      </c>
      <c r="X2051" s="5">
        <v>3.7E-5</v>
      </c>
      <c r="Y2051" s="2">
        <v>203.8344371</v>
      </c>
      <c r="Z2051" s="2">
        <v>4254.0</v>
      </c>
      <c r="AA2051" s="2" t="s">
        <v>33</v>
      </c>
    </row>
    <row r="2052">
      <c r="A2052" s="2">
        <v>3902.0</v>
      </c>
      <c r="B2052" s="2" t="s">
        <v>6027</v>
      </c>
      <c r="C2052" s="2" t="s">
        <v>7</v>
      </c>
      <c r="D2052" s="2" t="s">
        <v>6028</v>
      </c>
      <c r="F2052" s="6">
        <v>45992.71944444445</v>
      </c>
      <c r="G2052" s="2">
        <v>20.0</v>
      </c>
      <c r="H2052" s="2">
        <v>20.0</v>
      </c>
      <c r="I2052" s="2">
        <v>17.0</v>
      </c>
      <c r="J2052" s="2">
        <v>0.0</v>
      </c>
      <c r="K2052" s="2">
        <v>0.0</v>
      </c>
      <c r="L2052" s="2">
        <v>0.0</v>
      </c>
      <c r="M2052" s="2">
        <v>0.0</v>
      </c>
      <c r="N2052" s="2" t="s">
        <v>6029</v>
      </c>
      <c r="O2052" s="2">
        <v>278.0</v>
      </c>
      <c r="P2052" s="2" t="s">
        <v>31</v>
      </c>
      <c r="Q2052" s="2" t="s">
        <v>32</v>
      </c>
      <c r="R2052" s="2">
        <v>43.0</v>
      </c>
      <c r="U2052" s="2" t="b">
        <v>0</v>
      </c>
      <c r="V2052" s="5">
        <v>0.0</v>
      </c>
      <c r="X2052" s="5">
        <v>0.0</v>
      </c>
    </row>
    <row r="2053">
      <c r="A2053" s="2">
        <v>3900.0</v>
      </c>
      <c r="B2053" s="2" t="s">
        <v>6030</v>
      </c>
      <c r="C2053" s="2" t="s">
        <v>7</v>
      </c>
      <c r="D2053" s="2" t="s">
        <v>6031</v>
      </c>
      <c r="E2053" s="2" t="s">
        <v>6032</v>
      </c>
      <c r="F2053" s="6">
        <v>45992.75</v>
      </c>
      <c r="G2053" s="2">
        <v>7228.0</v>
      </c>
      <c r="H2053" s="2">
        <v>7228.0</v>
      </c>
      <c r="I2053" s="2">
        <v>5645.0</v>
      </c>
      <c r="J2053" s="2">
        <v>31.0</v>
      </c>
      <c r="K2053" s="2">
        <v>31.0</v>
      </c>
      <c r="L2053" s="2">
        <v>0.0</v>
      </c>
      <c r="M2053" s="2">
        <v>0.0</v>
      </c>
      <c r="N2053" s="2" t="s">
        <v>423</v>
      </c>
      <c r="O2053" s="2">
        <v>119.0</v>
      </c>
      <c r="P2053" s="2" t="s">
        <v>31</v>
      </c>
      <c r="Q2053" s="2" t="s">
        <v>1367</v>
      </c>
      <c r="R2053" s="2">
        <v>48.0</v>
      </c>
      <c r="U2053" s="2" t="b">
        <v>0</v>
      </c>
      <c r="V2053" s="5">
        <v>0.0055</v>
      </c>
      <c r="W2053" s="5">
        <v>0.0</v>
      </c>
      <c r="X2053" s="5">
        <v>0.0</v>
      </c>
      <c r="Y2053" s="2">
        <v>0.0</v>
      </c>
      <c r="AA2053" s="2" t="s">
        <v>423</v>
      </c>
    </row>
    <row r="2054">
      <c r="A2054" s="2">
        <v>3901.0</v>
      </c>
      <c r="B2054" s="2" t="s">
        <v>6033</v>
      </c>
      <c r="C2054" s="2" t="s">
        <v>7</v>
      </c>
      <c r="D2054" s="2" t="s">
        <v>6034</v>
      </c>
      <c r="E2054" s="2" t="s">
        <v>6035</v>
      </c>
      <c r="F2054" s="6">
        <v>45992.833333333336</v>
      </c>
      <c r="G2054" s="2">
        <v>7128.0</v>
      </c>
      <c r="H2054" s="2">
        <v>7128.0</v>
      </c>
      <c r="I2054" s="2">
        <v>5602.0</v>
      </c>
      <c r="J2054" s="2">
        <v>32.0</v>
      </c>
      <c r="K2054" s="2">
        <v>30.0</v>
      </c>
      <c r="L2054" s="2">
        <v>0.0</v>
      </c>
      <c r="M2054" s="2">
        <v>0.0</v>
      </c>
      <c r="N2054" s="2" t="s">
        <v>423</v>
      </c>
      <c r="O2054" s="2">
        <v>119.0</v>
      </c>
      <c r="P2054" s="2" t="s">
        <v>189</v>
      </c>
      <c r="Q2054" s="2" t="s">
        <v>1367</v>
      </c>
      <c r="R2054" s="2">
        <v>41.0</v>
      </c>
      <c r="U2054" s="2" t="b">
        <v>0</v>
      </c>
      <c r="V2054" s="5">
        <v>0.0054</v>
      </c>
      <c r="W2054" s="5">
        <v>0.0</v>
      </c>
      <c r="X2054" s="5">
        <v>0.0</v>
      </c>
      <c r="Y2054" s="2">
        <v>0.0</v>
      </c>
      <c r="AA2054" s="2" t="s">
        <v>423</v>
      </c>
    </row>
    <row r="2055">
      <c r="A2055" s="2">
        <v>3903.0</v>
      </c>
      <c r="B2055" s="2" t="s">
        <v>6036</v>
      </c>
      <c r="C2055" s="2" t="s">
        <v>7</v>
      </c>
      <c r="D2055" s="2" t="s">
        <v>6037</v>
      </c>
      <c r="E2055" s="2" t="s">
        <v>6038</v>
      </c>
      <c r="F2055" s="6">
        <v>45993.48263888889</v>
      </c>
      <c r="G2055" s="2">
        <v>65619.0</v>
      </c>
      <c r="H2055" s="2">
        <v>65619.0</v>
      </c>
      <c r="I2055" s="2">
        <v>54040.0</v>
      </c>
      <c r="J2055" s="2">
        <v>270.0</v>
      </c>
      <c r="K2055" s="2">
        <v>247.0</v>
      </c>
      <c r="L2055" s="2">
        <v>4.0</v>
      </c>
      <c r="M2055" s="4">
        <v>9710.0</v>
      </c>
      <c r="N2055" s="2" t="s">
        <v>30</v>
      </c>
      <c r="O2055" s="2">
        <v>70.0</v>
      </c>
      <c r="P2055" s="2" t="s">
        <v>189</v>
      </c>
      <c r="Q2055" s="2" t="s">
        <v>32</v>
      </c>
      <c r="R2055" s="2">
        <v>33.0</v>
      </c>
      <c r="U2055" s="2" t="b">
        <v>0</v>
      </c>
      <c r="V2055" s="5">
        <v>0.0046</v>
      </c>
      <c r="W2055" s="5">
        <v>0.0162</v>
      </c>
      <c r="X2055" s="5">
        <v>7.4E-5</v>
      </c>
      <c r="Y2055" s="2">
        <v>39.31174089</v>
      </c>
      <c r="Z2055" s="2">
        <v>2749.0</v>
      </c>
      <c r="AA2055" s="2" t="s">
        <v>33</v>
      </c>
    </row>
    <row r="2056">
      <c r="A2056" s="2">
        <v>3904.0</v>
      </c>
      <c r="B2056" s="2" t="s">
        <v>6039</v>
      </c>
      <c r="C2056" s="2" t="s">
        <v>7</v>
      </c>
      <c r="D2056" s="2" t="s">
        <v>6040</v>
      </c>
      <c r="E2056" s="2" t="s">
        <v>6041</v>
      </c>
      <c r="F2056" s="6">
        <v>45993.49375</v>
      </c>
      <c r="G2056" s="2">
        <v>50296.0</v>
      </c>
      <c r="H2056" s="2">
        <v>50296.0</v>
      </c>
      <c r="I2056" s="2">
        <v>40612.0</v>
      </c>
      <c r="J2056" s="2">
        <v>164.0</v>
      </c>
      <c r="K2056" s="2">
        <v>157.0</v>
      </c>
      <c r="L2056" s="2">
        <v>5.0</v>
      </c>
      <c r="M2056" s="4">
        <v>25823.0</v>
      </c>
      <c r="N2056" s="2" t="s">
        <v>36</v>
      </c>
      <c r="O2056" s="2">
        <v>71.0</v>
      </c>
      <c r="P2056" s="2" t="s">
        <v>189</v>
      </c>
      <c r="Q2056" s="2" t="s">
        <v>32</v>
      </c>
      <c r="R2056" s="2">
        <v>45.0</v>
      </c>
      <c r="U2056" s="2" t="b">
        <v>0</v>
      </c>
      <c r="V2056" s="5">
        <v>0.0039</v>
      </c>
      <c r="W2056" s="5">
        <v>0.0318</v>
      </c>
      <c r="X2056" s="5">
        <v>1.23E-4</v>
      </c>
      <c r="Y2056" s="2">
        <v>164.477707</v>
      </c>
      <c r="AA2056" s="2" t="s">
        <v>33</v>
      </c>
    </row>
    <row r="2057">
      <c r="A2057" s="2">
        <v>3906.0</v>
      </c>
      <c r="B2057" s="2" t="s">
        <v>6042</v>
      </c>
      <c r="C2057" s="2" t="s">
        <v>7</v>
      </c>
      <c r="D2057" s="2" t="s">
        <v>6043</v>
      </c>
      <c r="E2057" s="2" t="s">
        <v>6044</v>
      </c>
      <c r="F2057" s="6">
        <v>45993.625</v>
      </c>
      <c r="G2057" s="2">
        <v>50358.0</v>
      </c>
      <c r="H2057" s="2">
        <v>50358.0</v>
      </c>
      <c r="I2057" s="2">
        <v>41052.0</v>
      </c>
      <c r="J2057" s="2">
        <v>173.0</v>
      </c>
      <c r="K2057" s="2">
        <v>148.0</v>
      </c>
      <c r="L2057" s="2">
        <v>1.0</v>
      </c>
      <c r="M2057" s="4">
        <v>2490.0</v>
      </c>
      <c r="N2057" s="2" t="s">
        <v>36</v>
      </c>
      <c r="O2057" s="2">
        <v>71.0</v>
      </c>
      <c r="P2057" s="2" t="s">
        <v>189</v>
      </c>
      <c r="Q2057" s="2" t="s">
        <v>32</v>
      </c>
      <c r="R2057" s="2">
        <v>35.0</v>
      </c>
      <c r="U2057" s="2" t="b">
        <v>0</v>
      </c>
      <c r="V2057" s="5">
        <v>0.0036</v>
      </c>
      <c r="W2057" s="5">
        <v>0.0068</v>
      </c>
      <c r="X2057" s="5">
        <v>2.4E-5</v>
      </c>
      <c r="Y2057" s="2">
        <v>16.82432432</v>
      </c>
      <c r="AA2057" s="2" t="s">
        <v>33</v>
      </c>
    </row>
    <row r="2058">
      <c r="A2058" s="2">
        <v>3905.0</v>
      </c>
      <c r="B2058" s="2" t="s">
        <v>6045</v>
      </c>
      <c r="C2058" s="2" t="s">
        <v>7</v>
      </c>
      <c r="D2058" s="2" t="s">
        <v>6046</v>
      </c>
      <c r="E2058" s="2" t="s">
        <v>6047</v>
      </c>
      <c r="F2058" s="6">
        <v>45993.625</v>
      </c>
      <c r="G2058" s="2">
        <v>65708.0</v>
      </c>
      <c r="H2058" s="2">
        <v>65708.0</v>
      </c>
      <c r="I2058" s="2">
        <v>54487.0</v>
      </c>
      <c r="J2058" s="2">
        <v>195.0</v>
      </c>
      <c r="K2058" s="2">
        <v>190.0</v>
      </c>
      <c r="L2058" s="2">
        <v>3.0</v>
      </c>
      <c r="M2058" s="4">
        <v>6843.0</v>
      </c>
      <c r="N2058" s="2" t="s">
        <v>30</v>
      </c>
      <c r="O2058" s="2">
        <v>70.0</v>
      </c>
      <c r="P2058" s="2" t="s">
        <v>31</v>
      </c>
      <c r="Q2058" s="2" t="s">
        <v>32</v>
      </c>
      <c r="R2058" s="2">
        <v>33.0</v>
      </c>
      <c r="U2058" s="2" t="b">
        <v>0</v>
      </c>
      <c r="V2058" s="5">
        <v>0.0035</v>
      </c>
      <c r="W2058" s="5">
        <v>0.0158</v>
      </c>
      <c r="X2058" s="5">
        <v>5.5E-5</v>
      </c>
      <c r="Y2058" s="2">
        <v>36.01578947</v>
      </c>
      <c r="AA2058" s="2" t="s">
        <v>33</v>
      </c>
    </row>
    <row r="2059">
      <c r="A2059" s="2">
        <v>3909.0</v>
      </c>
      <c r="B2059" s="2" t="s">
        <v>6048</v>
      </c>
      <c r="C2059" s="2" t="s">
        <v>7</v>
      </c>
      <c r="D2059" s="2" t="s">
        <v>6049</v>
      </c>
      <c r="E2059" s="2" t="s">
        <v>6050</v>
      </c>
      <c r="F2059" s="6">
        <v>45993.62708333333</v>
      </c>
      <c r="G2059" s="2">
        <v>7140.0</v>
      </c>
      <c r="H2059" s="2">
        <v>7140.0</v>
      </c>
      <c r="I2059" s="2">
        <v>5674.0</v>
      </c>
      <c r="J2059" s="2">
        <v>60.0</v>
      </c>
      <c r="K2059" s="2">
        <v>57.0</v>
      </c>
      <c r="L2059" s="2">
        <v>0.0</v>
      </c>
      <c r="M2059" s="2">
        <v>0.0</v>
      </c>
      <c r="N2059" s="2" t="s">
        <v>423</v>
      </c>
      <c r="O2059" s="2">
        <v>119.0</v>
      </c>
      <c r="P2059" s="2" t="s">
        <v>189</v>
      </c>
      <c r="Q2059" s="2" t="s">
        <v>1367</v>
      </c>
      <c r="R2059" s="2">
        <v>38.0</v>
      </c>
      <c r="U2059" s="2" t="b">
        <v>0</v>
      </c>
      <c r="V2059" s="5">
        <v>0.01</v>
      </c>
      <c r="W2059" s="5">
        <v>0.0</v>
      </c>
      <c r="X2059" s="5">
        <v>0.0</v>
      </c>
      <c r="Y2059" s="2">
        <v>0.0</v>
      </c>
      <c r="AA2059" s="2" t="s">
        <v>423</v>
      </c>
    </row>
    <row r="2060">
      <c r="A2060" s="2">
        <v>3910.0</v>
      </c>
      <c r="B2060" s="2" t="s">
        <v>6051</v>
      </c>
      <c r="C2060" s="2" t="s">
        <v>7</v>
      </c>
      <c r="D2060" s="2" t="s">
        <v>6052</v>
      </c>
      <c r="E2060" s="2" t="s">
        <v>6053</v>
      </c>
      <c r="F2060" s="6">
        <v>45993.708333333336</v>
      </c>
      <c r="G2060" s="2">
        <v>7147.0</v>
      </c>
      <c r="H2060" s="2">
        <v>7147.0</v>
      </c>
      <c r="I2060" s="2">
        <v>5661.0</v>
      </c>
      <c r="J2060" s="2">
        <v>71.0</v>
      </c>
      <c r="K2060" s="2">
        <v>68.0</v>
      </c>
      <c r="L2060" s="2">
        <v>0.0</v>
      </c>
      <c r="M2060" s="2">
        <v>0.0</v>
      </c>
      <c r="N2060" s="2" t="s">
        <v>423</v>
      </c>
      <c r="O2060" s="2">
        <v>119.0</v>
      </c>
      <c r="P2060" s="2" t="s">
        <v>189</v>
      </c>
      <c r="Q2060" s="2" t="s">
        <v>1367</v>
      </c>
      <c r="R2060" s="2">
        <v>41.0</v>
      </c>
      <c r="U2060" s="2" t="b">
        <v>0</v>
      </c>
      <c r="V2060" s="5">
        <v>0.012</v>
      </c>
      <c r="W2060" s="5">
        <v>0.0</v>
      </c>
      <c r="X2060" s="5">
        <v>0.0</v>
      </c>
      <c r="Y2060" s="2">
        <v>0.0</v>
      </c>
      <c r="AA2060" s="2" t="s">
        <v>423</v>
      </c>
    </row>
    <row r="2061">
      <c r="A2061" s="2">
        <v>3908.0</v>
      </c>
      <c r="B2061" s="2" t="s">
        <v>6054</v>
      </c>
      <c r="C2061" s="2" t="s">
        <v>7</v>
      </c>
      <c r="D2061" s="2" t="s">
        <v>6055</v>
      </c>
      <c r="E2061" s="2" t="s">
        <v>6056</v>
      </c>
      <c r="F2061" s="6">
        <v>45993.708333333336</v>
      </c>
      <c r="G2061" s="2">
        <v>50383.0</v>
      </c>
      <c r="H2061" s="2">
        <v>50383.0</v>
      </c>
      <c r="I2061" s="2">
        <v>40833.0</v>
      </c>
      <c r="J2061" s="2">
        <v>208.0</v>
      </c>
      <c r="K2061" s="2">
        <v>196.0</v>
      </c>
      <c r="L2061" s="2">
        <v>3.0</v>
      </c>
      <c r="M2061" s="4">
        <v>6405.0</v>
      </c>
      <c r="N2061" s="2" t="s">
        <v>36</v>
      </c>
      <c r="O2061" s="2">
        <v>71.0</v>
      </c>
      <c r="P2061" s="2" t="s">
        <v>189</v>
      </c>
      <c r="Q2061" s="2" t="s">
        <v>32</v>
      </c>
      <c r="R2061" s="2">
        <v>38.0</v>
      </c>
      <c r="U2061" s="2" t="b">
        <v>1</v>
      </c>
      <c r="V2061" s="5">
        <v>0.0048</v>
      </c>
      <c r="W2061" s="5">
        <v>0.0153</v>
      </c>
      <c r="X2061" s="5">
        <v>7.3E-5</v>
      </c>
      <c r="Y2061" s="2">
        <v>32.67857143</v>
      </c>
      <c r="AA2061" s="2" t="s">
        <v>33</v>
      </c>
    </row>
    <row r="2062">
      <c r="A2062" s="2">
        <v>3907.0</v>
      </c>
      <c r="B2062" s="2" t="s">
        <v>6057</v>
      </c>
      <c r="C2062" s="2" t="s">
        <v>7</v>
      </c>
      <c r="D2062" s="2" t="s">
        <v>4353</v>
      </c>
      <c r="E2062" s="2" t="s">
        <v>6058</v>
      </c>
      <c r="F2062" s="6">
        <v>45993.708333333336</v>
      </c>
      <c r="G2062" s="2">
        <v>65748.0</v>
      </c>
      <c r="H2062" s="2">
        <v>65748.0</v>
      </c>
      <c r="I2062" s="2">
        <v>54357.0</v>
      </c>
      <c r="J2062" s="2">
        <v>290.0</v>
      </c>
      <c r="K2062" s="2">
        <v>262.0</v>
      </c>
      <c r="L2062" s="2">
        <v>6.0</v>
      </c>
      <c r="M2062" s="4">
        <v>18522.0</v>
      </c>
      <c r="N2062" s="2" t="s">
        <v>30</v>
      </c>
      <c r="O2062" s="2">
        <v>70.0</v>
      </c>
      <c r="P2062" s="2" t="s">
        <v>189</v>
      </c>
      <c r="Q2062" s="2" t="s">
        <v>32</v>
      </c>
      <c r="R2062" s="2">
        <v>36.0</v>
      </c>
      <c r="U2062" s="2" t="b">
        <v>0</v>
      </c>
      <c r="V2062" s="5">
        <v>0.0048</v>
      </c>
      <c r="W2062" s="5">
        <v>0.0229</v>
      </c>
      <c r="X2062" s="5">
        <v>1.1E-4</v>
      </c>
      <c r="Y2062" s="2">
        <v>70.69465649</v>
      </c>
      <c r="Z2062" s="2">
        <v>6340.0</v>
      </c>
      <c r="AA2062" s="2" t="s">
        <v>33</v>
      </c>
    </row>
    <row r="2063">
      <c r="A2063" s="2">
        <v>3911.0</v>
      </c>
      <c r="B2063" s="2" t="s">
        <v>6059</v>
      </c>
      <c r="C2063" s="2" t="s">
        <v>7</v>
      </c>
      <c r="D2063" s="2" t="s">
        <v>6060</v>
      </c>
      <c r="E2063" s="2" t="s">
        <v>6061</v>
      </c>
      <c r="F2063" s="6">
        <v>45993.791666666664</v>
      </c>
      <c r="G2063" s="2">
        <v>7156.0</v>
      </c>
      <c r="H2063" s="2">
        <v>7156.0</v>
      </c>
      <c r="I2063" s="2">
        <v>5669.0</v>
      </c>
      <c r="J2063" s="2">
        <v>26.0</v>
      </c>
      <c r="K2063" s="2">
        <v>25.0</v>
      </c>
      <c r="L2063" s="2">
        <v>0.0</v>
      </c>
      <c r="M2063" s="2">
        <v>0.0</v>
      </c>
      <c r="N2063" s="2" t="s">
        <v>423</v>
      </c>
      <c r="O2063" s="2">
        <v>119.0</v>
      </c>
      <c r="P2063" s="2" t="s">
        <v>31</v>
      </c>
      <c r="Q2063" s="2" t="s">
        <v>1367</v>
      </c>
      <c r="R2063" s="2">
        <v>47.0</v>
      </c>
      <c r="U2063" s="2" t="b">
        <v>0</v>
      </c>
      <c r="V2063" s="5">
        <v>0.0044</v>
      </c>
      <c r="W2063" s="5">
        <v>0.0</v>
      </c>
      <c r="X2063" s="5">
        <v>0.0</v>
      </c>
      <c r="Y2063" s="2">
        <v>0.0</v>
      </c>
      <c r="AA2063" s="2" t="s">
        <v>423</v>
      </c>
    </row>
    <row r="2064">
      <c r="A2064" s="2">
        <v>3913.0</v>
      </c>
      <c r="B2064" s="2" t="s">
        <v>6062</v>
      </c>
      <c r="C2064" s="2" t="s">
        <v>7</v>
      </c>
      <c r="D2064" s="2" t="s">
        <v>6063</v>
      </c>
      <c r="E2064" s="2" t="s">
        <v>4780</v>
      </c>
      <c r="F2064" s="6">
        <v>45994.458333333336</v>
      </c>
      <c r="G2064" s="2">
        <v>50575.0</v>
      </c>
      <c r="H2064" s="2">
        <v>50575.0</v>
      </c>
      <c r="I2064" s="2">
        <v>40834.0</v>
      </c>
      <c r="J2064" s="2">
        <v>144.0</v>
      </c>
      <c r="K2064" s="2">
        <v>131.0</v>
      </c>
      <c r="L2064" s="2">
        <v>2.0</v>
      </c>
      <c r="M2064" s="4">
        <v>9702.0</v>
      </c>
      <c r="N2064" s="2" t="s">
        <v>36</v>
      </c>
      <c r="O2064" s="2">
        <v>71.0</v>
      </c>
      <c r="P2064" s="2" t="s">
        <v>189</v>
      </c>
      <c r="Q2064" s="2" t="s">
        <v>32</v>
      </c>
      <c r="R2064" s="2">
        <v>49.0</v>
      </c>
      <c r="U2064" s="2" t="b">
        <v>0</v>
      </c>
      <c r="V2064" s="5">
        <v>0.0032</v>
      </c>
      <c r="W2064" s="5">
        <v>0.0153</v>
      </c>
      <c r="X2064" s="5">
        <v>4.9E-5</v>
      </c>
      <c r="Y2064" s="2">
        <v>74.0610687</v>
      </c>
      <c r="AA2064" s="2" t="s">
        <v>33</v>
      </c>
    </row>
    <row r="2065">
      <c r="A2065" s="2">
        <v>3912.0</v>
      </c>
      <c r="B2065" s="2" t="s">
        <v>6064</v>
      </c>
      <c r="C2065" s="2" t="s">
        <v>7</v>
      </c>
      <c r="D2065" s="2" t="s">
        <v>6065</v>
      </c>
      <c r="E2065" s="2" t="s">
        <v>5524</v>
      </c>
      <c r="F2065" s="6">
        <v>45994.458333333336</v>
      </c>
      <c r="G2065" s="2">
        <v>66260.0</v>
      </c>
      <c r="H2065" s="2">
        <v>66260.0</v>
      </c>
      <c r="I2065" s="2">
        <v>54580.0</v>
      </c>
      <c r="J2065" s="2">
        <v>200.0</v>
      </c>
      <c r="K2065" s="2">
        <v>183.0</v>
      </c>
      <c r="L2065" s="2">
        <v>8.0</v>
      </c>
      <c r="M2065" s="4">
        <v>29454.0</v>
      </c>
      <c r="N2065" s="2" t="s">
        <v>30</v>
      </c>
      <c r="O2065" s="2">
        <v>70.0</v>
      </c>
      <c r="P2065" s="2" t="s">
        <v>189</v>
      </c>
      <c r="Q2065" s="2" t="s">
        <v>32</v>
      </c>
      <c r="R2065" s="2">
        <v>35.0</v>
      </c>
      <c r="U2065" s="2" t="b">
        <v>0</v>
      </c>
      <c r="V2065" s="5">
        <v>0.0034</v>
      </c>
      <c r="W2065" s="5">
        <v>0.0437</v>
      </c>
      <c r="X2065" s="5">
        <v>1.47E-4</v>
      </c>
      <c r="Y2065" s="2">
        <v>160.9508197</v>
      </c>
      <c r="AA2065" s="2" t="s">
        <v>33</v>
      </c>
    </row>
    <row r="2066">
      <c r="A2066" s="2">
        <v>3918.0</v>
      </c>
      <c r="B2066" s="2" t="s">
        <v>6066</v>
      </c>
      <c r="C2066" s="2" t="s">
        <v>7</v>
      </c>
      <c r="D2066" s="2" t="s">
        <v>6067</v>
      </c>
      <c r="E2066" s="2" t="s">
        <v>6068</v>
      </c>
      <c r="F2066" s="6">
        <v>45994.583333333336</v>
      </c>
      <c r="G2066" s="2">
        <v>7224.0</v>
      </c>
      <c r="H2066" s="2">
        <v>7224.0</v>
      </c>
      <c r="I2066" s="2">
        <v>5683.0</v>
      </c>
      <c r="J2066" s="2">
        <v>60.0</v>
      </c>
      <c r="K2066" s="2">
        <v>60.0</v>
      </c>
      <c r="L2066" s="2">
        <v>0.0</v>
      </c>
      <c r="M2066" s="2">
        <v>0.0</v>
      </c>
      <c r="N2066" s="2" t="s">
        <v>423</v>
      </c>
      <c r="O2066" s="2">
        <v>119.0</v>
      </c>
      <c r="P2066" s="2" t="s">
        <v>31</v>
      </c>
      <c r="Q2066" s="2" t="s">
        <v>1367</v>
      </c>
      <c r="R2066" s="2">
        <v>36.0</v>
      </c>
      <c r="U2066" s="2" t="b">
        <v>0</v>
      </c>
      <c r="V2066" s="5">
        <v>0.0106</v>
      </c>
      <c r="W2066" s="5">
        <v>0.0</v>
      </c>
      <c r="X2066" s="5">
        <v>0.0</v>
      </c>
      <c r="Y2066" s="2">
        <v>0.0</v>
      </c>
      <c r="AA2066" s="2" t="s">
        <v>423</v>
      </c>
    </row>
    <row r="2067">
      <c r="A2067" s="2">
        <v>3915.0</v>
      </c>
      <c r="B2067" s="2" t="s">
        <v>6069</v>
      </c>
      <c r="C2067" s="2" t="s">
        <v>7</v>
      </c>
      <c r="D2067" s="2" t="s">
        <v>6070</v>
      </c>
      <c r="E2067" s="2" t="s">
        <v>6071</v>
      </c>
      <c r="F2067" s="6">
        <v>45994.625</v>
      </c>
      <c r="G2067" s="2">
        <v>50601.0</v>
      </c>
      <c r="H2067" s="2">
        <v>50601.0</v>
      </c>
      <c r="I2067" s="2">
        <v>41234.0</v>
      </c>
      <c r="J2067" s="2">
        <v>155.0</v>
      </c>
      <c r="K2067" s="2">
        <v>145.0</v>
      </c>
      <c r="L2067" s="2">
        <v>3.0</v>
      </c>
      <c r="M2067" s="4">
        <v>12408.0</v>
      </c>
      <c r="N2067" s="2" t="s">
        <v>36</v>
      </c>
      <c r="O2067" s="2">
        <v>71.0</v>
      </c>
      <c r="P2067" s="2" t="s">
        <v>31</v>
      </c>
      <c r="Q2067" s="2" t="s">
        <v>32</v>
      </c>
      <c r="R2067" s="2">
        <v>49.0</v>
      </c>
      <c r="U2067" s="2" t="b">
        <v>0</v>
      </c>
      <c r="V2067" s="5">
        <v>0.0035</v>
      </c>
      <c r="W2067" s="5">
        <v>0.0207</v>
      </c>
      <c r="X2067" s="5">
        <v>7.3E-5</v>
      </c>
      <c r="Y2067" s="2">
        <v>85.57241379</v>
      </c>
      <c r="AA2067" s="2" t="s">
        <v>33</v>
      </c>
    </row>
    <row r="2068">
      <c r="A2068" s="2">
        <v>3914.0</v>
      </c>
      <c r="B2068" s="2" t="s">
        <v>6072</v>
      </c>
      <c r="C2068" s="2" t="s">
        <v>7</v>
      </c>
      <c r="D2068" s="2" t="s">
        <v>6073</v>
      </c>
      <c r="E2068" s="2" t="s">
        <v>6074</v>
      </c>
      <c r="F2068" s="6">
        <v>45994.625</v>
      </c>
      <c r="G2068" s="2">
        <v>66358.0</v>
      </c>
      <c r="H2068" s="2">
        <v>66358.0</v>
      </c>
      <c r="I2068" s="2">
        <v>55036.0</v>
      </c>
      <c r="J2068" s="2">
        <v>230.0</v>
      </c>
      <c r="K2068" s="2">
        <v>209.0</v>
      </c>
      <c r="L2068" s="2">
        <v>2.0</v>
      </c>
      <c r="M2068" s="4">
        <v>9480.0</v>
      </c>
      <c r="N2068" s="2" t="s">
        <v>30</v>
      </c>
      <c r="O2068" s="2">
        <v>70.0</v>
      </c>
      <c r="P2068" s="2" t="s">
        <v>31</v>
      </c>
      <c r="Q2068" s="2" t="s">
        <v>32</v>
      </c>
      <c r="R2068" s="2">
        <v>38.0</v>
      </c>
      <c r="U2068" s="2" t="b">
        <v>0</v>
      </c>
      <c r="V2068" s="5">
        <v>0.0038</v>
      </c>
      <c r="W2068" s="5">
        <v>0.0096</v>
      </c>
      <c r="X2068" s="5">
        <v>3.6E-5</v>
      </c>
      <c r="Y2068" s="2">
        <v>45.35885167</v>
      </c>
      <c r="Z2068" s="2">
        <v>4405.0</v>
      </c>
      <c r="AA2068" s="2" t="s">
        <v>33</v>
      </c>
    </row>
    <row r="2069">
      <c r="A2069" s="2">
        <v>3919.0</v>
      </c>
      <c r="B2069" s="2" t="s">
        <v>6075</v>
      </c>
      <c r="C2069" s="2" t="s">
        <v>7</v>
      </c>
      <c r="D2069" s="2" t="s">
        <v>6076</v>
      </c>
      <c r="E2069" s="2" t="s">
        <v>6077</v>
      </c>
      <c r="F2069" s="6">
        <v>45994.666666666664</v>
      </c>
      <c r="G2069" s="2">
        <v>7222.0</v>
      </c>
      <c r="H2069" s="2">
        <v>7222.0</v>
      </c>
      <c r="I2069" s="2">
        <v>5681.0</v>
      </c>
      <c r="J2069" s="2">
        <v>40.0</v>
      </c>
      <c r="K2069" s="2">
        <v>39.0</v>
      </c>
      <c r="L2069" s="2">
        <v>2.0</v>
      </c>
      <c r="M2069" s="2">
        <v>260.0</v>
      </c>
      <c r="N2069" s="2" t="s">
        <v>423</v>
      </c>
      <c r="O2069" s="2">
        <v>119.0</v>
      </c>
      <c r="P2069" s="2" t="s">
        <v>189</v>
      </c>
      <c r="Q2069" s="2" t="s">
        <v>1367</v>
      </c>
      <c r="R2069" s="2">
        <v>48.0</v>
      </c>
      <c r="U2069" s="2" t="b">
        <v>0</v>
      </c>
      <c r="V2069" s="5">
        <v>0.0069</v>
      </c>
      <c r="W2069" s="5">
        <v>0.0513</v>
      </c>
      <c r="X2069" s="5">
        <v>3.52E-4</v>
      </c>
      <c r="Y2069" s="2">
        <v>6.666666667</v>
      </c>
      <c r="AA2069" s="2" t="s">
        <v>423</v>
      </c>
    </row>
    <row r="2070">
      <c r="A2070" s="2">
        <v>3917.0</v>
      </c>
      <c r="B2070" s="2" t="s">
        <v>6078</v>
      </c>
      <c r="C2070" s="2" t="s">
        <v>7</v>
      </c>
      <c r="D2070" s="2" t="s">
        <v>6079</v>
      </c>
      <c r="E2070" s="2" t="s">
        <v>6080</v>
      </c>
      <c r="F2070" s="6">
        <v>45994.708333333336</v>
      </c>
      <c r="G2070" s="2">
        <v>50548.0</v>
      </c>
      <c r="H2070" s="2">
        <v>50548.0</v>
      </c>
      <c r="I2070" s="2">
        <v>41167.0</v>
      </c>
      <c r="J2070" s="2">
        <v>153.0</v>
      </c>
      <c r="K2070" s="2">
        <v>148.0</v>
      </c>
      <c r="L2070" s="2">
        <v>2.0</v>
      </c>
      <c r="M2070" s="4">
        <v>14050.0</v>
      </c>
      <c r="N2070" s="2" t="s">
        <v>36</v>
      </c>
      <c r="O2070" s="2">
        <v>71.0</v>
      </c>
      <c r="P2070" s="2" t="s">
        <v>31</v>
      </c>
      <c r="Q2070" s="2" t="s">
        <v>32</v>
      </c>
      <c r="R2070" s="2">
        <v>46.0</v>
      </c>
      <c r="U2070" s="2" t="b">
        <v>0</v>
      </c>
      <c r="V2070" s="5">
        <v>0.0036</v>
      </c>
      <c r="W2070" s="5">
        <v>0.0135</v>
      </c>
      <c r="X2070" s="5">
        <v>4.9E-5</v>
      </c>
      <c r="Y2070" s="2">
        <v>94.93243243</v>
      </c>
      <c r="AA2070" s="2" t="s">
        <v>33</v>
      </c>
    </row>
    <row r="2071">
      <c r="A2071" s="2">
        <v>3916.0</v>
      </c>
      <c r="B2071" s="2" t="s">
        <v>6081</v>
      </c>
      <c r="C2071" s="2" t="s">
        <v>7</v>
      </c>
      <c r="D2071" s="2" t="s">
        <v>6082</v>
      </c>
      <c r="E2071" s="2" t="s">
        <v>6083</v>
      </c>
      <c r="F2071" s="6">
        <v>45994.708333333336</v>
      </c>
      <c r="G2071" s="2">
        <v>66325.0</v>
      </c>
      <c r="H2071" s="2">
        <v>66325.0</v>
      </c>
      <c r="I2071" s="2">
        <v>54939.0</v>
      </c>
      <c r="J2071" s="2">
        <v>188.0</v>
      </c>
      <c r="K2071" s="2">
        <v>179.0</v>
      </c>
      <c r="L2071" s="2">
        <v>2.0</v>
      </c>
      <c r="M2071" s="4">
        <v>1557.0</v>
      </c>
      <c r="N2071" s="2" t="s">
        <v>30</v>
      </c>
      <c r="O2071" s="2">
        <v>70.0</v>
      </c>
      <c r="P2071" s="2" t="s">
        <v>189</v>
      </c>
      <c r="Q2071" s="2" t="s">
        <v>32</v>
      </c>
      <c r="R2071" s="2">
        <v>48.0</v>
      </c>
      <c r="U2071" s="2" t="b">
        <v>0</v>
      </c>
      <c r="V2071" s="5">
        <v>0.0033</v>
      </c>
      <c r="W2071" s="5">
        <v>0.0112</v>
      </c>
      <c r="X2071" s="5">
        <v>3.6E-5</v>
      </c>
      <c r="Y2071" s="2">
        <v>8.698324022</v>
      </c>
      <c r="AA2071" s="2" t="s">
        <v>33</v>
      </c>
    </row>
    <row r="2072">
      <c r="A2072" s="2">
        <v>3920.0</v>
      </c>
      <c r="B2072" s="2" t="s">
        <v>6084</v>
      </c>
      <c r="C2072" s="2" t="s">
        <v>7</v>
      </c>
      <c r="D2072" s="2" t="s">
        <v>6085</v>
      </c>
      <c r="E2072" s="2" t="s">
        <v>6086</v>
      </c>
      <c r="F2072" s="6">
        <v>45994.75</v>
      </c>
      <c r="G2072" s="2">
        <v>7227.0</v>
      </c>
      <c r="H2072" s="2">
        <v>7227.0</v>
      </c>
      <c r="I2072" s="2">
        <v>5578.0</v>
      </c>
      <c r="J2072" s="2">
        <v>34.0</v>
      </c>
      <c r="K2072" s="2">
        <v>33.0</v>
      </c>
      <c r="L2072" s="2">
        <v>0.0</v>
      </c>
      <c r="M2072" s="2">
        <v>0.0</v>
      </c>
      <c r="N2072" s="2" t="s">
        <v>423</v>
      </c>
      <c r="O2072" s="2">
        <v>119.0</v>
      </c>
      <c r="P2072" s="2" t="s">
        <v>189</v>
      </c>
      <c r="Q2072" s="2" t="s">
        <v>1367</v>
      </c>
      <c r="R2072" s="2">
        <v>44.0</v>
      </c>
      <c r="U2072" s="2" t="b">
        <v>0</v>
      </c>
      <c r="V2072" s="5">
        <v>0.0059</v>
      </c>
      <c r="W2072" s="5">
        <v>0.0</v>
      </c>
      <c r="X2072" s="5">
        <v>0.0</v>
      </c>
      <c r="Y2072" s="2">
        <v>0.0</v>
      </c>
      <c r="AA2072" s="2" t="s">
        <v>423</v>
      </c>
    </row>
    <row r="2073">
      <c r="A2073" s="2">
        <v>3925.0</v>
      </c>
      <c r="B2073" s="2" t="s">
        <v>6087</v>
      </c>
      <c r="C2073" s="2" t="s">
        <v>7</v>
      </c>
      <c r="D2073" s="2" t="s">
        <v>6088</v>
      </c>
      <c r="E2073" s="2" t="s">
        <v>6089</v>
      </c>
      <c r="F2073" s="6">
        <v>45995.472916666666</v>
      </c>
      <c r="G2073" s="2">
        <v>66475.0</v>
      </c>
      <c r="H2073" s="2">
        <v>66475.0</v>
      </c>
      <c r="I2073" s="2">
        <v>54823.0</v>
      </c>
      <c r="J2073" s="2">
        <v>233.0</v>
      </c>
      <c r="K2073" s="2">
        <v>220.0</v>
      </c>
      <c r="L2073" s="2">
        <v>4.0</v>
      </c>
      <c r="M2073" s="4">
        <v>6775.0</v>
      </c>
      <c r="N2073" s="2" t="s">
        <v>30</v>
      </c>
      <c r="O2073" s="2">
        <v>70.0</v>
      </c>
      <c r="P2073" s="2" t="s">
        <v>189</v>
      </c>
      <c r="Q2073" s="2" t="s">
        <v>32</v>
      </c>
      <c r="R2073" s="2">
        <v>33.0</v>
      </c>
      <c r="U2073" s="2" t="b">
        <v>0</v>
      </c>
      <c r="V2073" s="5">
        <v>0.004</v>
      </c>
      <c r="W2073" s="5">
        <v>0.0182</v>
      </c>
      <c r="X2073" s="5">
        <v>7.3E-5</v>
      </c>
      <c r="Y2073" s="2">
        <v>30.79545455</v>
      </c>
      <c r="AA2073" s="2" t="s">
        <v>33</v>
      </c>
    </row>
    <row r="2074">
      <c r="A2074" s="2">
        <v>3926.0</v>
      </c>
      <c r="B2074" s="2" t="s">
        <v>6090</v>
      </c>
      <c r="C2074" s="2" t="s">
        <v>7</v>
      </c>
      <c r="D2074" s="2" t="s">
        <v>6091</v>
      </c>
      <c r="E2074" s="2" t="s">
        <v>6092</v>
      </c>
      <c r="F2074" s="6">
        <v>45995.475</v>
      </c>
      <c r="G2074" s="2">
        <v>50589.0</v>
      </c>
      <c r="H2074" s="2">
        <v>50589.0</v>
      </c>
      <c r="I2074" s="2">
        <v>40970.0</v>
      </c>
      <c r="J2074" s="2">
        <v>144.0</v>
      </c>
      <c r="K2074" s="2">
        <v>135.0</v>
      </c>
      <c r="L2074" s="2">
        <v>2.0</v>
      </c>
      <c r="M2074" s="4">
        <v>6757.0</v>
      </c>
      <c r="N2074" s="2" t="s">
        <v>36</v>
      </c>
      <c r="O2074" s="2">
        <v>71.0</v>
      </c>
      <c r="P2074" s="2" t="s">
        <v>189</v>
      </c>
      <c r="Q2074" s="2" t="s">
        <v>32</v>
      </c>
      <c r="R2074" s="2">
        <v>39.0</v>
      </c>
      <c r="U2074" s="2" t="b">
        <v>0</v>
      </c>
      <c r="V2074" s="5">
        <v>0.0033</v>
      </c>
      <c r="W2074" s="5">
        <v>0.0148</v>
      </c>
      <c r="X2074" s="5">
        <v>4.9E-5</v>
      </c>
      <c r="Y2074" s="2">
        <v>50.05185185</v>
      </c>
      <c r="AA2074" s="2" t="s">
        <v>33</v>
      </c>
    </row>
    <row r="2075">
      <c r="A2075" s="2">
        <v>3928.0</v>
      </c>
      <c r="B2075" s="2" t="s">
        <v>6093</v>
      </c>
      <c r="C2075" s="2" t="s">
        <v>7</v>
      </c>
      <c r="D2075" s="2" t="s">
        <v>6094</v>
      </c>
      <c r="E2075" s="2" t="s">
        <v>6095</v>
      </c>
      <c r="F2075" s="6">
        <v>45995.625</v>
      </c>
      <c r="G2075" s="2">
        <v>50563.0</v>
      </c>
      <c r="H2075" s="2">
        <v>50563.0</v>
      </c>
      <c r="I2075" s="2">
        <v>40801.0</v>
      </c>
      <c r="J2075" s="2">
        <v>164.0</v>
      </c>
      <c r="K2075" s="2">
        <v>154.0</v>
      </c>
      <c r="L2075" s="2">
        <v>4.0</v>
      </c>
      <c r="M2075" s="4">
        <v>27430.0</v>
      </c>
      <c r="N2075" s="2" t="s">
        <v>36</v>
      </c>
      <c r="O2075" s="2">
        <v>71.0</v>
      </c>
      <c r="P2075" s="2" t="s">
        <v>189</v>
      </c>
      <c r="Q2075" s="2" t="s">
        <v>32</v>
      </c>
      <c r="R2075" s="2">
        <v>45.0</v>
      </c>
      <c r="U2075" s="2" t="b">
        <v>0</v>
      </c>
      <c r="V2075" s="5">
        <v>0.0038</v>
      </c>
      <c r="W2075" s="5">
        <v>0.026</v>
      </c>
      <c r="X2075" s="5">
        <v>9.8E-5</v>
      </c>
      <c r="Y2075" s="2">
        <v>178.1168831</v>
      </c>
      <c r="AA2075" s="2" t="s">
        <v>33</v>
      </c>
    </row>
    <row r="2076">
      <c r="A2076" s="2">
        <v>3927.0</v>
      </c>
      <c r="B2076" s="2" t="s">
        <v>6096</v>
      </c>
      <c r="C2076" s="2" t="s">
        <v>7</v>
      </c>
      <c r="D2076" s="2" t="s">
        <v>6097</v>
      </c>
      <c r="E2076" s="2" t="s">
        <v>6098</v>
      </c>
      <c r="F2076" s="6">
        <v>45995.625</v>
      </c>
      <c r="G2076" s="2">
        <v>66513.0</v>
      </c>
      <c r="H2076" s="2">
        <v>66513.0</v>
      </c>
      <c r="I2076" s="2">
        <v>54733.0</v>
      </c>
      <c r="J2076" s="2">
        <v>195.0</v>
      </c>
      <c r="K2076" s="2">
        <v>179.0</v>
      </c>
      <c r="L2076" s="2">
        <v>3.0</v>
      </c>
      <c r="M2076" s="4">
        <v>12291.0</v>
      </c>
      <c r="N2076" s="2" t="s">
        <v>30</v>
      </c>
      <c r="O2076" s="2">
        <v>70.0</v>
      </c>
      <c r="P2076" s="2" t="s">
        <v>31</v>
      </c>
      <c r="Q2076" s="2" t="s">
        <v>32</v>
      </c>
      <c r="R2076" s="2">
        <v>39.0</v>
      </c>
      <c r="U2076" s="2" t="b">
        <v>0</v>
      </c>
      <c r="V2076" s="5">
        <v>0.0033</v>
      </c>
      <c r="W2076" s="5">
        <v>0.0168</v>
      </c>
      <c r="X2076" s="5">
        <v>5.5E-5</v>
      </c>
      <c r="Y2076" s="2">
        <v>68.66480447</v>
      </c>
      <c r="Z2076" s="2" t="s">
        <v>182</v>
      </c>
      <c r="AA2076" s="2" t="s">
        <v>33</v>
      </c>
    </row>
    <row r="2077">
      <c r="A2077" s="2">
        <v>3930.0</v>
      </c>
      <c r="B2077" s="2" t="s">
        <v>6099</v>
      </c>
      <c r="C2077" s="2" t="s">
        <v>7</v>
      </c>
      <c r="D2077" s="2" t="s">
        <v>6100</v>
      </c>
      <c r="E2077" s="2" t="s">
        <v>6101</v>
      </c>
      <c r="F2077" s="6">
        <v>45995.708333333336</v>
      </c>
      <c r="G2077" s="2">
        <v>50553.0</v>
      </c>
      <c r="H2077" s="2">
        <v>50553.0</v>
      </c>
      <c r="I2077" s="2">
        <v>40843.0</v>
      </c>
      <c r="J2077" s="2">
        <v>123.0</v>
      </c>
      <c r="K2077" s="2">
        <v>119.0</v>
      </c>
      <c r="L2077" s="2">
        <v>1.0</v>
      </c>
      <c r="M2077" s="2">
        <v>888.0</v>
      </c>
      <c r="N2077" s="2" t="s">
        <v>36</v>
      </c>
      <c r="O2077" s="2">
        <v>71.0</v>
      </c>
      <c r="P2077" s="2" t="s">
        <v>189</v>
      </c>
      <c r="Q2077" s="2" t="s">
        <v>32</v>
      </c>
      <c r="R2077" s="2">
        <v>34.0</v>
      </c>
      <c r="U2077" s="2" t="b">
        <v>0</v>
      </c>
      <c r="V2077" s="5">
        <v>0.0029</v>
      </c>
      <c r="W2077" s="5">
        <v>0.0084</v>
      </c>
      <c r="X2077" s="5">
        <v>2.4E-5</v>
      </c>
      <c r="Y2077" s="2">
        <v>7.462184874</v>
      </c>
      <c r="AA2077" s="2" t="s">
        <v>33</v>
      </c>
    </row>
    <row r="2078">
      <c r="A2078" s="2">
        <v>3929.0</v>
      </c>
      <c r="B2078" s="2" t="s">
        <v>6102</v>
      </c>
      <c r="C2078" s="2" t="s">
        <v>7</v>
      </c>
      <c r="D2078" s="2" t="s">
        <v>6103</v>
      </c>
      <c r="E2078" s="2" t="s">
        <v>6104</v>
      </c>
      <c r="F2078" s="6">
        <v>45995.708333333336</v>
      </c>
      <c r="G2078" s="2">
        <v>66552.0</v>
      </c>
      <c r="H2078" s="2">
        <v>66552.0</v>
      </c>
      <c r="I2078" s="2">
        <v>54678.0</v>
      </c>
      <c r="J2078" s="2">
        <v>224.0</v>
      </c>
      <c r="K2078" s="2">
        <v>205.0</v>
      </c>
      <c r="L2078" s="2">
        <v>6.0</v>
      </c>
      <c r="M2078" s="4">
        <v>29335.0</v>
      </c>
      <c r="N2078" s="2" t="s">
        <v>30</v>
      </c>
      <c r="O2078" s="2">
        <v>70.0</v>
      </c>
      <c r="P2078" s="2" t="s">
        <v>189</v>
      </c>
      <c r="Q2078" s="2" t="s">
        <v>32</v>
      </c>
      <c r="R2078" s="2">
        <v>32.0</v>
      </c>
      <c r="U2078" s="2" t="b">
        <v>0</v>
      </c>
      <c r="V2078" s="5">
        <v>0.0037</v>
      </c>
      <c r="W2078" s="5">
        <v>0.0293</v>
      </c>
      <c r="X2078" s="5">
        <v>1.1E-4</v>
      </c>
      <c r="Y2078" s="2">
        <v>143.097561</v>
      </c>
      <c r="Z2078" s="2">
        <v>222.0</v>
      </c>
      <c r="AA2078" s="2" t="s">
        <v>33</v>
      </c>
    </row>
    <row r="2079">
      <c r="A2079" s="2">
        <v>3939.0</v>
      </c>
      <c r="B2079" s="2" t="s">
        <v>6105</v>
      </c>
      <c r="C2079" s="2" t="s">
        <v>7</v>
      </c>
      <c r="D2079" s="2" t="s">
        <v>6106</v>
      </c>
      <c r="E2079" s="2" t="e">
        <v>#N/A</v>
      </c>
      <c r="F2079" s="6">
        <v>45995.791666666664</v>
      </c>
      <c r="G2079" s="2">
        <v>50580.0</v>
      </c>
      <c r="H2079" s="2">
        <v>50580.0</v>
      </c>
      <c r="I2079" s="2">
        <v>40974.0</v>
      </c>
      <c r="J2079" s="2">
        <v>172.0</v>
      </c>
      <c r="K2079" s="2">
        <v>157.0</v>
      </c>
      <c r="L2079" s="2">
        <v>0.0</v>
      </c>
      <c r="M2079" s="2">
        <v>0.0</v>
      </c>
      <c r="N2079" s="2" t="s">
        <v>36</v>
      </c>
      <c r="O2079" s="2">
        <v>71.0</v>
      </c>
      <c r="P2079" s="2" t="s">
        <v>31</v>
      </c>
      <c r="Q2079" s="2" t="s">
        <v>32</v>
      </c>
      <c r="R2079" s="2">
        <v>37.0</v>
      </c>
      <c r="U2079" s="2" t="b">
        <v>0</v>
      </c>
      <c r="V2079" s="5">
        <v>0.0038</v>
      </c>
      <c r="W2079" s="5">
        <v>0.0</v>
      </c>
      <c r="X2079" s="5">
        <v>0.0</v>
      </c>
      <c r="Y2079" s="2">
        <v>0.0</v>
      </c>
      <c r="AA2079" s="2" t="s">
        <v>33</v>
      </c>
    </row>
    <row r="2080">
      <c r="A2080" s="2">
        <v>3937.0</v>
      </c>
      <c r="B2080" s="2" t="s">
        <v>6107</v>
      </c>
      <c r="C2080" s="2" t="s">
        <v>7</v>
      </c>
      <c r="D2080" s="2" t="s">
        <v>6108</v>
      </c>
      <c r="E2080" s="2" t="e">
        <v>#N/A</v>
      </c>
      <c r="F2080" s="6">
        <v>45995.791666666664</v>
      </c>
      <c r="G2080" s="2">
        <v>66621.0</v>
      </c>
      <c r="H2080" s="2">
        <v>66621.0</v>
      </c>
      <c r="I2080" s="2">
        <v>54975.0</v>
      </c>
      <c r="J2080" s="2">
        <v>199.0</v>
      </c>
      <c r="K2080" s="2">
        <v>190.0</v>
      </c>
      <c r="L2080" s="2">
        <v>1.0</v>
      </c>
      <c r="M2080" s="4">
        <v>2150.0</v>
      </c>
      <c r="N2080" s="2" t="s">
        <v>30</v>
      </c>
      <c r="O2080" s="2">
        <v>70.0</v>
      </c>
      <c r="P2080" s="2" t="s">
        <v>189</v>
      </c>
      <c r="Q2080" s="2" t="s">
        <v>32</v>
      </c>
      <c r="R2080" s="2">
        <v>35.0</v>
      </c>
      <c r="U2080" s="2" t="b">
        <v>0</v>
      </c>
      <c r="V2080" s="5">
        <v>0.0035</v>
      </c>
      <c r="W2080" s="5">
        <v>0.0053</v>
      </c>
      <c r="X2080" s="5">
        <v>1.8E-5</v>
      </c>
      <c r="Y2080" s="2">
        <v>11.31578947</v>
      </c>
      <c r="AA2080" s="2" t="s">
        <v>33</v>
      </c>
    </row>
    <row r="2081">
      <c r="A2081" s="2">
        <v>3932.0</v>
      </c>
      <c r="B2081" s="2" t="s">
        <v>6109</v>
      </c>
      <c r="C2081" s="2" t="s">
        <v>7</v>
      </c>
      <c r="D2081" s="2" t="s">
        <v>6110</v>
      </c>
      <c r="E2081" s="2" t="s">
        <v>6111</v>
      </c>
      <c r="F2081" s="6">
        <v>45996.458333333336</v>
      </c>
      <c r="G2081" s="2">
        <v>50623.0</v>
      </c>
      <c r="H2081" s="2">
        <v>50623.0</v>
      </c>
      <c r="I2081" s="2">
        <v>40697.0</v>
      </c>
      <c r="J2081" s="2">
        <v>139.0</v>
      </c>
      <c r="K2081" s="2">
        <v>133.0</v>
      </c>
      <c r="L2081" s="2">
        <v>0.0</v>
      </c>
      <c r="M2081" s="2">
        <v>0.0</v>
      </c>
      <c r="N2081" s="2" t="s">
        <v>36</v>
      </c>
      <c r="O2081" s="2">
        <v>71.0</v>
      </c>
      <c r="P2081" s="2" t="s">
        <v>189</v>
      </c>
      <c r="Q2081" s="2" t="s">
        <v>32</v>
      </c>
      <c r="R2081" s="2">
        <v>25.0</v>
      </c>
      <c r="U2081" s="2" t="b">
        <v>0</v>
      </c>
      <c r="V2081" s="5">
        <v>0.0033</v>
      </c>
      <c r="W2081" s="5">
        <v>0.0</v>
      </c>
      <c r="X2081" s="5">
        <v>0.0</v>
      </c>
      <c r="Y2081" s="2">
        <v>0.0</v>
      </c>
      <c r="AA2081" s="2" t="s">
        <v>33</v>
      </c>
    </row>
    <row r="2082">
      <c r="A2082" s="2">
        <v>3931.0</v>
      </c>
      <c r="B2082" s="2" t="s">
        <v>6112</v>
      </c>
      <c r="C2082" s="2" t="s">
        <v>7</v>
      </c>
      <c r="D2082" s="2" t="s">
        <v>6113</v>
      </c>
      <c r="E2082" s="2" t="s">
        <v>6114</v>
      </c>
      <c r="F2082" s="6">
        <v>45996.458333333336</v>
      </c>
      <c r="G2082" s="2">
        <v>66862.0</v>
      </c>
      <c r="H2082" s="2">
        <v>66862.0</v>
      </c>
      <c r="I2082" s="2">
        <v>54890.0</v>
      </c>
      <c r="J2082" s="2">
        <v>206.0</v>
      </c>
      <c r="K2082" s="2">
        <v>182.0</v>
      </c>
      <c r="L2082" s="2">
        <v>4.0</v>
      </c>
      <c r="M2082" s="4">
        <v>9535.0</v>
      </c>
      <c r="N2082" s="2" t="s">
        <v>30</v>
      </c>
      <c r="O2082" s="2">
        <v>70.0</v>
      </c>
      <c r="P2082" s="2" t="s">
        <v>189</v>
      </c>
      <c r="Q2082" s="2" t="s">
        <v>32</v>
      </c>
      <c r="R2082" s="2">
        <v>28.0</v>
      </c>
      <c r="U2082" s="2" t="b">
        <v>0</v>
      </c>
      <c r="V2082" s="5">
        <v>0.0033</v>
      </c>
      <c r="W2082" s="5">
        <v>0.022</v>
      </c>
      <c r="X2082" s="5">
        <v>7.3E-5</v>
      </c>
      <c r="Y2082" s="2">
        <v>52.39010989</v>
      </c>
      <c r="AA2082" s="2" t="s">
        <v>33</v>
      </c>
    </row>
    <row r="2083">
      <c r="A2083" s="2">
        <v>3934.0</v>
      </c>
      <c r="B2083" s="2" t="s">
        <v>6115</v>
      </c>
      <c r="C2083" s="2" t="s">
        <v>7</v>
      </c>
      <c r="D2083" s="2" t="s">
        <v>6116</v>
      </c>
      <c r="E2083" s="2" t="s">
        <v>6117</v>
      </c>
      <c r="F2083" s="6">
        <v>45996.625</v>
      </c>
      <c r="G2083" s="2">
        <v>50687.0</v>
      </c>
      <c r="H2083" s="2">
        <v>50687.0</v>
      </c>
      <c r="I2083" s="2">
        <v>40845.0</v>
      </c>
      <c r="J2083" s="2">
        <v>138.0</v>
      </c>
      <c r="K2083" s="2">
        <v>129.0</v>
      </c>
      <c r="L2083" s="2">
        <v>2.0</v>
      </c>
      <c r="M2083" s="4">
        <v>7599.0</v>
      </c>
      <c r="N2083" s="2" t="s">
        <v>36</v>
      </c>
      <c r="O2083" s="2">
        <v>71.0</v>
      </c>
      <c r="P2083" s="2" t="s">
        <v>31</v>
      </c>
      <c r="Q2083" s="2" t="s">
        <v>32</v>
      </c>
      <c r="R2083" s="2">
        <v>32.0</v>
      </c>
      <c r="U2083" s="2" t="b">
        <v>0</v>
      </c>
      <c r="V2083" s="5">
        <v>0.0032</v>
      </c>
      <c r="W2083" s="5">
        <v>0.0155</v>
      </c>
      <c r="X2083" s="5">
        <v>4.9E-5</v>
      </c>
      <c r="Y2083" s="2">
        <v>58.90697674</v>
      </c>
      <c r="AA2083" s="2" t="s">
        <v>33</v>
      </c>
    </row>
    <row r="2084">
      <c r="A2084" s="2">
        <v>3933.0</v>
      </c>
      <c r="B2084" s="2" t="s">
        <v>6118</v>
      </c>
      <c r="C2084" s="2" t="s">
        <v>7</v>
      </c>
      <c r="D2084" s="2" t="s">
        <v>6119</v>
      </c>
      <c r="E2084" s="2" t="s">
        <v>6120</v>
      </c>
      <c r="F2084" s="6">
        <v>45996.625</v>
      </c>
      <c r="G2084" s="2">
        <v>67002.0</v>
      </c>
      <c r="H2084" s="2">
        <v>67002.0</v>
      </c>
      <c r="I2084" s="2">
        <v>55019.0</v>
      </c>
      <c r="J2084" s="2">
        <v>176.0</v>
      </c>
      <c r="K2084" s="2">
        <v>167.0</v>
      </c>
      <c r="L2084" s="2">
        <v>4.0</v>
      </c>
      <c r="M2084" s="4">
        <v>5933.0</v>
      </c>
      <c r="N2084" s="2" t="s">
        <v>30</v>
      </c>
      <c r="O2084" s="2">
        <v>70.0</v>
      </c>
      <c r="P2084" s="2" t="s">
        <v>189</v>
      </c>
      <c r="Q2084" s="2" t="s">
        <v>32</v>
      </c>
      <c r="R2084" s="2">
        <v>33.0</v>
      </c>
      <c r="U2084" s="2" t="b">
        <v>0</v>
      </c>
      <c r="V2084" s="5">
        <v>0.003</v>
      </c>
      <c r="W2084" s="5">
        <v>0.024</v>
      </c>
      <c r="X2084" s="5">
        <v>7.3E-5</v>
      </c>
      <c r="Y2084" s="2">
        <v>35.52694611</v>
      </c>
      <c r="Z2084" s="2">
        <v>5828.0</v>
      </c>
      <c r="AA2084" s="2" t="s">
        <v>33</v>
      </c>
    </row>
    <row r="2085">
      <c r="A2085" s="2">
        <v>3936.0</v>
      </c>
      <c r="B2085" s="2" t="s">
        <v>6121</v>
      </c>
      <c r="C2085" s="2" t="s">
        <v>7</v>
      </c>
      <c r="D2085" s="2" t="s">
        <v>6122</v>
      </c>
      <c r="E2085" s="2" t="s">
        <v>6123</v>
      </c>
      <c r="F2085" s="6">
        <v>45996.708333333336</v>
      </c>
      <c r="G2085" s="2">
        <v>50714.0</v>
      </c>
      <c r="H2085" s="2">
        <v>50714.0</v>
      </c>
      <c r="I2085" s="2">
        <v>40816.0</v>
      </c>
      <c r="J2085" s="2">
        <v>167.0</v>
      </c>
      <c r="K2085" s="2">
        <v>160.0</v>
      </c>
      <c r="L2085" s="2">
        <v>2.0</v>
      </c>
      <c r="M2085" s="4">
        <v>4917.0</v>
      </c>
      <c r="N2085" s="2" t="s">
        <v>36</v>
      </c>
      <c r="O2085" s="2">
        <v>71.0</v>
      </c>
      <c r="P2085" s="2" t="s">
        <v>189</v>
      </c>
      <c r="Q2085" s="2" t="s">
        <v>32</v>
      </c>
      <c r="R2085" s="2">
        <v>32.0</v>
      </c>
      <c r="U2085" s="2" t="b">
        <v>0</v>
      </c>
      <c r="V2085" s="5">
        <v>0.0039</v>
      </c>
      <c r="W2085" s="5">
        <v>0.0125</v>
      </c>
      <c r="X2085" s="5">
        <v>4.9E-5</v>
      </c>
      <c r="Y2085" s="2">
        <v>30.73125</v>
      </c>
      <c r="AA2085" s="2" t="s">
        <v>33</v>
      </c>
    </row>
    <row r="2086">
      <c r="A2086" s="2">
        <v>3935.0</v>
      </c>
      <c r="B2086" s="2" t="s">
        <v>6124</v>
      </c>
      <c r="C2086" s="2" t="s">
        <v>7</v>
      </c>
      <c r="D2086" s="2" t="s">
        <v>6125</v>
      </c>
      <c r="E2086" s="2" t="s">
        <v>6126</v>
      </c>
      <c r="F2086" s="6">
        <v>45996.708333333336</v>
      </c>
      <c r="G2086" s="2">
        <v>67102.0</v>
      </c>
      <c r="H2086" s="2">
        <v>67102.0</v>
      </c>
      <c r="I2086" s="2">
        <v>54964.0</v>
      </c>
      <c r="J2086" s="2">
        <v>217.0</v>
      </c>
      <c r="K2086" s="2">
        <v>209.0</v>
      </c>
      <c r="L2086" s="2">
        <v>5.0</v>
      </c>
      <c r="M2086" s="4">
        <v>9529.0</v>
      </c>
      <c r="N2086" s="2" t="s">
        <v>30</v>
      </c>
      <c r="O2086" s="2">
        <v>70.0</v>
      </c>
      <c r="P2086" s="2" t="s">
        <v>31</v>
      </c>
      <c r="Q2086" s="2" t="s">
        <v>32</v>
      </c>
      <c r="R2086" s="2">
        <v>36.0</v>
      </c>
      <c r="U2086" s="2" t="b">
        <v>0</v>
      </c>
      <c r="V2086" s="5">
        <v>0.0038</v>
      </c>
      <c r="W2086" s="5">
        <v>0.0239</v>
      </c>
      <c r="X2086" s="5">
        <v>9.1E-5</v>
      </c>
      <c r="Y2086" s="2">
        <v>45.59330144</v>
      </c>
      <c r="AA2086" s="2" t="s">
        <v>33</v>
      </c>
    </row>
    <row r="2087">
      <c r="A2087" s="2">
        <v>3943.0</v>
      </c>
      <c r="B2087" s="2" t="s">
        <v>6127</v>
      </c>
      <c r="C2087" s="2" t="s">
        <v>7</v>
      </c>
      <c r="D2087" s="2" t="s">
        <v>6128</v>
      </c>
      <c r="E2087" s="2" t="s">
        <v>6129</v>
      </c>
      <c r="F2087" s="6">
        <v>45997.458333333336</v>
      </c>
      <c r="G2087" s="2">
        <v>67328.0</v>
      </c>
      <c r="H2087" s="2">
        <v>67328.0</v>
      </c>
      <c r="I2087" s="2">
        <v>55025.0</v>
      </c>
      <c r="J2087" s="2">
        <v>179.0</v>
      </c>
      <c r="K2087" s="2">
        <v>167.0</v>
      </c>
      <c r="L2087" s="2">
        <v>1.0</v>
      </c>
      <c r="M2087" s="4">
        <v>1890.0</v>
      </c>
      <c r="N2087" s="2" t="s">
        <v>30</v>
      </c>
      <c r="O2087" s="2">
        <v>70.0</v>
      </c>
      <c r="P2087" s="2" t="s">
        <v>31</v>
      </c>
      <c r="Q2087" s="2" t="s">
        <v>32</v>
      </c>
      <c r="R2087" s="2">
        <v>41.0</v>
      </c>
      <c r="U2087" s="2" t="b">
        <v>0</v>
      </c>
      <c r="V2087" s="5">
        <v>0.003</v>
      </c>
      <c r="W2087" s="5">
        <v>0.006</v>
      </c>
      <c r="X2087" s="5">
        <v>1.8E-5</v>
      </c>
      <c r="Y2087" s="2">
        <v>11.31736527</v>
      </c>
      <c r="Z2087" s="2" t="s">
        <v>2041</v>
      </c>
      <c r="AA2087" s="2" t="s">
        <v>33</v>
      </c>
    </row>
    <row r="2088">
      <c r="A2088" s="2">
        <v>3944.0</v>
      </c>
      <c r="B2088" s="2" t="s">
        <v>6130</v>
      </c>
      <c r="C2088" s="2" t="s">
        <v>7</v>
      </c>
      <c r="D2088" s="2" t="s">
        <v>6131</v>
      </c>
      <c r="F2088" s="6">
        <v>45997.458333333336</v>
      </c>
      <c r="G2088" s="2">
        <v>50718.0</v>
      </c>
      <c r="H2088" s="2">
        <v>50718.0</v>
      </c>
      <c r="I2088" s="2">
        <v>40842.0</v>
      </c>
      <c r="J2088" s="2">
        <v>146.0</v>
      </c>
      <c r="K2088" s="2">
        <v>140.0</v>
      </c>
      <c r="L2088" s="2">
        <v>1.0</v>
      </c>
      <c r="M2088" s="4">
        <v>1914.0</v>
      </c>
      <c r="N2088" s="2" t="s">
        <v>36</v>
      </c>
      <c r="O2088" s="2">
        <v>71.0</v>
      </c>
      <c r="P2088" s="2" t="s">
        <v>31</v>
      </c>
      <c r="Q2088" s="2" t="s">
        <v>32</v>
      </c>
      <c r="R2088" s="2">
        <v>58.0</v>
      </c>
      <c r="U2088" s="2" t="b">
        <v>0</v>
      </c>
      <c r="V2088" s="5">
        <v>0.0034</v>
      </c>
      <c r="W2088" s="5">
        <v>0.0071</v>
      </c>
      <c r="X2088" s="5">
        <v>2.4E-5</v>
      </c>
      <c r="Y2088" s="2">
        <v>13.67142857</v>
      </c>
      <c r="AA2088" s="2" t="s">
        <v>33</v>
      </c>
    </row>
    <row r="2089">
      <c r="A2089" s="2">
        <v>3946.0</v>
      </c>
      <c r="B2089" s="2" t="s">
        <v>6132</v>
      </c>
      <c r="C2089" s="2" t="s">
        <v>7</v>
      </c>
      <c r="D2089" s="2" t="s">
        <v>6133</v>
      </c>
      <c r="E2089" s="2" t="s">
        <v>6134</v>
      </c>
      <c r="F2089" s="6">
        <v>45997.625</v>
      </c>
      <c r="G2089" s="2">
        <v>67480.0</v>
      </c>
      <c r="H2089" s="2">
        <v>67480.0</v>
      </c>
      <c r="I2089" s="2">
        <v>55314.0</v>
      </c>
      <c r="J2089" s="2">
        <v>160.0</v>
      </c>
      <c r="K2089" s="2">
        <v>148.0</v>
      </c>
      <c r="L2089" s="2">
        <v>1.0</v>
      </c>
      <c r="M2089" s="4">
        <v>4500.0</v>
      </c>
      <c r="N2089" s="2" t="s">
        <v>30</v>
      </c>
      <c r="O2089" s="2">
        <v>70.0</v>
      </c>
      <c r="P2089" s="2" t="s">
        <v>189</v>
      </c>
      <c r="Q2089" s="2" t="s">
        <v>32</v>
      </c>
      <c r="R2089" s="2">
        <v>29.0</v>
      </c>
      <c r="U2089" s="2" t="b">
        <v>0</v>
      </c>
      <c r="V2089" s="5">
        <v>0.0027</v>
      </c>
      <c r="W2089" s="5">
        <v>0.0068</v>
      </c>
      <c r="X2089" s="5">
        <v>1.8E-5</v>
      </c>
      <c r="Y2089" s="2">
        <v>30.40540541</v>
      </c>
      <c r="Z2089" s="2">
        <v>4763.0</v>
      </c>
      <c r="AA2089" s="2" t="s">
        <v>33</v>
      </c>
    </row>
    <row r="2090">
      <c r="A2090" s="2">
        <v>3947.0</v>
      </c>
      <c r="B2090" s="2" t="s">
        <v>6135</v>
      </c>
      <c r="C2090" s="2" t="s">
        <v>7</v>
      </c>
      <c r="D2090" s="2" t="s">
        <v>6136</v>
      </c>
      <c r="F2090" s="6">
        <v>45997.625</v>
      </c>
      <c r="G2090" s="2">
        <v>50792.0</v>
      </c>
      <c r="H2090" s="2">
        <v>50792.0</v>
      </c>
      <c r="I2090" s="2">
        <v>41064.0</v>
      </c>
      <c r="J2090" s="2">
        <v>140.0</v>
      </c>
      <c r="K2090" s="2">
        <v>137.0</v>
      </c>
      <c r="L2090" s="2">
        <v>6.0</v>
      </c>
      <c r="M2090" s="4">
        <v>11808.0</v>
      </c>
      <c r="N2090" s="2" t="s">
        <v>36</v>
      </c>
      <c r="O2090" s="2">
        <v>71.0</v>
      </c>
      <c r="P2090" s="2" t="s">
        <v>189</v>
      </c>
      <c r="Q2090" s="2" t="s">
        <v>32</v>
      </c>
      <c r="R2090" s="2">
        <v>37.0</v>
      </c>
      <c r="U2090" s="2" t="b">
        <v>0</v>
      </c>
      <c r="V2090" s="5">
        <v>0.0033</v>
      </c>
      <c r="W2090" s="5">
        <v>0.0438</v>
      </c>
      <c r="X2090" s="5">
        <v>1.46E-4</v>
      </c>
      <c r="Y2090" s="2">
        <v>86.18978102</v>
      </c>
      <c r="AA2090" s="2" t="s">
        <v>33</v>
      </c>
    </row>
    <row r="2091">
      <c r="A2091" s="2">
        <v>3949.0</v>
      </c>
      <c r="B2091" s="2" t="s">
        <v>6137</v>
      </c>
      <c r="C2091" s="2" t="s">
        <v>7</v>
      </c>
      <c r="D2091" s="2" t="s">
        <v>6138</v>
      </c>
      <c r="E2091" s="2" t="s">
        <v>6139</v>
      </c>
      <c r="F2091" s="6">
        <v>45997.708333333336</v>
      </c>
      <c r="G2091" s="2">
        <v>67574.0</v>
      </c>
      <c r="H2091" s="2">
        <v>67574.0</v>
      </c>
      <c r="I2091" s="2">
        <v>55302.0</v>
      </c>
      <c r="J2091" s="2">
        <v>271.0</v>
      </c>
      <c r="K2091" s="2">
        <v>258.0</v>
      </c>
      <c r="L2091" s="2">
        <v>1.0</v>
      </c>
      <c r="M2091" s="4">
        <v>1390.0</v>
      </c>
      <c r="N2091" s="2" t="s">
        <v>30</v>
      </c>
      <c r="O2091" s="2">
        <v>70.0</v>
      </c>
      <c r="P2091" s="2" t="s">
        <v>189</v>
      </c>
      <c r="Q2091" s="2" t="s">
        <v>32</v>
      </c>
      <c r="R2091" s="2">
        <v>30.0</v>
      </c>
      <c r="U2091" s="2" t="b">
        <v>0</v>
      </c>
      <c r="V2091" s="5">
        <v>0.0047</v>
      </c>
      <c r="W2091" s="5">
        <v>0.0039</v>
      </c>
      <c r="X2091" s="5">
        <v>1.8E-5</v>
      </c>
      <c r="Y2091" s="2">
        <v>5.387596899</v>
      </c>
      <c r="Z2091" s="2">
        <v>1594.0</v>
      </c>
      <c r="AA2091" s="2" t="s">
        <v>33</v>
      </c>
    </row>
    <row r="2092">
      <c r="A2092" s="2">
        <v>3950.0</v>
      </c>
      <c r="B2092" s="2" t="s">
        <v>6140</v>
      </c>
      <c r="C2092" s="2" t="s">
        <v>7</v>
      </c>
      <c r="D2092" s="2" t="s">
        <v>6141</v>
      </c>
      <c r="F2092" s="6">
        <v>45997.708333333336</v>
      </c>
      <c r="G2092" s="2">
        <v>50826.0</v>
      </c>
      <c r="H2092" s="2">
        <v>50826.0</v>
      </c>
      <c r="I2092" s="2">
        <v>41161.0</v>
      </c>
      <c r="J2092" s="2">
        <v>221.0</v>
      </c>
      <c r="K2092" s="2">
        <v>208.0</v>
      </c>
      <c r="L2092" s="2">
        <v>4.0</v>
      </c>
      <c r="M2092" s="4">
        <v>19514.0</v>
      </c>
      <c r="N2092" s="2" t="s">
        <v>36</v>
      </c>
      <c r="O2092" s="2">
        <v>71.0</v>
      </c>
      <c r="P2092" s="2" t="s">
        <v>189</v>
      </c>
      <c r="Q2092" s="2" t="s">
        <v>32</v>
      </c>
      <c r="R2092" s="2">
        <v>29.0</v>
      </c>
      <c r="U2092" s="2" t="b">
        <v>0</v>
      </c>
      <c r="V2092" s="5">
        <v>0.0051</v>
      </c>
      <c r="W2092" s="5">
        <v>0.0192</v>
      </c>
      <c r="X2092" s="5">
        <v>9.7E-5</v>
      </c>
      <c r="Y2092" s="2">
        <v>93.81730769</v>
      </c>
      <c r="AA2092" s="2" t="s">
        <v>33</v>
      </c>
    </row>
    <row r="2093">
      <c r="A2093" s="2">
        <v>3953.0</v>
      </c>
      <c r="B2093" s="2" t="s">
        <v>6142</v>
      </c>
      <c r="C2093" s="2" t="s">
        <v>7</v>
      </c>
      <c r="D2093" s="2" t="s">
        <v>6143</v>
      </c>
      <c r="F2093" s="6">
        <v>45998.458333333336</v>
      </c>
      <c r="G2093" s="2">
        <v>50856.0</v>
      </c>
      <c r="H2093" s="2">
        <v>50856.0</v>
      </c>
      <c r="I2093" s="2">
        <v>40912.0</v>
      </c>
      <c r="J2093" s="2">
        <v>203.0</v>
      </c>
      <c r="K2093" s="2">
        <v>188.0</v>
      </c>
      <c r="L2093" s="2">
        <v>3.0</v>
      </c>
      <c r="M2093" s="4">
        <v>6389.0</v>
      </c>
      <c r="N2093" s="2" t="s">
        <v>36</v>
      </c>
      <c r="O2093" s="2">
        <v>71.0</v>
      </c>
      <c r="P2093" s="2" t="s">
        <v>31</v>
      </c>
      <c r="Q2093" s="2" t="s">
        <v>32</v>
      </c>
      <c r="R2093" s="2">
        <v>28.0</v>
      </c>
      <c r="U2093" s="2" t="b">
        <v>1</v>
      </c>
      <c r="V2093" s="5">
        <v>0.0046</v>
      </c>
      <c r="W2093" s="5">
        <v>0.016</v>
      </c>
      <c r="X2093" s="5">
        <v>7.3E-5</v>
      </c>
      <c r="Y2093" s="2">
        <v>33.98404255</v>
      </c>
      <c r="AA2093" s="2" t="s">
        <v>33</v>
      </c>
    </row>
    <row r="2094">
      <c r="A2094" s="2">
        <v>3951.0</v>
      </c>
      <c r="B2094" s="2" t="s">
        <v>6144</v>
      </c>
      <c r="C2094" s="2" t="s">
        <v>7</v>
      </c>
      <c r="D2094" s="2" t="s">
        <v>6145</v>
      </c>
      <c r="F2094" s="6">
        <v>45998.458333333336</v>
      </c>
      <c r="G2094" s="2">
        <v>67747.0</v>
      </c>
      <c r="H2094" s="2">
        <v>67747.0</v>
      </c>
      <c r="I2094" s="2">
        <v>55300.0</v>
      </c>
      <c r="J2094" s="2">
        <v>222.0</v>
      </c>
      <c r="K2094" s="2">
        <v>211.0</v>
      </c>
      <c r="L2094" s="2">
        <v>3.0</v>
      </c>
      <c r="M2094" s="4">
        <v>14923.0</v>
      </c>
      <c r="N2094" s="2" t="s">
        <v>30</v>
      </c>
      <c r="O2094" s="2">
        <v>70.0</v>
      </c>
      <c r="P2094" s="2" t="s">
        <v>31</v>
      </c>
      <c r="Q2094" s="2" t="s">
        <v>32</v>
      </c>
      <c r="R2094" s="2">
        <v>27.0</v>
      </c>
      <c r="U2094" s="2" t="b">
        <v>0</v>
      </c>
      <c r="V2094" s="5">
        <v>0.0038</v>
      </c>
      <c r="W2094" s="5">
        <v>0.0142</v>
      </c>
      <c r="X2094" s="5">
        <v>5.4E-5</v>
      </c>
      <c r="Y2094" s="2">
        <v>70.72511848</v>
      </c>
      <c r="Z2094" s="2">
        <v>835.0</v>
      </c>
      <c r="AA2094" s="2" t="s">
        <v>33</v>
      </c>
    </row>
    <row r="2095">
      <c r="A2095" s="2">
        <v>3955.0</v>
      </c>
      <c r="B2095" s="2" t="s">
        <v>6146</v>
      </c>
      <c r="C2095" s="2" t="s">
        <v>7</v>
      </c>
      <c r="D2095" s="2" t="s">
        <v>6147</v>
      </c>
      <c r="F2095" s="6">
        <v>45998.625</v>
      </c>
      <c r="G2095" s="2">
        <v>50922.0</v>
      </c>
      <c r="H2095" s="2">
        <v>50922.0</v>
      </c>
      <c r="I2095" s="2">
        <v>41343.0</v>
      </c>
      <c r="J2095" s="2">
        <v>178.0</v>
      </c>
      <c r="K2095" s="2">
        <v>173.0</v>
      </c>
      <c r="L2095" s="2">
        <v>2.0</v>
      </c>
      <c r="M2095" s="4">
        <v>2570.0</v>
      </c>
      <c r="N2095" s="2" t="s">
        <v>36</v>
      </c>
      <c r="O2095" s="2">
        <v>71.0</v>
      </c>
      <c r="P2095" s="2" t="s">
        <v>189</v>
      </c>
      <c r="Q2095" s="2" t="s">
        <v>32</v>
      </c>
      <c r="R2095" s="2">
        <v>36.0</v>
      </c>
      <c r="U2095" s="2" t="b">
        <v>1</v>
      </c>
      <c r="V2095" s="5">
        <v>0.0042</v>
      </c>
      <c r="W2095" s="5">
        <v>0.0116</v>
      </c>
      <c r="X2095" s="5">
        <v>4.8E-5</v>
      </c>
      <c r="Y2095" s="2">
        <v>14.85549133</v>
      </c>
      <c r="AA2095" s="2" t="s">
        <v>33</v>
      </c>
    </row>
    <row r="2096">
      <c r="A2096" s="2">
        <v>3954.0</v>
      </c>
      <c r="B2096" s="2" t="s">
        <v>6148</v>
      </c>
      <c r="C2096" s="2" t="s">
        <v>7</v>
      </c>
      <c r="D2096" s="2" t="s">
        <v>6149</v>
      </c>
      <c r="F2096" s="6">
        <v>45998.625</v>
      </c>
      <c r="G2096" s="2">
        <v>67823.0</v>
      </c>
      <c r="H2096" s="2">
        <v>67823.0</v>
      </c>
      <c r="I2096" s="2">
        <v>55845.0</v>
      </c>
      <c r="J2096" s="2">
        <v>257.0</v>
      </c>
      <c r="K2096" s="2">
        <v>241.0</v>
      </c>
      <c r="L2096" s="2">
        <v>1.0</v>
      </c>
      <c r="M2096" s="2">
        <v>589.0</v>
      </c>
      <c r="N2096" s="2" t="s">
        <v>30</v>
      </c>
      <c r="O2096" s="2">
        <v>70.0</v>
      </c>
      <c r="P2096" s="2" t="s">
        <v>189</v>
      </c>
      <c r="Q2096" s="2" t="s">
        <v>32</v>
      </c>
      <c r="R2096" s="2">
        <v>36.0</v>
      </c>
      <c r="U2096" s="2" t="b">
        <v>0</v>
      </c>
      <c r="V2096" s="5">
        <v>0.0043</v>
      </c>
      <c r="W2096" s="5">
        <v>0.0041</v>
      </c>
      <c r="X2096" s="5">
        <v>1.8E-5</v>
      </c>
      <c r="Y2096" s="2">
        <v>2.443983402</v>
      </c>
      <c r="Z2096" s="2">
        <v>945.0</v>
      </c>
      <c r="AA2096" s="2" t="s">
        <v>33</v>
      </c>
    </row>
    <row r="2097">
      <c r="A2097" s="2">
        <v>3957.0</v>
      </c>
      <c r="B2097" s="2" t="s">
        <v>6150</v>
      </c>
      <c r="C2097" s="2" t="s">
        <v>7</v>
      </c>
      <c r="D2097" s="2" t="s">
        <v>6151</v>
      </c>
      <c r="F2097" s="6">
        <v>45998.708333333336</v>
      </c>
      <c r="G2097" s="2">
        <v>50931.0</v>
      </c>
      <c r="H2097" s="2">
        <v>50931.0</v>
      </c>
      <c r="I2097" s="2">
        <v>41256.0</v>
      </c>
      <c r="J2097" s="2">
        <v>185.0</v>
      </c>
      <c r="K2097" s="2">
        <v>175.0</v>
      </c>
      <c r="L2097" s="2">
        <v>3.0</v>
      </c>
      <c r="M2097" s="4">
        <v>5898.0</v>
      </c>
      <c r="N2097" s="2" t="s">
        <v>36</v>
      </c>
      <c r="O2097" s="2">
        <v>71.0</v>
      </c>
      <c r="P2097" s="2" t="s">
        <v>189</v>
      </c>
      <c r="Q2097" s="2" t="s">
        <v>32</v>
      </c>
      <c r="R2097" s="2">
        <v>36.0</v>
      </c>
      <c r="U2097" s="2" t="b">
        <v>0</v>
      </c>
      <c r="V2097" s="5">
        <v>0.0042</v>
      </c>
      <c r="W2097" s="5">
        <v>0.0171</v>
      </c>
      <c r="X2097" s="5">
        <v>7.3E-5</v>
      </c>
      <c r="Y2097" s="2">
        <v>33.70285714</v>
      </c>
      <c r="AA2097" s="2" t="s">
        <v>33</v>
      </c>
    </row>
    <row r="2098">
      <c r="A2098" s="2">
        <v>3956.0</v>
      </c>
      <c r="B2098" s="2" t="s">
        <v>6152</v>
      </c>
      <c r="C2098" s="2" t="s">
        <v>7</v>
      </c>
      <c r="D2098" s="2" t="s">
        <v>6153</v>
      </c>
      <c r="F2098" s="6">
        <v>45998.708333333336</v>
      </c>
      <c r="G2098" s="2">
        <v>67888.0</v>
      </c>
      <c r="H2098" s="2">
        <v>67888.0</v>
      </c>
      <c r="I2098" s="2">
        <v>55646.0</v>
      </c>
      <c r="J2098" s="2">
        <v>202.0</v>
      </c>
      <c r="K2098" s="2">
        <v>185.0</v>
      </c>
      <c r="L2098" s="2">
        <v>4.0</v>
      </c>
      <c r="M2098" s="4">
        <v>8458.0</v>
      </c>
      <c r="N2098" s="2" t="s">
        <v>30</v>
      </c>
      <c r="O2098" s="2">
        <v>70.0</v>
      </c>
      <c r="P2098" s="2" t="s">
        <v>189</v>
      </c>
      <c r="Q2098" s="2" t="s">
        <v>32</v>
      </c>
      <c r="R2098" s="2">
        <v>44.0</v>
      </c>
      <c r="U2098" s="2" t="b">
        <v>0</v>
      </c>
      <c r="V2098" s="5">
        <v>0.0033</v>
      </c>
      <c r="W2098" s="5">
        <v>0.0216</v>
      </c>
      <c r="X2098" s="5">
        <v>7.2E-5</v>
      </c>
      <c r="Y2098" s="2">
        <v>45.71891892</v>
      </c>
      <c r="Z2098" s="2">
        <v>370.0</v>
      </c>
      <c r="AA2098" s="2" t="s">
        <v>33</v>
      </c>
    </row>
    <row r="2099">
      <c r="A2099" s="2">
        <v>4001.0</v>
      </c>
      <c r="B2099" s="2" t="s">
        <v>6154</v>
      </c>
      <c r="C2099" s="2" t="s">
        <v>7</v>
      </c>
      <c r="D2099" s="2" t="s">
        <v>6155</v>
      </c>
      <c r="F2099" s="6">
        <v>45999.49513888889</v>
      </c>
      <c r="G2099" s="2">
        <v>68140.0</v>
      </c>
      <c r="H2099" s="2">
        <v>68140.0</v>
      </c>
      <c r="I2099" s="2">
        <v>55888.0</v>
      </c>
      <c r="J2099" s="2">
        <v>207.0</v>
      </c>
      <c r="K2099" s="2">
        <v>196.0</v>
      </c>
      <c r="L2099" s="2">
        <v>3.0</v>
      </c>
      <c r="M2099" s="4">
        <v>5940.0</v>
      </c>
      <c r="N2099" s="2" t="s">
        <v>30</v>
      </c>
      <c r="O2099" s="2">
        <v>70.0</v>
      </c>
      <c r="P2099" s="2" t="s">
        <v>31</v>
      </c>
      <c r="Q2099" s="2" t="s">
        <v>32</v>
      </c>
      <c r="R2099" s="2">
        <v>34.0</v>
      </c>
      <c r="U2099" s="2" t="b">
        <v>0</v>
      </c>
      <c r="V2099" s="5">
        <v>0.0035</v>
      </c>
      <c r="W2099" s="5">
        <v>0.0153</v>
      </c>
      <c r="X2099" s="5">
        <v>5.4E-5</v>
      </c>
      <c r="Y2099" s="2">
        <v>30.30612245</v>
      </c>
      <c r="Z2099" s="2">
        <v>3629.0</v>
      </c>
      <c r="AA2099" s="2" t="s">
        <v>33</v>
      </c>
    </row>
    <row r="2100">
      <c r="A2100" s="2">
        <v>4002.0</v>
      </c>
      <c r="B2100" s="2" t="s">
        <v>6156</v>
      </c>
      <c r="C2100" s="2" t="s">
        <v>7</v>
      </c>
      <c r="D2100" s="2" t="s">
        <v>6157</v>
      </c>
      <c r="F2100" s="6">
        <v>45999.51388888889</v>
      </c>
      <c r="G2100" s="2">
        <v>50958.0</v>
      </c>
      <c r="H2100" s="2">
        <v>50958.0</v>
      </c>
      <c r="I2100" s="2">
        <v>40365.0</v>
      </c>
      <c r="J2100" s="2">
        <v>161.0</v>
      </c>
      <c r="K2100" s="2">
        <v>152.0</v>
      </c>
      <c r="L2100" s="2">
        <v>2.0</v>
      </c>
      <c r="M2100" s="4">
        <v>4100.0</v>
      </c>
      <c r="N2100" s="2" t="s">
        <v>36</v>
      </c>
      <c r="O2100" s="2">
        <v>71.0</v>
      </c>
      <c r="P2100" s="2" t="s">
        <v>189</v>
      </c>
      <c r="Q2100" s="2" t="s">
        <v>32</v>
      </c>
      <c r="R2100" s="2">
        <v>36.0</v>
      </c>
      <c r="U2100" s="2" t="b">
        <v>0</v>
      </c>
      <c r="V2100" s="5">
        <v>0.0038</v>
      </c>
      <c r="W2100" s="5">
        <v>0.0132</v>
      </c>
      <c r="X2100" s="5">
        <v>5.0E-5</v>
      </c>
      <c r="Y2100" s="2">
        <v>26.97368421</v>
      </c>
      <c r="AA2100" s="2" t="s">
        <v>33</v>
      </c>
    </row>
    <row r="2101">
      <c r="A2101" s="2">
        <v>4003.0</v>
      </c>
      <c r="B2101" s="2" t="s">
        <v>6158</v>
      </c>
      <c r="C2101" s="2" t="s">
        <v>7</v>
      </c>
      <c r="D2101" s="2" t="s">
        <v>6159</v>
      </c>
      <c r="F2101" s="6">
        <v>45999.708333333336</v>
      </c>
      <c r="G2101" s="2">
        <v>68293.0</v>
      </c>
      <c r="H2101" s="2">
        <v>68293.0</v>
      </c>
      <c r="I2101" s="2">
        <v>56263.0</v>
      </c>
      <c r="J2101" s="2">
        <v>182.0</v>
      </c>
      <c r="K2101" s="2">
        <v>176.0</v>
      </c>
      <c r="L2101" s="2">
        <v>0.0</v>
      </c>
      <c r="M2101" s="2">
        <v>0.0</v>
      </c>
      <c r="N2101" s="2" t="s">
        <v>30</v>
      </c>
      <c r="O2101" s="2">
        <v>70.0</v>
      </c>
      <c r="P2101" s="2" t="s">
        <v>189</v>
      </c>
      <c r="Q2101" s="2" t="s">
        <v>32</v>
      </c>
      <c r="R2101" s="2">
        <v>33.0</v>
      </c>
      <c r="U2101" s="2" t="b">
        <v>0</v>
      </c>
      <c r="V2101" s="5">
        <v>0.0031</v>
      </c>
      <c r="W2101" s="5">
        <v>0.0</v>
      </c>
      <c r="X2101" s="5">
        <v>0.0</v>
      </c>
      <c r="Y2101" s="2">
        <v>0.0</v>
      </c>
      <c r="Z2101" s="2">
        <v>1856.0</v>
      </c>
      <c r="AA2101" s="2" t="s">
        <v>33</v>
      </c>
    </row>
    <row r="2102">
      <c r="A2102" s="2">
        <v>4004.0</v>
      </c>
      <c r="B2102" s="2" t="s">
        <v>6160</v>
      </c>
      <c r="C2102" s="2" t="s">
        <v>7</v>
      </c>
      <c r="D2102" s="2" t="s">
        <v>6161</v>
      </c>
      <c r="F2102" s="6">
        <v>45999.7125</v>
      </c>
      <c r="G2102" s="2">
        <v>50950.0</v>
      </c>
      <c r="H2102" s="2">
        <v>50950.0</v>
      </c>
      <c r="I2102" s="2">
        <v>41295.0</v>
      </c>
      <c r="J2102" s="2">
        <v>137.0</v>
      </c>
      <c r="K2102" s="2">
        <v>130.0</v>
      </c>
      <c r="L2102" s="2">
        <v>2.0</v>
      </c>
      <c r="M2102" s="4">
        <v>7670.0</v>
      </c>
      <c r="N2102" s="2" t="s">
        <v>36</v>
      </c>
      <c r="O2102" s="2">
        <v>71.0</v>
      </c>
      <c r="P2102" s="2" t="s">
        <v>189</v>
      </c>
      <c r="Q2102" s="2" t="s">
        <v>32</v>
      </c>
      <c r="R2102" s="2">
        <v>37.0</v>
      </c>
      <c r="U2102" s="2" t="b">
        <v>0</v>
      </c>
      <c r="V2102" s="5">
        <v>0.0031</v>
      </c>
      <c r="W2102" s="5">
        <v>0.0154</v>
      </c>
      <c r="X2102" s="5">
        <v>4.8E-5</v>
      </c>
      <c r="Y2102" s="2">
        <v>59.0</v>
      </c>
      <c r="AA2102" s="2" t="s">
        <v>33</v>
      </c>
    </row>
    <row r="2103">
      <c r="A2103" s="2">
        <v>4006.0</v>
      </c>
      <c r="B2103" s="2" t="s">
        <v>6162</v>
      </c>
      <c r="C2103" s="2" t="s">
        <v>7</v>
      </c>
      <c r="D2103" s="2" t="s">
        <v>6163</v>
      </c>
      <c r="F2103" s="6">
        <v>45999.791666666664</v>
      </c>
      <c r="G2103" s="2">
        <v>50855.0</v>
      </c>
      <c r="H2103" s="2">
        <v>50855.0</v>
      </c>
      <c r="I2103" s="2">
        <v>41313.0</v>
      </c>
      <c r="J2103" s="2">
        <v>207.0</v>
      </c>
      <c r="K2103" s="2">
        <v>197.0</v>
      </c>
      <c r="L2103" s="2">
        <v>2.0</v>
      </c>
      <c r="M2103" s="4">
        <v>2540.0</v>
      </c>
      <c r="N2103" s="2" t="s">
        <v>36</v>
      </c>
      <c r="O2103" s="2">
        <v>71.0</v>
      </c>
      <c r="P2103" s="2" t="s">
        <v>189</v>
      </c>
      <c r="Q2103" s="2" t="s">
        <v>32</v>
      </c>
      <c r="R2103" s="2">
        <v>31.0</v>
      </c>
      <c r="U2103" s="2" t="b">
        <v>1</v>
      </c>
      <c r="V2103" s="5">
        <v>0.0048</v>
      </c>
      <c r="W2103" s="5">
        <v>0.0102</v>
      </c>
      <c r="X2103" s="5">
        <v>4.8E-5</v>
      </c>
      <c r="Y2103" s="2">
        <v>12.89340102</v>
      </c>
      <c r="AA2103" s="2" t="s">
        <v>33</v>
      </c>
    </row>
    <row r="2104">
      <c r="A2104" s="2">
        <v>4005.0</v>
      </c>
      <c r="B2104" s="2" t="s">
        <v>6164</v>
      </c>
      <c r="C2104" s="2" t="s">
        <v>7</v>
      </c>
      <c r="D2104" s="2" t="s">
        <v>6165</v>
      </c>
      <c r="F2104" s="6">
        <v>45999.791666666664</v>
      </c>
      <c r="G2104" s="2">
        <v>68127.0</v>
      </c>
      <c r="H2104" s="2">
        <v>68127.0</v>
      </c>
      <c r="I2104" s="2">
        <v>56282.0</v>
      </c>
      <c r="J2104" s="2">
        <v>262.0</v>
      </c>
      <c r="K2104" s="2">
        <v>248.0</v>
      </c>
      <c r="L2104" s="2">
        <v>6.0</v>
      </c>
      <c r="M2104" s="4">
        <v>20479.0</v>
      </c>
      <c r="N2104" s="2" t="s">
        <v>30</v>
      </c>
      <c r="O2104" s="2">
        <v>70.0</v>
      </c>
      <c r="P2104" s="2" t="s">
        <v>189</v>
      </c>
      <c r="Q2104" s="2" t="s">
        <v>32</v>
      </c>
      <c r="R2104" s="2">
        <v>27.0</v>
      </c>
      <c r="U2104" s="2" t="b">
        <v>0</v>
      </c>
      <c r="V2104" s="5">
        <v>0.0044</v>
      </c>
      <c r="W2104" s="5">
        <v>0.0242</v>
      </c>
      <c r="X2104" s="5">
        <v>1.07E-4</v>
      </c>
      <c r="Y2104" s="2">
        <v>82.5766129</v>
      </c>
      <c r="AA2104" s="2" t="s">
        <v>33</v>
      </c>
    </row>
    <row r="2105">
      <c r="A2105" s="2">
        <v>4007.0</v>
      </c>
      <c r="B2105" s="2" t="s">
        <v>6166</v>
      </c>
      <c r="C2105" s="2" t="s">
        <v>7</v>
      </c>
      <c r="D2105" s="2" t="s">
        <v>6167</v>
      </c>
      <c r="F2105" s="6">
        <v>46000.48402777778</v>
      </c>
      <c r="G2105" s="2">
        <v>68358.0</v>
      </c>
      <c r="H2105" s="2">
        <v>68358.0</v>
      </c>
      <c r="I2105" s="2">
        <v>56225.0</v>
      </c>
      <c r="J2105" s="2">
        <v>205.0</v>
      </c>
      <c r="K2105" s="2">
        <v>201.0</v>
      </c>
      <c r="L2105" s="2">
        <v>2.0</v>
      </c>
      <c r="M2105" s="4">
        <v>5170.0</v>
      </c>
      <c r="N2105" s="2" t="s">
        <v>30</v>
      </c>
      <c r="O2105" s="2">
        <v>70.0</v>
      </c>
      <c r="P2105" s="2" t="s">
        <v>31</v>
      </c>
      <c r="Q2105" s="2" t="s">
        <v>32</v>
      </c>
      <c r="R2105" s="2">
        <v>47.0</v>
      </c>
      <c r="U2105" s="2" t="b">
        <v>0</v>
      </c>
      <c r="V2105" s="5">
        <v>0.0036</v>
      </c>
      <c r="W2105" s="5">
        <v>0.01</v>
      </c>
      <c r="X2105" s="5">
        <v>3.6E-5</v>
      </c>
      <c r="Y2105" s="2">
        <v>25.72139303</v>
      </c>
      <c r="Z2105" s="2">
        <v>902.0</v>
      </c>
      <c r="AA2105" s="2" t="s">
        <v>33</v>
      </c>
    </row>
    <row r="2106">
      <c r="A2106" s="2">
        <v>4008.0</v>
      </c>
      <c r="B2106" s="2" t="s">
        <v>6168</v>
      </c>
      <c r="C2106" s="2" t="s">
        <v>7</v>
      </c>
      <c r="D2106" s="2" t="s">
        <v>6169</v>
      </c>
      <c r="F2106" s="6">
        <v>46000.48541666667</v>
      </c>
      <c r="G2106" s="2">
        <v>50879.0</v>
      </c>
      <c r="H2106" s="2">
        <v>50879.0</v>
      </c>
      <c r="I2106" s="2">
        <v>40964.0</v>
      </c>
      <c r="J2106" s="2">
        <v>169.0</v>
      </c>
      <c r="K2106" s="2">
        <v>162.0</v>
      </c>
      <c r="L2106" s="2">
        <v>3.0</v>
      </c>
      <c r="M2106" s="4">
        <v>30987.0</v>
      </c>
      <c r="N2106" s="2" t="s">
        <v>36</v>
      </c>
      <c r="O2106" s="2">
        <v>71.0</v>
      </c>
      <c r="P2106" s="2" t="s">
        <v>189</v>
      </c>
      <c r="Q2106" s="2" t="s">
        <v>32</v>
      </c>
      <c r="R2106" s="2">
        <v>46.0</v>
      </c>
      <c r="U2106" s="2" t="b">
        <v>1</v>
      </c>
      <c r="V2106" s="5">
        <v>0.004</v>
      </c>
      <c r="W2106" s="5">
        <v>0.0185</v>
      </c>
      <c r="X2106" s="5">
        <v>7.3E-5</v>
      </c>
      <c r="Y2106" s="2">
        <v>191.2777778</v>
      </c>
      <c r="AA2106" s="2" t="s">
        <v>33</v>
      </c>
    </row>
    <row r="2107">
      <c r="A2107" s="2">
        <v>4010.0</v>
      </c>
      <c r="B2107" s="2" t="s">
        <v>6170</v>
      </c>
      <c r="C2107" s="2" t="s">
        <v>7</v>
      </c>
      <c r="D2107" s="2" t="s">
        <v>6171</v>
      </c>
      <c r="F2107" s="6">
        <v>46000.625</v>
      </c>
      <c r="G2107" s="2">
        <v>50913.0</v>
      </c>
      <c r="H2107" s="2">
        <v>50913.0</v>
      </c>
      <c r="I2107" s="2">
        <v>41310.0</v>
      </c>
      <c r="J2107" s="2">
        <v>174.0</v>
      </c>
      <c r="K2107" s="2">
        <v>168.0</v>
      </c>
      <c r="L2107" s="2">
        <v>4.0</v>
      </c>
      <c r="M2107" s="4">
        <v>28397.0</v>
      </c>
      <c r="N2107" s="2" t="s">
        <v>36</v>
      </c>
      <c r="O2107" s="2">
        <v>71.0</v>
      </c>
      <c r="P2107" s="2" t="s">
        <v>189</v>
      </c>
      <c r="Q2107" s="2" t="s">
        <v>32</v>
      </c>
      <c r="R2107" s="2">
        <v>37.0</v>
      </c>
      <c r="U2107" s="2" t="b">
        <v>0</v>
      </c>
      <c r="V2107" s="5">
        <v>0.0041</v>
      </c>
      <c r="W2107" s="5">
        <v>0.0238</v>
      </c>
      <c r="X2107" s="5">
        <v>9.7E-5</v>
      </c>
      <c r="Y2107" s="2">
        <v>169.0297619</v>
      </c>
      <c r="AA2107" s="2" t="s">
        <v>33</v>
      </c>
    </row>
    <row r="2108">
      <c r="A2108" s="2">
        <v>4009.0</v>
      </c>
      <c r="B2108" s="2" t="s">
        <v>6172</v>
      </c>
      <c r="C2108" s="2" t="s">
        <v>7</v>
      </c>
      <c r="D2108" s="2" t="s">
        <v>6173</v>
      </c>
      <c r="F2108" s="6">
        <v>46000.625</v>
      </c>
      <c r="G2108" s="2">
        <v>68398.0</v>
      </c>
      <c r="H2108" s="2">
        <v>68398.0</v>
      </c>
      <c r="I2108" s="2">
        <v>56301.0</v>
      </c>
      <c r="J2108" s="2">
        <v>199.0</v>
      </c>
      <c r="K2108" s="2">
        <v>191.0</v>
      </c>
      <c r="L2108" s="2">
        <v>3.0</v>
      </c>
      <c r="M2108" s="4">
        <v>11302.0</v>
      </c>
      <c r="N2108" s="2" t="s">
        <v>30</v>
      </c>
      <c r="O2108" s="2">
        <v>70.0</v>
      </c>
      <c r="P2108" s="2" t="s">
        <v>189</v>
      </c>
      <c r="Q2108" s="2" t="s">
        <v>32</v>
      </c>
      <c r="R2108" s="2">
        <v>36.0</v>
      </c>
      <c r="U2108" s="2" t="b">
        <v>0</v>
      </c>
      <c r="V2108" s="5">
        <v>0.0034</v>
      </c>
      <c r="W2108" s="5">
        <v>0.0157</v>
      </c>
      <c r="X2108" s="5">
        <v>5.3E-5</v>
      </c>
      <c r="Y2108" s="2">
        <v>59.17277487</v>
      </c>
      <c r="Z2108" s="2">
        <v>4975.0</v>
      </c>
      <c r="AA2108" s="2" t="s">
        <v>33</v>
      </c>
    </row>
    <row r="2109">
      <c r="A2109" s="2">
        <v>4012.0</v>
      </c>
      <c r="B2109" s="2" t="s">
        <v>6174</v>
      </c>
      <c r="C2109" s="2" t="s">
        <v>7</v>
      </c>
      <c r="D2109" s="2" t="s">
        <v>6175</v>
      </c>
      <c r="F2109" s="6">
        <v>46000.708333333336</v>
      </c>
      <c r="G2109" s="2">
        <v>50840.0</v>
      </c>
      <c r="H2109" s="2">
        <v>50840.0</v>
      </c>
      <c r="I2109" s="2">
        <v>41134.0</v>
      </c>
      <c r="J2109" s="2">
        <v>153.0</v>
      </c>
      <c r="K2109" s="2">
        <v>148.0</v>
      </c>
      <c r="L2109" s="2">
        <v>1.0</v>
      </c>
      <c r="M2109" s="4">
        <v>1450.0</v>
      </c>
      <c r="N2109" s="2" t="s">
        <v>36</v>
      </c>
      <c r="O2109" s="2">
        <v>71.0</v>
      </c>
      <c r="P2109" s="2" t="s">
        <v>189</v>
      </c>
      <c r="Q2109" s="2" t="s">
        <v>32</v>
      </c>
      <c r="R2109" s="2">
        <v>25.0</v>
      </c>
      <c r="U2109" s="2" t="b">
        <v>0</v>
      </c>
      <c r="V2109" s="5">
        <v>0.0036</v>
      </c>
      <c r="W2109" s="5">
        <v>0.0068</v>
      </c>
      <c r="X2109" s="5">
        <v>2.4E-5</v>
      </c>
      <c r="Y2109" s="2">
        <v>9.797297297</v>
      </c>
      <c r="AA2109" s="2" t="s">
        <v>33</v>
      </c>
    </row>
    <row r="2110">
      <c r="A2110" s="2">
        <v>4011.0</v>
      </c>
      <c r="B2110" s="2" t="s">
        <v>6176</v>
      </c>
      <c r="C2110" s="2" t="s">
        <v>7</v>
      </c>
      <c r="D2110" s="2" t="s">
        <v>6177</v>
      </c>
      <c r="F2110" s="6">
        <v>46000.708333333336</v>
      </c>
      <c r="G2110" s="2">
        <v>68362.0</v>
      </c>
      <c r="H2110" s="2">
        <v>68362.0</v>
      </c>
      <c r="I2110" s="2">
        <v>56158.0</v>
      </c>
      <c r="J2110" s="2">
        <v>159.0</v>
      </c>
      <c r="K2110" s="2">
        <v>153.0</v>
      </c>
      <c r="L2110" s="2">
        <v>2.0</v>
      </c>
      <c r="M2110" s="4">
        <v>2070.0</v>
      </c>
      <c r="N2110" s="2" t="s">
        <v>30</v>
      </c>
      <c r="O2110" s="2">
        <v>70.0</v>
      </c>
      <c r="P2110" s="2" t="s">
        <v>189</v>
      </c>
      <c r="Q2110" s="2" t="s">
        <v>32</v>
      </c>
      <c r="R2110" s="2">
        <v>21.0</v>
      </c>
      <c r="U2110" s="2" t="b">
        <v>0</v>
      </c>
      <c r="V2110" s="5">
        <v>0.0027</v>
      </c>
      <c r="W2110" s="5">
        <v>0.0131</v>
      </c>
      <c r="X2110" s="5">
        <v>3.6E-5</v>
      </c>
      <c r="Y2110" s="2">
        <v>13.52941176</v>
      </c>
      <c r="Z2110" s="2">
        <v>6609.0</v>
      </c>
      <c r="AA2110" s="2" t="s">
        <v>33</v>
      </c>
    </row>
    <row r="2111">
      <c r="A2111" s="2">
        <v>4028.0</v>
      </c>
      <c r="B2111" s="2" t="s">
        <v>6178</v>
      </c>
      <c r="C2111" s="2" t="s">
        <v>7</v>
      </c>
      <c r="D2111" s="2" t="s">
        <v>6179</v>
      </c>
      <c r="F2111" s="6">
        <v>46000.805555555555</v>
      </c>
      <c r="G2111" s="2">
        <v>7337.0</v>
      </c>
      <c r="H2111" s="2">
        <v>7337.0</v>
      </c>
      <c r="I2111" s="2">
        <v>5725.0</v>
      </c>
      <c r="J2111" s="2">
        <v>32.0</v>
      </c>
      <c r="K2111" s="2">
        <v>32.0</v>
      </c>
      <c r="L2111" s="2">
        <v>0.0</v>
      </c>
      <c r="M2111" s="2">
        <v>0.0</v>
      </c>
      <c r="N2111" s="2" t="s">
        <v>423</v>
      </c>
      <c r="O2111" s="2">
        <v>119.0</v>
      </c>
      <c r="P2111" s="2" t="s">
        <v>31</v>
      </c>
      <c r="Q2111" s="2" t="s">
        <v>1367</v>
      </c>
      <c r="R2111" s="2">
        <v>46.0</v>
      </c>
      <c r="U2111" s="2" t="b">
        <v>0</v>
      </c>
      <c r="V2111" s="5">
        <v>0.0056</v>
      </c>
      <c r="W2111" s="5">
        <v>0.0</v>
      </c>
      <c r="X2111" s="5">
        <v>0.0</v>
      </c>
      <c r="Y2111" s="2">
        <v>0.0</v>
      </c>
      <c r="AA2111" s="2" t="s">
        <v>423</v>
      </c>
    </row>
    <row r="2112">
      <c r="A2112" s="2">
        <v>4029.0</v>
      </c>
      <c r="B2112" s="2" t="s">
        <v>6180</v>
      </c>
      <c r="C2112" s="2" t="s">
        <v>7</v>
      </c>
      <c r="D2112" s="2" t="s">
        <v>6181</v>
      </c>
      <c r="F2112" s="6">
        <v>46000.875</v>
      </c>
      <c r="G2112" s="2">
        <v>7248.0</v>
      </c>
      <c r="H2112" s="2">
        <v>7248.0</v>
      </c>
      <c r="I2112" s="2">
        <v>5704.0</v>
      </c>
      <c r="J2112" s="2">
        <v>27.0</v>
      </c>
      <c r="K2112" s="2">
        <v>26.0</v>
      </c>
      <c r="L2112" s="2">
        <v>0.0</v>
      </c>
      <c r="M2112" s="2">
        <v>0.0</v>
      </c>
      <c r="N2112" s="2" t="s">
        <v>423</v>
      </c>
      <c r="O2112" s="2">
        <v>119.0</v>
      </c>
      <c r="P2112" s="2" t="s">
        <v>31</v>
      </c>
      <c r="Q2112" s="2" t="s">
        <v>1367</v>
      </c>
      <c r="R2112" s="2">
        <v>51.0</v>
      </c>
      <c r="U2112" s="2" t="b">
        <v>0</v>
      </c>
      <c r="V2112" s="5">
        <v>0.0046</v>
      </c>
      <c r="W2112" s="5">
        <v>0.0</v>
      </c>
      <c r="X2112" s="5">
        <v>0.0</v>
      </c>
      <c r="Y2112" s="2">
        <v>0.0</v>
      </c>
      <c r="AA2112" s="2" t="s">
        <v>423</v>
      </c>
    </row>
    <row r="2113">
      <c r="A2113" s="2">
        <v>4022.0</v>
      </c>
      <c r="B2113" s="2" t="s">
        <v>6182</v>
      </c>
      <c r="C2113" s="2" t="s">
        <v>7</v>
      </c>
      <c r="D2113" s="2" t="s">
        <v>3908</v>
      </c>
      <c r="F2113" s="3">
        <v>46001.458333333336</v>
      </c>
      <c r="G2113" s="2">
        <v>68494.0</v>
      </c>
      <c r="H2113" s="2">
        <v>68494.0</v>
      </c>
      <c r="I2113" s="2">
        <v>56219.0</v>
      </c>
      <c r="J2113" s="2">
        <v>213.0</v>
      </c>
      <c r="K2113" s="2">
        <v>202.0</v>
      </c>
      <c r="L2113" s="2">
        <v>3.0</v>
      </c>
      <c r="M2113" s="4">
        <v>4864.0</v>
      </c>
      <c r="N2113" s="2" t="s">
        <v>30</v>
      </c>
      <c r="O2113" s="2">
        <v>70.0</v>
      </c>
      <c r="P2113" s="2" t="s">
        <v>31</v>
      </c>
      <c r="Q2113" s="2" t="s">
        <v>32</v>
      </c>
      <c r="R2113" s="2">
        <v>31.0</v>
      </c>
      <c r="U2113" s="2" t="b">
        <v>0</v>
      </c>
      <c r="V2113" s="5">
        <v>0.0036</v>
      </c>
      <c r="W2113" s="5">
        <v>0.0149</v>
      </c>
      <c r="X2113" s="5">
        <v>5.3E-5</v>
      </c>
      <c r="Y2113" s="2">
        <v>24.07920792</v>
      </c>
      <c r="AA2113" s="2" t="s">
        <v>33</v>
      </c>
    </row>
    <row r="2114">
      <c r="A2114" s="2">
        <v>4023.0</v>
      </c>
      <c r="B2114" s="2" t="s">
        <v>6183</v>
      </c>
      <c r="C2114" s="2" t="s">
        <v>7</v>
      </c>
      <c r="D2114" s="2" t="s">
        <v>3333</v>
      </c>
      <c r="F2114" s="3">
        <v>46001.458333333336</v>
      </c>
      <c r="G2114" s="2">
        <v>50847.0</v>
      </c>
      <c r="H2114" s="2">
        <v>50847.0</v>
      </c>
      <c r="I2114" s="2">
        <v>41090.0</v>
      </c>
      <c r="J2114" s="2">
        <v>181.0</v>
      </c>
      <c r="K2114" s="2">
        <v>177.0</v>
      </c>
      <c r="L2114" s="2">
        <v>1.0</v>
      </c>
      <c r="M2114" s="4">
        <v>2200.0</v>
      </c>
      <c r="N2114" s="2" t="s">
        <v>36</v>
      </c>
      <c r="O2114" s="2">
        <v>71.0</v>
      </c>
      <c r="P2114" s="2" t="s">
        <v>31</v>
      </c>
      <c r="Q2114" s="2" t="s">
        <v>32</v>
      </c>
      <c r="R2114" s="2">
        <v>43.0</v>
      </c>
      <c r="U2114" s="2" t="b">
        <v>0</v>
      </c>
      <c r="V2114" s="5">
        <v>0.0043</v>
      </c>
      <c r="W2114" s="5">
        <v>0.0056</v>
      </c>
      <c r="X2114" s="5">
        <v>2.4E-5</v>
      </c>
      <c r="Y2114" s="2">
        <v>12.42937853</v>
      </c>
      <c r="AA2114" s="2" t="s">
        <v>33</v>
      </c>
    </row>
    <row r="2115">
      <c r="A2115" s="2">
        <v>4030.0</v>
      </c>
      <c r="B2115" s="2" t="s">
        <v>6184</v>
      </c>
      <c r="C2115" s="2" t="s">
        <v>7</v>
      </c>
      <c r="D2115" s="2" t="s">
        <v>6185</v>
      </c>
      <c r="F2115" s="3">
        <v>46001.583333333336</v>
      </c>
      <c r="G2115" s="2">
        <v>7258.0</v>
      </c>
      <c r="H2115" s="2">
        <v>7258.0</v>
      </c>
      <c r="I2115" s="2">
        <v>5700.0</v>
      </c>
      <c r="J2115" s="2">
        <v>44.0</v>
      </c>
      <c r="K2115" s="2">
        <v>41.0</v>
      </c>
      <c r="L2115" s="2">
        <v>0.0</v>
      </c>
      <c r="M2115" s="2">
        <v>0.0</v>
      </c>
      <c r="N2115" s="2" t="s">
        <v>423</v>
      </c>
      <c r="O2115" s="2">
        <v>119.0</v>
      </c>
      <c r="P2115" s="2" t="s">
        <v>31</v>
      </c>
      <c r="Q2115" s="2" t="s">
        <v>1367</v>
      </c>
      <c r="R2115" s="2">
        <v>45.0</v>
      </c>
      <c r="U2115" s="2" t="b">
        <v>0</v>
      </c>
      <c r="V2115" s="5">
        <v>0.0072</v>
      </c>
      <c r="W2115" s="5">
        <v>0.0</v>
      </c>
      <c r="X2115" s="5">
        <v>0.0</v>
      </c>
      <c r="Y2115" s="2">
        <v>0.0</v>
      </c>
      <c r="AA2115" s="2" t="s">
        <v>423</v>
      </c>
    </row>
    <row r="2116">
      <c r="A2116" s="2">
        <v>4024.0</v>
      </c>
      <c r="B2116" s="2" t="s">
        <v>6186</v>
      </c>
      <c r="C2116" s="2" t="s">
        <v>7</v>
      </c>
      <c r="D2116" s="2" t="s">
        <v>6187</v>
      </c>
      <c r="F2116" s="3">
        <v>46001.625</v>
      </c>
      <c r="G2116" s="2">
        <v>68564.0</v>
      </c>
      <c r="H2116" s="2">
        <v>68564.0</v>
      </c>
      <c r="I2116" s="2">
        <v>56478.0</v>
      </c>
      <c r="J2116" s="2">
        <v>176.0</v>
      </c>
      <c r="K2116" s="2">
        <v>172.0</v>
      </c>
      <c r="L2116" s="2">
        <v>5.0</v>
      </c>
      <c r="M2116" s="4">
        <v>15006.0</v>
      </c>
      <c r="N2116" s="2" t="s">
        <v>30</v>
      </c>
      <c r="O2116" s="2">
        <v>70.0</v>
      </c>
      <c r="P2116" s="2" t="s">
        <v>31</v>
      </c>
      <c r="Q2116" s="2" t="s">
        <v>32</v>
      </c>
      <c r="R2116" s="2">
        <v>52.0</v>
      </c>
      <c r="U2116" s="2" t="b">
        <v>0</v>
      </c>
      <c r="V2116" s="5">
        <v>0.003</v>
      </c>
      <c r="W2116" s="5">
        <v>0.0291</v>
      </c>
      <c r="X2116" s="5">
        <v>8.9E-5</v>
      </c>
      <c r="Y2116" s="2">
        <v>87.24418605</v>
      </c>
      <c r="Z2116" s="2">
        <v>5183.0</v>
      </c>
      <c r="AA2116" s="2" t="s">
        <v>33</v>
      </c>
    </row>
    <row r="2117">
      <c r="A2117" s="2">
        <v>4025.0</v>
      </c>
      <c r="B2117" s="2" t="s">
        <v>6188</v>
      </c>
      <c r="C2117" s="2" t="s">
        <v>7</v>
      </c>
      <c r="D2117" s="2" t="s">
        <v>6189</v>
      </c>
      <c r="F2117" s="3">
        <v>46001.625</v>
      </c>
      <c r="G2117" s="2">
        <v>50862.0</v>
      </c>
      <c r="H2117" s="2">
        <v>50862.0</v>
      </c>
      <c r="I2117" s="2">
        <v>41269.0</v>
      </c>
      <c r="J2117" s="2">
        <v>158.0</v>
      </c>
      <c r="K2117" s="2">
        <v>151.0</v>
      </c>
      <c r="L2117" s="2">
        <v>3.0</v>
      </c>
      <c r="M2117" s="4">
        <v>9096.0</v>
      </c>
      <c r="N2117" s="2" t="s">
        <v>36</v>
      </c>
      <c r="O2117" s="2">
        <v>71.0</v>
      </c>
      <c r="P2117" s="2" t="s">
        <v>189</v>
      </c>
      <c r="Q2117" s="2" t="s">
        <v>32</v>
      </c>
      <c r="R2117" s="2">
        <v>49.0</v>
      </c>
      <c r="U2117" s="2" t="b">
        <v>0</v>
      </c>
      <c r="V2117" s="5">
        <v>0.0037</v>
      </c>
      <c r="W2117" s="5">
        <v>0.0199</v>
      </c>
      <c r="X2117" s="5">
        <v>7.3E-5</v>
      </c>
      <c r="Y2117" s="2">
        <v>60.2384106</v>
      </c>
      <c r="AA2117" s="2" t="s">
        <v>33</v>
      </c>
    </row>
    <row r="2118">
      <c r="A2118" s="2">
        <v>4031.0</v>
      </c>
      <c r="B2118" s="2" t="s">
        <v>6190</v>
      </c>
      <c r="C2118" s="2" t="s">
        <v>7</v>
      </c>
      <c r="D2118" s="2" t="s">
        <v>6191</v>
      </c>
      <c r="F2118" s="3">
        <v>46001.666666666664</v>
      </c>
      <c r="G2118" s="2">
        <v>7261.0</v>
      </c>
      <c r="H2118" s="2">
        <v>7261.0</v>
      </c>
      <c r="I2118" s="2">
        <v>5698.0</v>
      </c>
      <c r="J2118" s="2">
        <v>43.0</v>
      </c>
      <c r="K2118" s="2">
        <v>41.0</v>
      </c>
      <c r="L2118" s="2">
        <v>1.0</v>
      </c>
      <c r="M2118" s="2">
        <v>281.0</v>
      </c>
      <c r="N2118" s="2" t="s">
        <v>423</v>
      </c>
      <c r="O2118" s="2">
        <v>119.0</v>
      </c>
      <c r="P2118" s="2" t="s">
        <v>31</v>
      </c>
      <c r="Q2118" s="2" t="s">
        <v>1367</v>
      </c>
      <c r="R2118" s="2">
        <v>39.0</v>
      </c>
      <c r="U2118" s="2" t="b">
        <v>0</v>
      </c>
      <c r="V2118" s="5">
        <v>0.0072</v>
      </c>
      <c r="W2118" s="5">
        <v>0.0244</v>
      </c>
      <c r="X2118" s="5">
        <v>1.76E-4</v>
      </c>
      <c r="Y2118" s="2">
        <v>6.853658537</v>
      </c>
      <c r="AA2118" s="2" t="s">
        <v>423</v>
      </c>
    </row>
    <row r="2119">
      <c r="A2119" s="2">
        <v>4027.0</v>
      </c>
      <c r="B2119" s="2" t="s">
        <v>6192</v>
      </c>
      <c r="C2119" s="2" t="s">
        <v>7</v>
      </c>
      <c r="D2119" s="2" t="s">
        <v>6193</v>
      </c>
      <c r="F2119" s="3">
        <v>46001.708333333336</v>
      </c>
      <c r="G2119" s="2">
        <v>50856.0</v>
      </c>
      <c r="H2119" s="2">
        <v>50856.0</v>
      </c>
      <c r="I2119" s="2">
        <v>41137.0</v>
      </c>
      <c r="J2119" s="2">
        <v>232.0</v>
      </c>
      <c r="K2119" s="2">
        <v>219.0</v>
      </c>
      <c r="L2119" s="2">
        <v>6.0</v>
      </c>
      <c r="M2119" s="4">
        <v>16255.0</v>
      </c>
      <c r="N2119" s="2" t="s">
        <v>36</v>
      </c>
      <c r="O2119" s="2">
        <v>71.0</v>
      </c>
      <c r="P2119" s="2" t="s">
        <v>189</v>
      </c>
      <c r="Q2119" s="2" t="s">
        <v>32</v>
      </c>
      <c r="R2119" s="2">
        <v>27.0</v>
      </c>
      <c r="U2119" s="2" t="b">
        <v>1</v>
      </c>
      <c r="V2119" s="5">
        <v>0.0053</v>
      </c>
      <c r="W2119" s="5">
        <v>0.0274</v>
      </c>
      <c r="X2119" s="5">
        <v>1.46E-4</v>
      </c>
      <c r="Y2119" s="2">
        <v>74.22374429</v>
      </c>
      <c r="AA2119" s="2" t="s">
        <v>33</v>
      </c>
    </row>
    <row r="2120">
      <c r="A2120" s="2">
        <v>4026.0</v>
      </c>
      <c r="B2120" s="2" t="s">
        <v>6194</v>
      </c>
      <c r="C2120" s="2" t="s">
        <v>7</v>
      </c>
      <c r="D2120" s="2" t="s">
        <v>6195</v>
      </c>
      <c r="F2120" s="3">
        <v>46001.708333333336</v>
      </c>
      <c r="G2120" s="2">
        <v>68690.0</v>
      </c>
      <c r="H2120" s="2">
        <v>68690.0</v>
      </c>
      <c r="I2120" s="2">
        <v>56554.0</v>
      </c>
      <c r="J2120" s="2">
        <v>367.0</v>
      </c>
      <c r="K2120" s="2">
        <v>349.0</v>
      </c>
      <c r="L2120" s="2">
        <v>8.0</v>
      </c>
      <c r="M2120" s="4">
        <v>27139.0</v>
      </c>
      <c r="N2120" s="2" t="s">
        <v>30</v>
      </c>
      <c r="O2120" s="2">
        <v>70.0</v>
      </c>
      <c r="P2120" s="2" t="s">
        <v>31</v>
      </c>
      <c r="Q2120" s="2" t="s">
        <v>32</v>
      </c>
      <c r="R2120" s="2">
        <v>26.0</v>
      </c>
      <c r="U2120" s="2" t="b">
        <v>0</v>
      </c>
      <c r="V2120" s="5">
        <v>0.0062</v>
      </c>
      <c r="W2120" s="5">
        <v>0.0229</v>
      </c>
      <c r="X2120" s="5">
        <v>1.41E-4</v>
      </c>
      <c r="Y2120" s="2">
        <v>77.76217765</v>
      </c>
      <c r="Z2120" s="2">
        <v>6214.0</v>
      </c>
      <c r="AA2120" s="2" t="s">
        <v>33</v>
      </c>
    </row>
    <row r="2121">
      <c r="A2121" s="2">
        <v>4032.0</v>
      </c>
      <c r="B2121" s="2" t="s">
        <v>6196</v>
      </c>
      <c r="C2121" s="2" t="s">
        <v>7</v>
      </c>
      <c r="D2121" s="2" t="s">
        <v>6197</v>
      </c>
      <c r="F2121" s="3">
        <v>46001.75</v>
      </c>
      <c r="G2121" s="2">
        <v>7263.0</v>
      </c>
      <c r="H2121" s="2">
        <v>7263.0</v>
      </c>
      <c r="I2121" s="2">
        <v>5680.0</v>
      </c>
      <c r="J2121" s="2">
        <v>27.0</v>
      </c>
      <c r="K2121" s="2">
        <v>27.0</v>
      </c>
      <c r="L2121" s="2">
        <v>0.0</v>
      </c>
      <c r="M2121" s="2">
        <v>0.0</v>
      </c>
      <c r="N2121" s="2" t="s">
        <v>423</v>
      </c>
      <c r="O2121" s="2">
        <v>119.0</v>
      </c>
      <c r="P2121" s="2" t="s">
        <v>189</v>
      </c>
      <c r="Q2121" s="2" t="s">
        <v>1367</v>
      </c>
      <c r="R2121" s="2">
        <v>34.0</v>
      </c>
      <c r="U2121" s="2" t="b">
        <v>0</v>
      </c>
      <c r="V2121" s="5">
        <v>0.0048</v>
      </c>
      <c r="W2121" s="5">
        <v>0.0</v>
      </c>
      <c r="X2121" s="5">
        <v>0.0</v>
      </c>
      <c r="Y2121" s="2">
        <v>0.0</v>
      </c>
      <c r="AA2121" s="2" t="s">
        <v>423</v>
      </c>
    </row>
    <row r="2122">
      <c r="A2122" s="2">
        <v>4033.0</v>
      </c>
      <c r="B2122" s="2" t="s">
        <v>6198</v>
      </c>
      <c r="C2122" s="2" t="s">
        <v>7</v>
      </c>
      <c r="D2122" s="2" t="s">
        <v>6199</v>
      </c>
      <c r="F2122" s="3">
        <v>46002.61597222222</v>
      </c>
      <c r="G2122" s="2">
        <v>69220.0</v>
      </c>
      <c r="H2122" s="2">
        <v>69220.0</v>
      </c>
      <c r="I2122" s="2">
        <v>56935.0</v>
      </c>
      <c r="J2122" s="2">
        <v>301.0</v>
      </c>
      <c r="K2122" s="2">
        <v>287.0</v>
      </c>
      <c r="L2122" s="2">
        <v>2.0</v>
      </c>
      <c r="M2122" s="4">
        <v>8822.0</v>
      </c>
      <c r="N2122" s="2" t="s">
        <v>30</v>
      </c>
      <c r="O2122" s="2">
        <v>70.0</v>
      </c>
      <c r="P2122" s="2" t="s">
        <v>189</v>
      </c>
      <c r="Q2122" s="2" t="s">
        <v>32</v>
      </c>
      <c r="R2122" s="2">
        <v>48.0</v>
      </c>
      <c r="U2122" s="2" t="b">
        <v>0</v>
      </c>
      <c r="V2122" s="5">
        <v>0.005</v>
      </c>
      <c r="W2122" s="5">
        <v>0.007</v>
      </c>
      <c r="X2122" s="5">
        <v>3.5E-5</v>
      </c>
      <c r="Y2122" s="2">
        <v>30.73867596</v>
      </c>
      <c r="Z2122" s="2">
        <v>4403.0</v>
      </c>
      <c r="AA2122" s="2" t="s">
        <v>33</v>
      </c>
    </row>
    <row r="2123">
      <c r="A2123" s="2">
        <v>4034.0</v>
      </c>
      <c r="B2123" s="2" t="s">
        <v>6200</v>
      </c>
      <c r="C2123" s="2" t="s">
        <v>7</v>
      </c>
      <c r="D2123" s="2" t="s">
        <v>6201</v>
      </c>
      <c r="F2123" s="3">
        <v>46002.62152777778</v>
      </c>
      <c r="G2123" s="2">
        <v>51000.0</v>
      </c>
      <c r="H2123" s="2">
        <v>51000.0</v>
      </c>
      <c r="I2123" s="2">
        <v>41264.0</v>
      </c>
      <c r="J2123" s="2">
        <v>228.0</v>
      </c>
      <c r="K2123" s="2">
        <v>217.0</v>
      </c>
      <c r="L2123" s="2">
        <v>7.0</v>
      </c>
      <c r="M2123" s="4">
        <v>38228.0</v>
      </c>
      <c r="N2123" s="2" t="s">
        <v>36</v>
      </c>
      <c r="O2123" s="2">
        <v>71.0</v>
      </c>
      <c r="P2123" s="2" t="s">
        <v>189</v>
      </c>
      <c r="Q2123" s="2" t="s">
        <v>32</v>
      </c>
      <c r="R2123" s="2">
        <v>52.0</v>
      </c>
      <c r="U2123" s="2" t="b">
        <v>1</v>
      </c>
      <c r="V2123" s="5">
        <v>0.0053</v>
      </c>
      <c r="W2123" s="5">
        <v>0.0323</v>
      </c>
      <c r="X2123" s="5">
        <v>1.7E-4</v>
      </c>
      <c r="Y2123" s="2">
        <v>176.1658986</v>
      </c>
      <c r="AA2123" s="2" t="s">
        <v>33</v>
      </c>
    </row>
    <row r="2124">
      <c r="A2124" s="2">
        <v>4035.0</v>
      </c>
      <c r="B2124" s="2" t="s">
        <v>6202</v>
      </c>
      <c r="C2124" s="2" t="s">
        <v>7</v>
      </c>
      <c r="D2124" s="2" t="s">
        <v>6203</v>
      </c>
      <c r="F2124" s="3">
        <v>46002.71875</v>
      </c>
      <c r="G2124" s="2">
        <v>69129.0</v>
      </c>
      <c r="H2124" s="2">
        <v>69129.0</v>
      </c>
      <c r="I2124" s="2">
        <v>56866.0</v>
      </c>
      <c r="J2124" s="2">
        <v>195.0</v>
      </c>
      <c r="K2124" s="2">
        <v>182.0</v>
      </c>
      <c r="L2124" s="2">
        <v>4.0</v>
      </c>
      <c r="M2124" s="4">
        <v>8890.0</v>
      </c>
      <c r="N2124" s="2" t="s">
        <v>30</v>
      </c>
      <c r="O2124" s="2">
        <v>70.0</v>
      </c>
      <c r="P2124" s="2" t="s">
        <v>189</v>
      </c>
      <c r="Q2124" s="2" t="s">
        <v>32</v>
      </c>
      <c r="R2124" s="2">
        <v>39.0</v>
      </c>
      <c r="U2124" s="2" t="b">
        <v>0</v>
      </c>
      <c r="V2124" s="5">
        <v>0.0032</v>
      </c>
      <c r="W2124" s="5">
        <v>0.022</v>
      </c>
      <c r="X2124" s="5">
        <v>7.0E-5</v>
      </c>
      <c r="Y2124" s="2">
        <v>48.84615385</v>
      </c>
      <c r="AA2124" s="2" t="s">
        <v>33</v>
      </c>
    </row>
    <row r="2125">
      <c r="A2125" s="2">
        <v>4036.0</v>
      </c>
      <c r="B2125" s="2" t="s">
        <v>6204</v>
      </c>
      <c r="C2125" s="2" t="s">
        <v>7</v>
      </c>
      <c r="D2125" s="2" t="s">
        <v>6205</v>
      </c>
      <c r="F2125" s="3">
        <v>46002.72083333333</v>
      </c>
      <c r="G2125" s="2">
        <v>50931.0</v>
      </c>
      <c r="H2125" s="2">
        <v>50931.0</v>
      </c>
      <c r="I2125" s="2">
        <v>41215.0</v>
      </c>
      <c r="J2125" s="2">
        <v>174.0</v>
      </c>
      <c r="K2125" s="2">
        <v>165.0</v>
      </c>
      <c r="L2125" s="2">
        <v>4.0</v>
      </c>
      <c r="M2125" s="4">
        <v>7960.0</v>
      </c>
      <c r="N2125" s="2" t="s">
        <v>36</v>
      </c>
      <c r="O2125" s="2">
        <v>71.0</v>
      </c>
      <c r="P2125" s="2" t="s">
        <v>189</v>
      </c>
      <c r="Q2125" s="2" t="s">
        <v>32</v>
      </c>
      <c r="R2125" s="2">
        <v>49.0</v>
      </c>
      <c r="U2125" s="2" t="b">
        <v>0</v>
      </c>
      <c r="V2125" s="5">
        <v>0.004</v>
      </c>
      <c r="W2125" s="5">
        <v>0.0242</v>
      </c>
      <c r="X2125" s="5">
        <v>9.7E-5</v>
      </c>
      <c r="Y2125" s="2">
        <v>48.24242424</v>
      </c>
      <c r="AA2125" s="2" t="s">
        <v>33</v>
      </c>
    </row>
    <row r="2126">
      <c r="A2126" s="2">
        <v>4038.0</v>
      </c>
      <c r="B2126" s="2" t="s">
        <v>6206</v>
      </c>
      <c r="C2126" s="2" t="s">
        <v>7</v>
      </c>
      <c r="D2126" s="2" t="s">
        <v>6207</v>
      </c>
      <c r="F2126" s="3">
        <v>46002.791666666664</v>
      </c>
      <c r="G2126" s="2">
        <v>50891.0</v>
      </c>
      <c r="H2126" s="2">
        <v>50891.0</v>
      </c>
      <c r="I2126" s="2">
        <v>41233.0</v>
      </c>
      <c r="J2126" s="2">
        <v>157.0</v>
      </c>
      <c r="K2126" s="2">
        <v>145.0</v>
      </c>
      <c r="L2126" s="2">
        <v>6.0</v>
      </c>
      <c r="M2126" s="4">
        <v>21346.0</v>
      </c>
      <c r="N2126" s="2" t="s">
        <v>36</v>
      </c>
      <c r="O2126" s="2">
        <v>71.0</v>
      </c>
      <c r="P2126" s="2" t="s">
        <v>189</v>
      </c>
      <c r="Q2126" s="2" t="s">
        <v>32</v>
      </c>
      <c r="R2126" s="2">
        <v>45.0</v>
      </c>
      <c r="U2126" s="2" t="b">
        <v>0</v>
      </c>
      <c r="V2126" s="5">
        <v>0.0035</v>
      </c>
      <c r="W2126" s="5">
        <v>0.0414</v>
      </c>
      <c r="X2126" s="5">
        <v>1.46E-4</v>
      </c>
      <c r="Y2126" s="2">
        <v>147.2137931</v>
      </c>
      <c r="AA2126" s="2" t="s">
        <v>33</v>
      </c>
    </row>
    <row r="2127">
      <c r="A2127" s="2">
        <v>4037.0</v>
      </c>
      <c r="B2127" s="2" t="s">
        <v>6208</v>
      </c>
      <c r="C2127" s="2" t="s">
        <v>7</v>
      </c>
      <c r="D2127" s="2" t="s">
        <v>6209</v>
      </c>
      <c r="F2127" s="3">
        <v>46002.791666666664</v>
      </c>
      <c r="G2127" s="2">
        <v>69137.0</v>
      </c>
      <c r="H2127" s="2">
        <v>69137.0</v>
      </c>
      <c r="I2127" s="2">
        <v>56784.0</v>
      </c>
      <c r="J2127" s="2">
        <v>220.0</v>
      </c>
      <c r="K2127" s="2">
        <v>214.0</v>
      </c>
      <c r="L2127" s="2">
        <v>3.0</v>
      </c>
      <c r="M2127" s="4">
        <v>11173.0</v>
      </c>
      <c r="N2127" s="2" t="s">
        <v>30</v>
      </c>
      <c r="O2127" s="2">
        <v>70.0</v>
      </c>
      <c r="P2127" s="2" t="s">
        <v>189</v>
      </c>
      <c r="Q2127" s="2" t="s">
        <v>32</v>
      </c>
      <c r="R2127" s="2">
        <v>49.0</v>
      </c>
      <c r="U2127" s="2" t="b">
        <v>0</v>
      </c>
      <c r="V2127" s="5">
        <v>0.0038</v>
      </c>
      <c r="W2127" s="5">
        <v>0.014</v>
      </c>
      <c r="X2127" s="5">
        <v>5.3E-5</v>
      </c>
      <c r="Y2127" s="2">
        <v>52.21028037</v>
      </c>
      <c r="Z2127" s="2">
        <v>4511.0</v>
      </c>
      <c r="AA2127" s="2" t="s">
        <v>33</v>
      </c>
    </row>
    <row r="2128">
      <c r="A2128" s="2">
        <v>4039.0</v>
      </c>
      <c r="B2128" s="2" t="s">
        <v>6210</v>
      </c>
      <c r="C2128" s="2" t="s">
        <v>7</v>
      </c>
      <c r="D2128" s="2" t="s">
        <v>6211</v>
      </c>
      <c r="F2128" s="3">
        <v>46003.47708333333</v>
      </c>
      <c r="G2128" s="2">
        <v>69306.0</v>
      </c>
      <c r="H2128" s="2">
        <v>69306.0</v>
      </c>
      <c r="I2128" s="2">
        <v>56905.0</v>
      </c>
      <c r="J2128" s="2">
        <v>232.0</v>
      </c>
      <c r="K2128" s="2">
        <v>220.0</v>
      </c>
      <c r="L2128" s="2">
        <v>2.0</v>
      </c>
      <c r="M2128" s="4">
        <v>5680.0</v>
      </c>
      <c r="N2128" s="2" t="s">
        <v>30</v>
      </c>
      <c r="O2128" s="2">
        <v>70.0</v>
      </c>
      <c r="P2128" s="2" t="s">
        <v>189</v>
      </c>
      <c r="Q2128" s="2" t="s">
        <v>32</v>
      </c>
      <c r="R2128" s="2">
        <v>30.0</v>
      </c>
      <c r="U2128" s="2" t="b">
        <v>0</v>
      </c>
      <c r="V2128" s="5">
        <v>0.0039</v>
      </c>
      <c r="W2128" s="5">
        <v>0.0091</v>
      </c>
      <c r="X2128" s="5">
        <v>3.5E-5</v>
      </c>
      <c r="Y2128" s="2">
        <v>25.81818182</v>
      </c>
      <c r="Z2128" s="2" t="s">
        <v>5627</v>
      </c>
      <c r="AA2128" s="2" t="s">
        <v>33</v>
      </c>
    </row>
    <row r="2129">
      <c r="A2129" s="2">
        <v>4040.0</v>
      </c>
      <c r="B2129" s="2" t="s">
        <v>6212</v>
      </c>
      <c r="C2129" s="2" t="s">
        <v>7</v>
      </c>
      <c r="D2129" s="2" t="s">
        <v>6213</v>
      </c>
      <c r="F2129" s="3">
        <v>46003.478472222225</v>
      </c>
      <c r="G2129" s="2">
        <v>50917.0</v>
      </c>
      <c r="H2129" s="2">
        <v>50917.0</v>
      </c>
      <c r="I2129" s="2">
        <v>40937.0</v>
      </c>
      <c r="J2129" s="2">
        <v>166.0</v>
      </c>
      <c r="K2129" s="2">
        <v>162.0</v>
      </c>
      <c r="L2129" s="2">
        <v>3.0</v>
      </c>
      <c r="M2129" s="4">
        <v>11084.0</v>
      </c>
      <c r="N2129" s="2" t="s">
        <v>36</v>
      </c>
      <c r="O2129" s="2">
        <v>71.0</v>
      </c>
      <c r="P2129" s="2" t="s">
        <v>189</v>
      </c>
      <c r="Q2129" s="2" t="s">
        <v>32</v>
      </c>
      <c r="R2129" s="2">
        <v>31.0</v>
      </c>
      <c r="U2129" s="2" t="b">
        <v>1</v>
      </c>
      <c r="V2129" s="5">
        <v>0.004</v>
      </c>
      <c r="W2129" s="5">
        <v>0.0185</v>
      </c>
      <c r="X2129" s="5">
        <v>7.3E-5</v>
      </c>
      <c r="Y2129" s="2">
        <v>68.41975309</v>
      </c>
      <c r="AA2129" s="2" t="s">
        <v>33</v>
      </c>
    </row>
    <row r="2130">
      <c r="A2130" s="2">
        <v>4057.0</v>
      </c>
      <c r="B2130" s="2" t="s">
        <v>6214</v>
      </c>
      <c r="C2130" s="2" t="s">
        <v>7</v>
      </c>
      <c r="D2130" s="2" t="s">
        <v>6215</v>
      </c>
      <c r="F2130" s="3">
        <v>46003.611805555556</v>
      </c>
      <c r="G2130" s="2">
        <v>7225.0</v>
      </c>
      <c r="H2130" s="2">
        <v>7225.0</v>
      </c>
      <c r="I2130" s="2">
        <v>5657.0</v>
      </c>
      <c r="J2130" s="2">
        <v>24.0</v>
      </c>
      <c r="K2130" s="2">
        <v>24.0</v>
      </c>
      <c r="L2130" s="2">
        <v>0.0</v>
      </c>
      <c r="M2130" s="2">
        <v>0.0</v>
      </c>
      <c r="N2130" s="2" t="s">
        <v>423</v>
      </c>
      <c r="O2130" s="2">
        <v>119.0</v>
      </c>
      <c r="P2130" s="2" t="s">
        <v>189</v>
      </c>
      <c r="Q2130" s="2" t="s">
        <v>1367</v>
      </c>
      <c r="R2130" s="2">
        <v>30.0</v>
      </c>
      <c r="U2130" s="2" t="b">
        <v>0</v>
      </c>
      <c r="V2130" s="5">
        <v>0.0042</v>
      </c>
      <c r="W2130" s="5">
        <v>0.0</v>
      </c>
      <c r="X2130" s="5">
        <v>0.0</v>
      </c>
      <c r="Y2130" s="2">
        <v>0.0</v>
      </c>
      <c r="AA2130" s="2" t="s">
        <v>423</v>
      </c>
    </row>
    <row r="2131">
      <c r="A2131" s="2">
        <v>4042.0</v>
      </c>
      <c r="B2131" s="2" t="s">
        <v>6216</v>
      </c>
      <c r="C2131" s="2" t="s">
        <v>7</v>
      </c>
      <c r="D2131" s="2" t="s">
        <v>6217</v>
      </c>
      <c r="F2131" s="3">
        <v>46003.625</v>
      </c>
      <c r="G2131" s="2">
        <v>50914.0</v>
      </c>
      <c r="H2131" s="2">
        <v>50914.0</v>
      </c>
      <c r="I2131" s="2">
        <v>41339.0</v>
      </c>
      <c r="J2131" s="2">
        <v>164.0</v>
      </c>
      <c r="K2131" s="2">
        <v>160.0</v>
      </c>
      <c r="L2131" s="2">
        <v>3.0</v>
      </c>
      <c r="M2131" s="4">
        <v>7029.0</v>
      </c>
      <c r="N2131" s="2" t="s">
        <v>36</v>
      </c>
      <c r="O2131" s="2">
        <v>71.0</v>
      </c>
      <c r="P2131" s="2" t="s">
        <v>189</v>
      </c>
      <c r="Q2131" s="2" t="s">
        <v>32</v>
      </c>
      <c r="R2131" s="2">
        <v>48.0</v>
      </c>
      <c r="U2131" s="2" t="b">
        <v>0</v>
      </c>
      <c r="V2131" s="5">
        <v>0.0039</v>
      </c>
      <c r="W2131" s="5">
        <v>0.0188</v>
      </c>
      <c r="X2131" s="5">
        <v>7.3E-5</v>
      </c>
      <c r="Y2131" s="2">
        <v>43.93125</v>
      </c>
      <c r="AA2131" s="2" t="s">
        <v>33</v>
      </c>
    </row>
    <row r="2132">
      <c r="A2132" s="2">
        <v>4041.0</v>
      </c>
      <c r="B2132" s="2" t="s">
        <v>6218</v>
      </c>
      <c r="C2132" s="2" t="s">
        <v>7</v>
      </c>
      <c r="D2132" s="2" t="s">
        <v>6219</v>
      </c>
      <c r="F2132" s="3">
        <v>46003.625</v>
      </c>
      <c r="G2132" s="2">
        <v>69330.0</v>
      </c>
      <c r="H2132" s="2">
        <v>69330.0</v>
      </c>
      <c r="I2132" s="2">
        <v>57113.0</v>
      </c>
      <c r="J2132" s="2">
        <v>192.0</v>
      </c>
      <c r="K2132" s="2">
        <v>184.0</v>
      </c>
      <c r="L2132" s="2">
        <v>1.0</v>
      </c>
      <c r="M2132" s="4">
        <v>1640.0</v>
      </c>
      <c r="N2132" s="2" t="s">
        <v>30</v>
      </c>
      <c r="O2132" s="2">
        <v>70.0</v>
      </c>
      <c r="P2132" s="2" t="s">
        <v>189</v>
      </c>
      <c r="Q2132" s="2" t="s">
        <v>32</v>
      </c>
      <c r="R2132" s="2">
        <v>47.0</v>
      </c>
      <c r="U2132" s="2" t="b">
        <v>0</v>
      </c>
      <c r="V2132" s="5">
        <v>0.0032</v>
      </c>
      <c r="W2132" s="5">
        <v>0.0054</v>
      </c>
      <c r="X2132" s="5">
        <v>1.8E-5</v>
      </c>
      <c r="Y2132" s="2">
        <v>8.913043478</v>
      </c>
      <c r="Z2132" s="2">
        <v>280.0</v>
      </c>
      <c r="AA2132" s="2" t="s">
        <v>33</v>
      </c>
    </row>
    <row r="2133">
      <c r="A2133" s="2">
        <v>4058.0</v>
      </c>
      <c r="B2133" s="2" t="s">
        <v>6220</v>
      </c>
      <c r="C2133" s="2" t="s">
        <v>7</v>
      </c>
      <c r="D2133" s="2" t="s">
        <v>6221</v>
      </c>
      <c r="F2133" s="3">
        <v>46003.666666666664</v>
      </c>
      <c r="G2133" s="2">
        <v>7220.0</v>
      </c>
      <c r="H2133" s="2">
        <v>7220.0</v>
      </c>
      <c r="I2133" s="2">
        <v>5668.0</v>
      </c>
      <c r="J2133" s="2">
        <v>27.0</v>
      </c>
      <c r="K2133" s="2">
        <v>27.0</v>
      </c>
      <c r="L2133" s="2">
        <v>0.0</v>
      </c>
      <c r="M2133" s="2">
        <v>0.0</v>
      </c>
      <c r="N2133" s="2" t="s">
        <v>423</v>
      </c>
      <c r="O2133" s="2">
        <v>119.0</v>
      </c>
      <c r="P2133" s="2" t="s">
        <v>189</v>
      </c>
      <c r="Q2133" s="2" t="s">
        <v>1367</v>
      </c>
      <c r="R2133" s="2">
        <v>51.0</v>
      </c>
      <c r="U2133" s="2" t="b">
        <v>0</v>
      </c>
      <c r="V2133" s="5">
        <v>0.0048</v>
      </c>
      <c r="W2133" s="5">
        <v>0.0</v>
      </c>
      <c r="X2133" s="5">
        <v>0.0</v>
      </c>
      <c r="Y2133" s="2">
        <v>0.0</v>
      </c>
      <c r="AA2133" s="2" t="s">
        <v>423</v>
      </c>
    </row>
    <row r="2134">
      <c r="A2134" s="2">
        <v>4044.0</v>
      </c>
      <c r="B2134" s="2" t="s">
        <v>6222</v>
      </c>
      <c r="C2134" s="2" t="s">
        <v>7</v>
      </c>
      <c r="D2134" s="2" t="s">
        <v>6223</v>
      </c>
      <c r="F2134" s="3">
        <v>46003.708333333336</v>
      </c>
      <c r="G2134" s="2">
        <v>50880.0</v>
      </c>
      <c r="H2134" s="2">
        <v>50880.0</v>
      </c>
      <c r="I2134" s="2">
        <v>41207.0</v>
      </c>
      <c r="J2134" s="2">
        <v>184.0</v>
      </c>
      <c r="K2134" s="2">
        <v>173.0</v>
      </c>
      <c r="L2134" s="2">
        <v>2.0</v>
      </c>
      <c r="M2134" s="4">
        <v>5710.0</v>
      </c>
      <c r="N2134" s="2" t="s">
        <v>36</v>
      </c>
      <c r="O2134" s="2">
        <v>71.0</v>
      </c>
      <c r="P2134" s="2" t="s">
        <v>189</v>
      </c>
      <c r="Q2134" s="2" t="s">
        <v>32</v>
      </c>
      <c r="R2134" s="2">
        <v>43.0</v>
      </c>
      <c r="U2134" s="2" t="b">
        <v>0</v>
      </c>
      <c r="V2134" s="5">
        <v>0.0042</v>
      </c>
      <c r="W2134" s="5">
        <v>0.0116</v>
      </c>
      <c r="X2134" s="5">
        <v>4.9E-5</v>
      </c>
      <c r="Y2134" s="2">
        <v>33.00578035</v>
      </c>
      <c r="AA2134" s="2" t="s">
        <v>33</v>
      </c>
    </row>
    <row r="2135">
      <c r="A2135" s="2">
        <v>4043.0</v>
      </c>
      <c r="B2135" s="2" t="s">
        <v>6224</v>
      </c>
      <c r="C2135" s="2" t="s">
        <v>7</v>
      </c>
      <c r="D2135" s="2" t="s">
        <v>6225</v>
      </c>
      <c r="F2135" s="3">
        <v>46003.708333333336</v>
      </c>
      <c r="G2135" s="2">
        <v>69323.0</v>
      </c>
      <c r="H2135" s="2">
        <v>69323.0</v>
      </c>
      <c r="I2135" s="2">
        <v>56903.0</v>
      </c>
      <c r="J2135" s="2">
        <v>185.0</v>
      </c>
      <c r="K2135" s="2">
        <v>180.0</v>
      </c>
      <c r="L2135" s="2">
        <v>3.0</v>
      </c>
      <c r="M2135" s="4">
        <v>10386.0</v>
      </c>
      <c r="N2135" s="2" t="s">
        <v>30</v>
      </c>
      <c r="O2135" s="2">
        <v>70.0</v>
      </c>
      <c r="P2135" s="2" t="s">
        <v>189</v>
      </c>
      <c r="Q2135" s="2" t="s">
        <v>32</v>
      </c>
      <c r="R2135" s="2">
        <v>39.0</v>
      </c>
      <c r="U2135" s="2" t="b">
        <v>0</v>
      </c>
      <c r="V2135" s="5">
        <v>0.0032</v>
      </c>
      <c r="W2135" s="5">
        <v>0.0167</v>
      </c>
      <c r="X2135" s="5">
        <v>5.3E-5</v>
      </c>
      <c r="Y2135" s="2">
        <v>57.7</v>
      </c>
      <c r="Z2135" s="2">
        <v>5945.0</v>
      </c>
      <c r="AA2135" s="2" t="s">
        <v>33</v>
      </c>
    </row>
    <row r="2136">
      <c r="A2136" s="2">
        <v>4059.0</v>
      </c>
      <c r="B2136" s="2" t="s">
        <v>6226</v>
      </c>
      <c r="C2136" s="2" t="s">
        <v>7</v>
      </c>
      <c r="D2136" s="2" t="s">
        <v>6227</v>
      </c>
      <c r="F2136" s="3">
        <v>46003.75</v>
      </c>
      <c r="G2136" s="2">
        <v>7222.0</v>
      </c>
      <c r="H2136" s="2">
        <v>7222.0</v>
      </c>
      <c r="I2136" s="2">
        <v>5642.0</v>
      </c>
      <c r="J2136" s="2">
        <v>31.0</v>
      </c>
      <c r="K2136" s="2">
        <v>31.0</v>
      </c>
      <c r="L2136" s="2">
        <v>0.0</v>
      </c>
      <c r="M2136" s="2">
        <v>0.0</v>
      </c>
      <c r="N2136" s="2" t="s">
        <v>423</v>
      </c>
      <c r="O2136" s="2">
        <v>119.0</v>
      </c>
      <c r="P2136" s="2" t="s">
        <v>189</v>
      </c>
      <c r="Q2136" s="2" t="s">
        <v>1367</v>
      </c>
      <c r="R2136" s="2">
        <v>37.0</v>
      </c>
      <c r="U2136" s="2" t="b">
        <v>0</v>
      </c>
      <c r="V2136" s="5">
        <v>0.0055</v>
      </c>
      <c r="W2136" s="5">
        <v>0.0</v>
      </c>
      <c r="X2136" s="5">
        <v>0.0</v>
      </c>
      <c r="Y2136" s="2">
        <v>0.0</v>
      </c>
      <c r="AA2136" s="2" t="s">
        <v>423</v>
      </c>
    </row>
    <row r="2137">
      <c r="A2137" s="2">
        <v>4046.0</v>
      </c>
      <c r="B2137" s="2" t="s">
        <v>6228</v>
      </c>
      <c r="C2137" s="2" t="s">
        <v>7</v>
      </c>
      <c r="D2137" s="2" t="s">
        <v>6229</v>
      </c>
      <c r="F2137" s="3">
        <v>46004.458333333336</v>
      </c>
      <c r="G2137" s="2">
        <v>50953.0</v>
      </c>
      <c r="H2137" s="2">
        <v>50953.0</v>
      </c>
      <c r="I2137" s="2">
        <v>34210.0</v>
      </c>
      <c r="J2137" s="2">
        <v>126.0</v>
      </c>
      <c r="K2137" s="2">
        <v>121.0</v>
      </c>
      <c r="L2137" s="2">
        <v>1.0</v>
      </c>
      <c r="M2137" s="2">
        <v>590.0</v>
      </c>
      <c r="N2137" s="2" t="s">
        <v>36</v>
      </c>
      <c r="O2137" s="2">
        <v>71.0</v>
      </c>
      <c r="P2137" s="2" t="s">
        <v>31</v>
      </c>
      <c r="Q2137" s="2" t="s">
        <v>32</v>
      </c>
      <c r="R2137" s="2">
        <v>45.0</v>
      </c>
      <c r="U2137" s="2" t="b">
        <v>0</v>
      </c>
      <c r="V2137" s="5">
        <v>0.0035</v>
      </c>
      <c r="W2137" s="5">
        <v>0.0083</v>
      </c>
      <c r="X2137" s="5">
        <v>2.9E-5</v>
      </c>
      <c r="Y2137" s="2">
        <v>4.876033058</v>
      </c>
      <c r="AA2137" s="2" t="s">
        <v>33</v>
      </c>
    </row>
    <row r="2138">
      <c r="A2138" s="2">
        <v>4045.0</v>
      </c>
      <c r="B2138" s="2" t="s">
        <v>6230</v>
      </c>
      <c r="C2138" s="2" t="s">
        <v>7</v>
      </c>
      <c r="D2138" s="2" t="s">
        <v>6231</v>
      </c>
      <c r="F2138" s="3">
        <v>46004.458333333336</v>
      </c>
      <c r="G2138" s="2">
        <v>69617.0</v>
      </c>
      <c r="H2138" s="2">
        <v>69617.0</v>
      </c>
      <c r="I2138" s="2">
        <v>43195.0</v>
      </c>
      <c r="J2138" s="2">
        <v>157.0</v>
      </c>
      <c r="K2138" s="2">
        <v>151.0</v>
      </c>
      <c r="L2138" s="2">
        <v>2.0</v>
      </c>
      <c r="M2138" s="4">
        <v>17479.0</v>
      </c>
      <c r="N2138" s="2" t="s">
        <v>30</v>
      </c>
      <c r="O2138" s="2">
        <v>70.0</v>
      </c>
      <c r="P2138" s="2" t="s">
        <v>189</v>
      </c>
      <c r="Q2138" s="2" t="s">
        <v>32</v>
      </c>
      <c r="R2138" s="2">
        <v>39.0</v>
      </c>
      <c r="U2138" s="2" t="b">
        <v>0</v>
      </c>
      <c r="V2138" s="5">
        <v>0.0035</v>
      </c>
      <c r="W2138" s="5">
        <v>0.0132</v>
      </c>
      <c r="X2138" s="5">
        <v>4.6E-5</v>
      </c>
      <c r="Y2138" s="2">
        <v>115.7549669</v>
      </c>
      <c r="AA2138" s="2" t="s">
        <v>33</v>
      </c>
    </row>
    <row r="2139">
      <c r="A2139" s="2">
        <v>4060.0</v>
      </c>
      <c r="B2139" s="2" t="s">
        <v>6232</v>
      </c>
      <c r="C2139" s="2" t="s">
        <v>7</v>
      </c>
      <c r="D2139" s="2" t="s">
        <v>6233</v>
      </c>
      <c r="F2139" s="3">
        <v>46004.583333333336</v>
      </c>
      <c r="G2139" s="2">
        <v>7254.0</v>
      </c>
      <c r="H2139" s="2">
        <v>7254.0</v>
      </c>
      <c r="I2139" s="2">
        <v>4787.0</v>
      </c>
      <c r="J2139" s="2">
        <v>36.0</v>
      </c>
      <c r="K2139" s="2">
        <v>34.0</v>
      </c>
      <c r="L2139" s="2">
        <v>0.0</v>
      </c>
      <c r="M2139" s="2">
        <v>0.0</v>
      </c>
      <c r="N2139" s="2" t="s">
        <v>423</v>
      </c>
      <c r="O2139" s="2">
        <v>119.0</v>
      </c>
      <c r="P2139" s="2" t="s">
        <v>31</v>
      </c>
      <c r="Q2139" s="2" t="s">
        <v>1367</v>
      </c>
      <c r="R2139" s="2">
        <v>30.0</v>
      </c>
      <c r="U2139" s="2" t="b">
        <v>0</v>
      </c>
      <c r="V2139" s="5">
        <v>0.0071</v>
      </c>
      <c r="W2139" s="5">
        <v>0.0</v>
      </c>
      <c r="X2139" s="5">
        <v>0.0</v>
      </c>
      <c r="Y2139" s="2">
        <v>0.0</v>
      </c>
      <c r="AA2139" s="2" t="s">
        <v>423</v>
      </c>
    </row>
    <row r="2140">
      <c r="A2140" s="2">
        <v>4047.0</v>
      </c>
      <c r="B2140" s="2" t="s">
        <v>6234</v>
      </c>
      <c r="C2140" s="2" t="s">
        <v>7</v>
      </c>
      <c r="D2140" s="2" t="s">
        <v>6235</v>
      </c>
      <c r="F2140" s="3">
        <v>46004.625</v>
      </c>
      <c r="G2140" s="2">
        <v>69732.0</v>
      </c>
      <c r="H2140" s="2">
        <v>69732.0</v>
      </c>
      <c r="I2140" s="2">
        <v>44328.0</v>
      </c>
      <c r="J2140" s="2">
        <v>215.0</v>
      </c>
      <c r="K2140" s="2">
        <v>208.0</v>
      </c>
      <c r="L2140" s="2">
        <v>2.0</v>
      </c>
      <c r="M2140" s="4">
        <v>2370.0</v>
      </c>
      <c r="N2140" s="2" t="s">
        <v>30</v>
      </c>
      <c r="O2140" s="2">
        <v>70.0</v>
      </c>
      <c r="P2140" s="2" t="s">
        <v>31</v>
      </c>
      <c r="Q2140" s="2" t="s">
        <v>32</v>
      </c>
      <c r="R2140" s="2">
        <v>45.0</v>
      </c>
      <c r="U2140" s="2" t="b">
        <v>0</v>
      </c>
      <c r="V2140" s="5">
        <v>0.0047</v>
      </c>
      <c r="W2140" s="5">
        <v>0.0096</v>
      </c>
      <c r="X2140" s="5">
        <v>4.5E-5</v>
      </c>
      <c r="Y2140" s="2">
        <v>11.39423077</v>
      </c>
      <c r="Z2140" s="2">
        <v>3649.0</v>
      </c>
      <c r="AA2140" s="2" t="s">
        <v>33</v>
      </c>
    </row>
    <row r="2141">
      <c r="A2141" s="2">
        <v>4048.0</v>
      </c>
      <c r="B2141" s="2" t="s">
        <v>6236</v>
      </c>
      <c r="C2141" s="2" t="s">
        <v>7</v>
      </c>
      <c r="D2141" s="2" t="s">
        <v>6237</v>
      </c>
      <c r="F2141" s="3">
        <v>46004.625</v>
      </c>
      <c r="G2141" s="2">
        <v>50990.0</v>
      </c>
      <c r="H2141" s="2">
        <v>50990.0</v>
      </c>
      <c r="I2141" s="2">
        <v>34631.0</v>
      </c>
      <c r="J2141" s="2">
        <v>153.0</v>
      </c>
      <c r="K2141" s="2">
        <v>145.0</v>
      </c>
      <c r="L2141" s="2">
        <v>4.0</v>
      </c>
      <c r="M2141" s="4">
        <v>8016.0</v>
      </c>
      <c r="N2141" s="2" t="s">
        <v>36</v>
      </c>
      <c r="O2141" s="2">
        <v>71.0</v>
      </c>
      <c r="P2141" s="2" t="s">
        <v>31</v>
      </c>
      <c r="Q2141" s="2" t="s">
        <v>32</v>
      </c>
      <c r="R2141" s="2">
        <v>45.0</v>
      </c>
      <c r="U2141" s="2" t="b">
        <v>1</v>
      </c>
      <c r="V2141" s="5">
        <v>0.0042</v>
      </c>
      <c r="W2141" s="5">
        <v>0.0276</v>
      </c>
      <c r="X2141" s="5">
        <v>1.16E-4</v>
      </c>
      <c r="Y2141" s="2">
        <v>55.28275862</v>
      </c>
      <c r="AA2141" s="2" t="s">
        <v>33</v>
      </c>
    </row>
    <row r="2142">
      <c r="A2142" s="2">
        <v>4061.0</v>
      </c>
      <c r="B2142" s="2" t="s">
        <v>6238</v>
      </c>
      <c r="C2142" s="2" t="s">
        <v>7</v>
      </c>
      <c r="D2142" s="2" t="s">
        <v>6239</v>
      </c>
      <c r="F2142" s="3">
        <v>46004.666666666664</v>
      </c>
      <c r="G2142" s="2">
        <v>7261.0</v>
      </c>
      <c r="H2142" s="2">
        <v>7261.0</v>
      </c>
      <c r="I2142" s="2">
        <v>5692.0</v>
      </c>
      <c r="J2142" s="2">
        <v>28.0</v>
      </c>
      <c r="K2142" s="2">
        <v>27.0</v>
      </c>
      <c r="L2142" s="2">
        <v>0.0</v>
      </c>
      <c r="M2142" s="2">
        <v>0.0</v>
      </c>
      <c r="N2142" s="2" t="s">
        <v>423</v>
      </c>
      <c r="O2142" s="2">
        <v>119.0</v>
      </c>
      <c r="P2142" s="2" t="s">
        <v>31</v>
      </c>
      <c r="Q2142" s="2" t="s">
        <v>1367</v>
      </c>
      <c r="R2142" s="2">
        <v>36.0</v>
      </c>
      <c r="U2142" s="2" t="b">
        <v>0</v>
      </c>
      <c r="V2142" s="5">
        <v>0.0047</v>
      </c>
      <c r="W2142" s="5">
        <v>0.0</v>
      </c>
      <c r="X2142" s="5">
        <v>0.0</v>
      </c>
      <c r="Y2142" s="2">
        <v>0.0</v>
      </c>
      <c r="AA2142" s="2" t="s">
        <v>423</v>
      </c>
    </row>
    <row r="2143">
      <c r="A2143" s="2">
        <v>4050.0</v>
      </c>
      <c r="B2143" s="2" t="s">
        <v>6240</v>
      </c>
      <c r="C2143" s="2" t="s">
        <v>7</v>
      </c>
      <c r="D2143" s="2" t="s">
        <v>6241</v>
      </c>
      <c r="F2143" s="3">
        <v>46004.708333333336</v>
      </c>
      <c r="G2143" s="2">
        <v>50943.0</v>
      </c>
      <c r="H2143" s="2">
        <v>50943.0</v>
      </c>
      <c r="I2143" s="2">
        <v>41049.0</v>
      </c>
      <c r="J2143" s="2">
        <v>178.0</v>
      </c>
      <c r="K2143" s="2">
        <v>168.0</v>
      </c>
      <c r="L2143" s="2">
        <v>1.0</v>
      </c>
      <c r="M2143" s="4">
        <v>2450.0</v>
      </c>
      <c r="N2143" s="2" t="s">
        <v>36</v>
      </c>
      <c r="O2143" s="2">
        <v>71.0</v>
      </c>
      <c r="P2143" s="2" t="s">
        <v>189</v>
      </c>
      <c r="Q2143" s="2" t="s">
        <v>32</v>
      </c>
      <c r="R2143" s="2">
        <v>48.0</v>
      </c>
      <c r="U2143" s="2" t="b">
        <v>0</v>
      </c>
      <c r="V2143" s="5">
        <v>0.0041</v>
      </c>
      <c r="W2143" s="5">
        <v>0.006</v>
      </c>
      <c r="X2143" s="5">
        <v>2.4E-5</v>
      </c>
      <c r="Y2143" s="2">
        <v>14.58333333</v>
      </c>
      <c r="AA2143" s="2" t="s">
        <v>33</v>
      </c>
    </row>
    <row r="2144">
      <c r="A2144" s="2">
        <v>4049.0</v>
      </c>
      <c r="B2144" s="2" t="s">
        <v>6242</v>
      </c>
      <c r="C2144" s="2" t="s">
        <v>7</v>
      </c>
      <c r="D2144" s="2" t="s">
        <v>6243</v>
      </c>
      <c r="F2144" s="3">
        <v>46004.708333333336</v>
      </c>
      <c r="G2144" s="2">
        <v>69668.0</v>
      </c>
      <c r="H2144" s="2">
        <v>69668.0</v>
      </c>
      <c r="I2144" s="2">
        <v>57057.0</v>
      </c>
      <c r="J2144" s="2">
        <v>224.0</v>
      </c>
      <c r="K2144" s="2">
        <v>217.0</v>
      </c>
      <c r="L2144" s="2">
        <v>5.0</v>
      </c>
      <c r="M2144" s="4">
        <v>24332.0</v>
      </c>
      <c r="N2144" s="2" t="s">
        <v>30</v>
      </c>
      <c r="O2144" s="2">
        <v>70.0</v>
      </c>
      <c r="P2144" s="2" t="s">
        <v>189</v>
      </c>
      <c r="Q2144" s="2" t="s">
        <v>32</v>
      </c>
      <c r="R2144" s="2">
        <v>45.0</v>
      </c>
      <c r="U2144" s="2" t="b">
        <v>0</v>
      </c>
      <c r="V2144" s="5">
        <v>0.0038</v>
      </c>
      <c r="W2144" s="5">
        <v>0.023</v>
      </c>
      <c r="X2144" s="5">
        <v>8.8E-5</v>
      </c>
      <c r="Y2144" s="2">
        <v>112.1290323</v>
      </c>
      <c r="Z2144" s="2">
        <v>2991.0</v>
      </c>
      <c r="AA2144" s="2" t="s">
        <v>33</v>
      </c>
    </row>
    <row r="2145">
      <c r="A2145" s="2">
        <v>4062.0</v>
      </c>
      <c r="B2145" s="2" t="s">
        <v>6244</v>
      </c>
      <c r="C2145" s="2" t="s">
        <v>7</v>
      </c>
      <c r="D2145" s="2" t="s">
        <v>6245</v>
      </c>
      <c r="F2145" s="3">
        <v>46004.75</v>
      </c>
      <c r="G2145" s="2">
        <v>7266.0</v>
      </c>
      <c r="H2145" s="2">
        <v>7266.0</v>
      </c>
      <c r="I2145" s="2">
        <v>5678.0</v>
      </c>
      <c r="J2145" s="2">
        <v>31.0</v>
      </c>
      <c r="K2145" s="2">
        <v>29.0</v>
      </c>
      <c r="L2145" s="2">
        <v>0.0</v>
      </c>
      <c r="M2145" s="2">
        <v>0.0</v>
      </c>
      <c r="N2145" s="2" t="s">
        <v>423</v>
      </c>
      <c r="O2145" s="2">
        <v>119.0</v>
      </c>
      <c r="P2145" s="2" t="s">
        <v>189</v>
      </c>
      <c r="Q2145" s="2" t="s">
        <v>1367</v>
      </c>
      <c r="R2145" s="2">
        <v>37.0</v>
      </c>
      <c r="U2145" s="2" t="b">
        <v>0</v>
      </c>
      <c r="V2145" s="5">
        <v>0.0051</v>
      </c>
      <c r="W2145" s="5">
        <v>0.0</v>
      </c>
      <c r="X2145" s="5">
        <v>0.0</v>
      </c>
      <c r="Y2145" s="2">
        <v>0.0</v>
      </c>
      <c r="AA2145" s="2" t="s">
        <v>423</v>
      </c>
    </row>
    <row r="2146">
      <c r="A2146" s="2">
        <v>4051.0</v>
      </c>
      <c r="B2146" s="2" t="s">
        <v>6246</v>
      </c>
      <c r="C2146" s="2" t="s">
        <v>7</v>
      </c>
      <c r="D2146" s="2" t="s">
        <v>6247</v>
      </c>
      <c r="F2146" s="3">
        <v>46005.458333333336</v>
      </c>
      <c r="G2146" s="2">
        <v>69618.0</v>
      </c>
      <c r="H2146" s="2">
        <v>69618.0</v>
      </c>
      <c r="I2146" s="2">
        <v>56948.0</v>
      </c>
      <c r="J2146" s="2">
        <v>252.0</v>
      </c>
      <c r="K2146" s="2">
        <v>238.0</v>
      </c>
      <c r="L2146" s="2">
        <v>0.0</v>
      </c>
      <c r="M2146" s="2">
        <v>0.0</v>
      </c>
      <c r="N2146" s="2" t="s">
        <v>30</v>
      </c>
      <c r="O2146" s="2">
        <v>70.0</v>
      </c>
      <c r="P2146" s="2" t="s">
        <v>31</v>
      </c>
      <c r="Q2146" s="2" t="s">
        <v>32</v>
      </c>
      <c r="R2146" s="2">
        <v>29.0</v>
      </c>
      <c r="U2146" s="2" t="b">
        <v>0</v>
      </c>
      <c r="V2146" s="5">
        <v>0.0042</v>
      </c>
      <c r="W2146" s="5">
        <v>0.0</v>
      </c>
      <c r="X2146" s="5">
        <v>0.0</v>
      </c>
      <c r="Y2146" s="2">
        <v>0.0</v>
      </c>
      <c r="Z2146" s="2">
        <v>4669.0</v>
      </c>
      <c r="AA2146" s="2" t="s">
        <v>33</v>
      </c>
    </row>
    <row r="2147">
      <c r="A2147" s="2">
        <v>4052.0</v>
      </c>
      <c r="B2147" s="2" t="s">
        <v>6248</v>
      </c>
      <c r="C2147" s="2" t="s">
        <v>7</v>
      </c>
      <c r="D2147" s="2" t="s">
        <v>6249</v>
      </c>
      <c r="F2147" s="3">
        <v>46005.458333333336</v>
      </c>
      <c r="G2147" s="2">
        <v>50798.0</v>
      </c>
      <c r="H2147" s="2">
        <v>50798.0</v>
      </c>
      <c r="I2147" s="2">
        <v>40652.0</v>
      </c>
      <c r="J2147" s="2">
        <v>193.0</v>
      </c>
      <c r="K2147" s="2">
        <v>186.0</v>
      </c>
      <c r="L2147" s="2">
        <v>6.0</v>
      </c>
      <c r="M2147" s="4">
        <v>15501.0</v>
      </c>
      <c r="N2147" s="2" t="s">
        <v>36</v>
      </c>
      <c r="O2147" s="2">
        <v>71.0</v>
      </c>
      <c r="P2147" s="2" t="s">
        <v>31</v>
      </c>
      <c r="Q2147" s="2" t="s">
        <v>32</v>
      </c>
      <c r="R2147" s="2">
        <v>30.0</v>
      </c>
      <c r="U2147" s="2" t="b">
        <v>1</v>
      </c>
      <c r="V2147" s="5">
        <v>0.0046</v>
      </c>
      <c r="W2147" s="5">
        <v>0.0323</v>
      </c>
      <c r="X2147" s="5">
        <v>1.48E-4</v>
      </c>
      <c r="Y2147" s="2">
        <v>83.33870968</v>
      </c>
      <c r="AA2147" s="2" t="s">
        <v>33</v>
      </c>
    </row>
    <row r="2148">
      <c r="A2148" s="2">
        <v>4063.0</v>
      </c>
      <c r="B2148" s="2" t="s">
        <v>6250</v>
      </c>
      <c r="C2148" s="2" t="s">
        <v>7</v>
      </c>
      <c r="D2148" s="2" t="s">
        <v>6251</v>
      </c>
      <c r="F2148" s="3">
        <v>46005.583333333336</v>
      </c>
      <c r="G2148" s="2">
        <v>7296.0</v>
      </c>
      <c r="H2148" s="2">
        <v>7296.0</v>
      </c>
      <c r="I2148" s="2">
        <v>5689.0</v>
      </c>
      <c r="J2148" s="2">
        <v>24.0</v>
      </c>
      <c r="K2148" s="2">
        <v>24.0</v>
      </c>
      <c r="L2148" s="2">
        <v>0.0</v>
      </c>
      <c r="M2148" s="2">
        <v>0.0</v>
      </c>
      <c r="N2148" s="2" t="s">
        <v>423</v>
      </c>
      <c r="O2148" s="2">
        <v>119.0</v>
      </c>
      <c r="P2148" s="2" t="s">
        <v>31</v>
      </c>
      <c r="Q2148" s="2" t="s">
        <v>1367</v>
      </c>
      <c r="R2148" s="2">
        <v>43.0</v>
      </c>
      <c r="U2148" s="2" t="b">
        <v>0</v>
      </c>
      <c r="V2148" s="5">
        <v>0.0042</v>
      </c>
      <c r="W2148" s="5">
        <v>0.0</v>
      </c>
      <c r="X2148" s="5">
        <v>0.0</v>
      </c>
      <c r="Y2148" s="2">
        <v>0.0</v>
      </c>
      <c r="AA2148" s="2" t="s">
        <v>423</v>
      </c>
    </row>
    <row r="2149">
      <c r="A2149" s="2">
        <v>4053.0</v>
      </c>
      <c r="B2149" s="2" t="s">
        <v>6252</v>
      </c>
      <c r="C2149" s="2" t="s">
        <v>7</v>
      </c>
      <c r="D2149" s="2" t="s">
        <v>6253</v>
      </c>
      <c r="F2149" s="3">
        <v>46005.625</v>
      </c>
      <c r="G2149" s="2">
        <v>69627.0</v>
      </c>
      <c r="H2149" s="2">
        <v>69627.0</v>
      </c>
      <c r="I2149" s="2">
        <v>57194.0</v>
      </c>
      <c r="J2149" s="2">
        <v>190.0</v>
      </c>
      <c r="K2149" s="2">
        <v>183.0</v>
      </c>
      <c r="L2149" s="2">
        <v>2.0</v>
      </c>
      <c r="M2149" s="4">
        <v>8642.0</v>
      </c>
      <c r="N2149" s="2" t="s">
        <v>30</v>
      </c>
      <c r="O2149" s="2">
        <v>70.0</v>
      </c>
      <c r="P2149" s="2" t="s">
        <v>31</v>
      </c>
      <c r="Q2149" s="2" t="s">
        <v>32</v>
      </c>
      <c r="R2149" s="2">
        <v>31.0</v>
      </c>
      <c r="U2149" s="2" t="b">
        <v>0</v>
      </c>
      <c r="V2149" s="5">
        <v>0.0032</v>
      </c>
      <c r="W2149" s="5">
        <v>0.0109</v>
      </c>
      <c r="X2149" s="5">
        <v>3.5E-5</v>
      </c>
      <c r="Y2149" s="2">
        <v>47.22404372</v>
      </c>
      <c r="Z2149" s="2">
        <v>1825.0</v>
      </c>
      <c r="AA2149" s="2" t="s">
        <v>33</v>
      </c>
    </row>
    <row r="2150">
      <c r="A2150" s="2">
        <v>4054.0</v>
      </c>
      <c r="B2150" s="2" t="s">
        <v>6254</v>
      </c>
      <c r="C2150" s="2" t="s">
        <v>7</v>
      </c>
      <c r="D2150" s="2" t="s">
        <v>6255</v>
      </c>
      <c r="F2150" s="3">
        <v>46005.625</v>
      </c>
      <c r="G2150" s="2">
        <v>50724.0</v>
      </c>
      <c r="H2150" s="2">
        <v>50724.0</v>
      </c>
      <c r="I2150" s="2">
        <v>41073.0</v>
      </c>
      <c r="J2150" s="2">
        <v>164.0</v>
      </c>
      <c r="K2150" s="2">
        <v>150.0</v>
      </c>
      <c r="L2150" s="2">
        <v>1.0</v>
      </c>
      <c r="M2150" s="4">
        <v>1700.0</v>
      </c>
      <c r="N2150" s="2" t="s">
        <v>36</v>
      </c>
      <c r="O2150" s="2">
        <v>71.0</v>
      </c>
      <c r="P2150" s="2" t="s">
        <v>31</v>
      </c>
      <c r="Q2150" s="2" t="s">
        <v>32</v>
      </c>
      <c r="R2150" s="2">
        <v>38.0</v>
      </c>
      <c r="U2150" s="2" t="b">
        <v>0</v>
      </c>
      <c r="V2150" s="5">
        <v>0.0037</v>
      </c>
      <c r="W2150" s="5">
        <v>0.0067</v>
      </c>
      <c r="X2150" s="5">
        <v>2.4E-5</v>
      </c>
      <c r="Y2150" s="2">
        <v>11.33333333</v>
      </c>
      <c r="AA2150" s="2" t="s">
        <v>33</v>
      </c>
    </row>
    <row r="2151">
      <c r="A2151" s="2">
        <v>4064.0</v>
      </c>
      <c r="B2151" s="2" t="s">
        <v>6256</v>
      </c>
      <c r="C2151" s="2" t="s">
        <v>7</v>
      </c>
      <c r="D2151" s="2" t="s">
        <v>6257</v>
      </c>
      <c r="F2151" s="3">
        <v>46005.666666666664</v>
      </c>
      <c r="G2151" s="2">
        <v>7297.0</v>
      </c>
      <c r="H2151" s="2">
        <v>7297.0</v>
      </c>
      <c r="I2151" s="2">
        <v>5681.0</v>
      </c>
      <c r="J2151" s="2">
        <v>24.0</v>
      </c>
      <c r="K2151" s="2">
        <v>24.0</v>
      </c>
      <c r="L2151" s="2">
        <v>0.0</v>
      </c>
      <c r="M2151" s="2">
        <v>0.0</v>
      </c>
      <c r="N2151" s="2" t="s">
        <v>423</v>
      </c>
      <c r="O2151" s="2">
        <v>119.0</v>
      </c>
      <c r="P2151" s="2" t="s">
        <v>189</v>
      </c>
      <c r="Q2151" s="2" t="s">
        <v>1367</v>
      </c>
      <c r="R2151" s="2">
        <v>45.0</v>
      </c>
      <c r="U2151" s="2" t="b">
        <v>0</v>
      </c>
      <c r="V2151" s="5">
        <v>0.0042</v>
      </c>
      <c r="W2151" s="5">
        <v>0.0</v>
      </c>
      <c r="X2151" s="5">
        <v>0.0</v>
      </c>
      <c r="Y2151" s="2">
        <v>0.0</v>
      </c>
      <c r="AA2151" s="2" t="s">
        <v>423</v>
      </c>
    </row>
    <row r="2152">
      <c r="A2152" s="2">
        <v>4056.0</v>
      </c>
      <c r="B2152" s="2" t="s">
        <v>6258</v>
      </c>
      <c r="C2152" s="2" t="s">
        <v>7</v>
      </c>
      <c r="D2152" s="2" t="s">
        <v>6259</v>
      </c>
      <c r="F2152" s="3">
        <v>46005.708333333336</v>
      </c>
      <c r="G2152" s="2">
        <v>50726.0</v>
      </c>
      <c r="H2152" s="2">
        <v>50726.0</v>
      </c>
      <c r="I2152" s="2">
        <v>41053.0</v>
      </c>
      <c r="J2152" s="2">
        <v>191.0</v>
      </c>
      <c r="K2152" s="2">
        <v>182.0</v>
      </c>
      <c r="L2152" s="2">
        <v>3.0</v>
      </c>
      <c r="M2152" s="4">
        <v>5922.0</v>
      </c>
      <c r="N2152" s="2" t="s">
        <v>36</v>
      </c>
      <c r="O2152" s="2">
        <v>71.0</v>
      </c>
      <c r="P2152" s="2" t="s">
        <v>189</v>
      </c>
      <c r="Q2152" s="2" t="s">
        <v>32</v>
      </c>
      <c r="R2152" s="2">
        <v>34.0</v>
      </c>
      <c r="U2152" s="2" t="b">
        <v>0</v>
      </c>
      <c r="V2152" s="5">
        <v>0.0044</v>
      </c>
      <c r="W2152" s="5">
        <v>0.0165</v>
      </c>
      <c r="X2152" s="5">
        <v>7.3E-5</v>
      </c>
      <c r="Y2152" s="2">
        <v>32.53846154</v>
      </c>
      <c r="AA2152" s="2" t="s">
        <v>33</v>
      </c>
    </row>
    <row r="2153">
      <c r="A2153" s="2">
        <v>4055.0</v>
      </c>
      <c r="B2153" s="2" t="s">
        <v>6260</v>
      </c>
      <c r="C2153" s="2" t="s">
        <v>7</v>
      </c>
      <c r="D2153" s="2" t="s">
        <v>6261</v>
      </c>
      <c r="F2153" s="3">
        <v>46005.708333333336</v>
      </c>
      <c r="G2153" s="2">
        <v>69609.0</v>
      </c>
      <c r="H2153" s="2">
        <v>69609.0</v>
      </c>
      <c r="I2153" s="2">
        <v>57207.0</v>
      </c>
      <c r="J2153" s="2">
        <v>212.0</v>
      </c>
      <c r="K2153" s="2">
        <v>201.0</v>
      </c>
      <c r="L2153" s="2">
        <v>0.0</v>
      </c>
      <c r="M2153" s="2">
        <v>0.0</v>
      </c>
      <c r="N2153" s="2" t="s">
        <v>30</v>
      </c>
      <c r="O2153" s="2">
        <v>70.0</v>
      </c>
      <c r="P2153" s="2" t="s">
        <v>31</v>
      </c>
      <c r="Q2153" s="2" t="s">
        <v>32</v>
      </c>
      <c r="R2153" s="2">
        <v>31.0</v>
      </c>
      <c r="U2153" s="2" t="b">
        <v>0</v>
      </c>
      <c r="V2153" s="5">
        <v>0.0035</v>
      </c>
      <c r="W2153" s="5">
        <v>0.0</v>
      </c>
      <c r="X2153" s="5">
        <v>0.0</v>
      </c>
      <c r="Y2153" s="2">
        <v>0.0</v>
      </c>
      <c r="Z2153" s="2">
        <v>2856.0</v>
      </c>
      <c r="AA2153" s="2" t="s">
        <v>33</v>
      </c>
    </row>
    <row r="2154">
      <c r="A2154" s="2">
        <v>4065.0</v>
      </c>
      <c r="B2154" s="2" t="s">
        <v>6262</v>
      </c>
      <c r="C2154" s="2" t="s">
        <v>7</v>
      </c>
      <c r="D2154" s="2" t="s">
        <v>6263</v>
      </c>
      <c r="F2154" s="3">
        <v>46005.75</v>
      </c>
      <c r="G2154" s="2">
        <v>7305.0</v>
      </c>
      <c r="H2154" s="2">
        <v>7305.0</v>
      </c>
      <c r="I2154" s="2">
        <v>5699.0</v>
      </c>
      <c r="J2154" s="2">
        <v>29.0</v>
      </c>
      <c r="K2154" s="2">
        <v>27.0</v>
      </c>
      <c r="L2154" s="2">
        <v>1.0</v>
      </c>
      <c r="M2154" s="2">
        <v>725.0</v>
      </c>
      <c r="N2154" s="2" t="s">
        <v>423</v>
      </c>
      <c r="O2154" s="2">
        <v>119.0</v>
      </c>
      <c r="P2154" s="2" t="s">
        <v>189</v>
      </c>
      <c r="Q2154" s="2" t="s">
        <v>1367</v>
      </c>
      <c r="R2154" s="2">
        <v>37.0</v>
      </c>
      <c r="U2154" s="2" t="b">
        <v>0</v>
      </c>
      <c r="V2154" s="5">
        <v>0.0047</v>
      </c>
      <c r="W2154" s="5">
        <v>0.037</v>
      </c>
      <c r="X2154" s="5">
        <v>1.75E-4</v>
      </c>
      <c r="Y2154" s="2">
        <v>26.85185185</v>
      </c>
      <c r="AA2154" s="2" t="s">
        <v>423</v>
      </c>
    </row>
    <row r="2155">
      <c r="A2155" s="2">
        <v>4066.0</v>
      </c>
      <c r="B2155" s="2" t="s">
        <v>6264</v>
      </c>
      <c r="C2155" s="2" t="s">
        <v>7</v>
      </c>
      <c r="D2155" s="2" t="s">
        <v>6265</v>
      </c>
      <c r="F2155" s="3">
        <v>46006.479166666664</v>
      </c>
      <c r="G2155" s="2">
        <v>69851.0</v>
      </c>
      <c r="H2155" s="2">
        <v>69851.0</v>
      </c>
      <c r="I2155" s="2">
        <v>44457.0</v>
      </c>
      <c r="J2155" s="2">
        <v>230.0</v>
      </c>
      <c r="K2155" s="2">
        <v>222.0</v>
      </c>
      <c r="L2155" s="2">
        <v>3.0</v>
      </c>
      <c r="M2155" s="4">
        <v>8892.0</v>
      </c>
      <c r="N2155" s="2" t="s">
        <v>30</v>
      </c>
      <c r="O2155" s="2">
        <v>70.0</v>
      </c>
      <c r="P2155" s="2" t="s">
        <v>189</v>
      </c>
      <c r="Q2155" s="2" t="s">
        <v>32</v>
      </c>
      <c r="R2155" s="2">
        <v>46.0</v>
      </c>
      <c r="U2155" s="2" t="b">
        <v>0</v>
      </c>
      <c r="V2155" s="5">
        <v>0.005</v>
      </c>
      <c r="W2155" s="5">
        <v>0.0135</v>
      </c>
      <c r="X2155" s="5">
        <v>6.7E-5</v>
      </c>
      <c r="Y2155" s="2">
        <v>40.05405405</v>
      </c>
      <c r="Z2155" s="2">
        <v>5046.0</v>
      </c>
      <c r="AA2155" s="2" t="s">
        <v>33</v>
      </c>
    </row>
    <row r="2156">
      <c r="A2156" s="2">
        <v>4067.0</v>
      </c>
      <c r="B2156" s="2" t="s">
        <v>6266</v>
      </c>
      <c r="C2156" s="2" t="s">
        <v>7</v>
      </c>
      <c r="D2156" s="2" t="s">
        <v>6267</v>
      </c>
      <c r="F2156" s="3">
        <v>46006.48055555556</v>
      </c>
      <c r="G2156" s="2">
        <v>50823.0</v>
      </c>
      <c r="H2156" s="2">
        <v>50823.0</v>
      </c>
      <c r="I2156" s="2">
        <v>34442.0</v>
      </c>
      <c r="J2156" s="2">
        <v>168.0</v>
      </c>
      <c r="K2156" s="2">
        <v>161.0</v>
      </c>
      <c r="L2156" s="2">
        <v>3.0</v>
      </c>
      <c r="M2156" s="4">
        <v>16355.0</v>
      </c>
      <c r="N2156" s="2" t="s">
        <v>36</v>
      </c>
      <c r="O2156" s="2">
        <v>71.0</v>
      </c>
      <c r="P2156" s="2" t="s">
        <v>189</v>
      </c>
      <c r="Q2156" s="2" t="s">
        <v>32</v>
      </c>
      <c r="R2156" s="2">
        <v>47.0</v>
      </c>
      <c r="U2156" s="2" t="b">
        <v>1</v>
      </c>
      <c r="V2156" s="5">
        <v>0.0047</v>
      </c>
      <c r="W2156" s="5">
        <v>0.0186</v>
      </c>
      <c r="X2156" s="5">
        <v>8.7E-5</v>
      </c>
      <c r="Y2156" s="2">
        <v>101.5838509</v>
      </c>
      <c r="AA2156" s="2" t="s">
        <v>33</v>
      </c>
    </row>
    <row r="2157">
      <c r="A2157" s="2">
        <v>4068.0</v>
      </c>
      <c r="B2157" s="2" t="s">
        <v>6268</v>
      </c>
      <c r="C2157" s="2" t="s">
        <v>7</v>
      </c>
      <c r="D2157" s="2" t="s">
        <v>6269</v>
      </c>
      <c r="F2157" s="3">
        <v>46006.70486111111</v>
      </c>
      <c r="G2157" s="2">
        <v>70038.0</v>
      </c>
      <c r="H2157" s="2">
        <v>70038.0</v>
      </c>
      <c r="I2157" s="2">
        <v>13015.0</v>
      </c>
      <c r="J2157" s="2">
        <v>0.0</v>
      </c>
      <c r="K2157" s="2">
        <v>0.0</v>
      </c>
      <c r="L2157" s="2">
        <v>0.0</v>
      </c>
      <c r="M2157" s="2">
        <v>0.0</v>
      </c>
      <c r="N2157" s="2" t="s">
        <v>30</v>
      </c>
      <c r="O2157" s="2">
        <v>70.0</v>
      </c>
      <c r="P2157" s="2" t="s">
        <v>189</v>
      </c>
      <c r="Q2157" s="2" t="s">
        <v>32</v>
      </c>
      <c r="R2157" s="2">
        <v>46.0</v>
      </c>
      <c r="U2157" s="2" t="b">
        <v>0</v>
      </c>
      <c r="V2157" s="5">
        <v>0.0</v>
      </c>
      <c r="X2157" s="5">
        <v>0.0</v>
      </c>
      <c r="Z2157" s="2">
        <v>3632.0</v>
      </c>
      <c r="AA2157" s="2" t="s">
        <v>33</v>
      </c>
    </row>
    <row r="2158">
      <c r="A2158" s="2">
        <v>4069.0</v>
      </c>
      <c r="B2158" s="2" t="s">
        <v>6270</v>
      </c>
      <c r="C2158" s="2" t="s">
        <v>7</v>
      </c>
      <c r="D2158" s="2" t="s">
        <v>6271</v>
      </c>
      <c r="F2158" s="3">
        <v>46006.71805555555</v>
      </c>
      <c r="G2158" s="2">
        <v>50894.0</v>
      </c>
      <c r="H2158" s="2">
        <v>50894.0</v>
      </c>
      <c r="I2158" s="2">
        <v>41120.0</v>
      </c>
      <c r="J2158" s="2">
        <v>203.0</v>
      </c>
      <c r="K2158" s="2">
        <v>190.0</v>
      </c>
      <c r="L2158" s="2">
        <v>5.0</v>
      </c>
      <c r="M2158" s="4">
        <v>17970.0</v>
      </c>
      <c r="N2158" s="2" t="s">
        <v>36</v>
      </c>
      <c r="O2158" s="2">
        <v>71.0</v>
      </c>
      <c r="P2158" s="2" t="s">
        <v>189</v>
      </c>
      <c r="Q2158" s="2" t="s">
        <v>32</v>
      </c>
      <c r="R2158" s="2">
        <v>43.0</v>
      </c>
      <c r="U2158" s="2" t="b">
        <v>0</v>
      </c>
      <c r="V2158" s="5">
        <v>0.0046</v>
      </c>
      <c r="W2158" s="5">
        <v>0.0263</v>
      </c>
      <c r="X2158" s="5">
        <v>1.22E-4</v>
      </c>
      <c r="Y2158" s="2">
        <v>94.57894737</v>
      </c>
      <c r="AA2158" s="2" t="s">
        <v>33</v>
      </c>
    </row>
    <row r="2159">
      <c r="A2159" s="2">
        <v>4077.0</v>
      </c>
      <c r="B2159" s="2" t="s">
        <v>6272</v>
      </c>
      <c r="C2159" s="2" t="s">
        <v>7</v>
      </c>
      <c r="D2159" s="2" t="s">
        <v>6273</v>
      </c>
      <c r="F2159" s="3">
        <v>46006.77569444444</v>
      </c>
      <c r="G2159" s="2">
        <v>7359.0</v>
      </c>
      <c r="H2159" s="2">
        <v>7359.0</v>
      </c>
      <c r="I2159" s="2">
        <v>5693.0</v>
      </c>
      <c r="J2159" s="2">
        <v>38.0</v>
      </c>
      <c r="K2159" s="2">
        <v>36.0</v>
      </c>
      <c r="L2159" s="2">
        <v>1.0</v>
      </c>
      <c r="M2159" s="4">
        <v>5996.0</v>
      </c>
      <c r="N2159" s="2" t="s">
        <v>423</v>
      </c>
      <c r="O2159" s="2">
        <v>119.0</v>
      </c>
      <c r="P2159" s="2" t="s">
        <v>31</v>
      </c>
      <c r="Q2159" s="2" t="s">
        <v>1367</v>
      </c>
      <c r="R2159" s="2">
        <v>29.0</v>
      </c>
      <c r="U2159" s="2" t="b">
        <v>0</v>
      </c>
      <c r="V2159" s="5">
        <v>0.0063</v>
      </c>
      <c r="W2159" s="5">
        <v>0.0278</v>
      </c>
      <c r="X2159" s="5">
        <v>1.76E-4</v>
      </c>
      <c r="Y2159" s="2">
        <v>166.5555556</v>
      </c>
      <c r="AA2159" s="2" t="s">
        <v>423</v>
      </c>
    </row>
    <row r="2160">
      <c r="A2160" s="2">
        <v>4071.0</v>
      </c>
      <c r="B2160" s="2" t="s">
        <v>6274</v>
      </c>
      <c r="C2160" s="2" t="s">
        <v>7</v>
      </c>
      <c r="D2160" s="2" t="s">
        <v>6275</v>
      </c>
      <c r="F2160" s="3">
        <v>46006.791666666664</v>
      </c>
      <c r="G2160" s="2">
        <v>50796.0</v>
      </c>
      <c r="H2160" s="2">
        <v>50796.0</v>
      </c>
      <c r="I2160" s="2">
        <v>41094.0</v>
      </c>
      <c r="J2160" s="2">
        <v>159.0</v>
      </c>
      <c r="K2160" s="2">
        <v>153.0</v>
      </c>
      <c r="L2160" s="2">
        <v>5.0</v>
      </c>
      <c r="M2160" s="4">
        <v>20446.0</v>
      </c>
      <c r="N2160" s="2" t="s">
        <v>36</v>
      </c>
      <c r="O2160" s="2">
        <v>71.0</v>
      </c>
      <c r="P2160" s="2" t="s">
        <v>189</v>
      </c>
      <c r="Q2160" s="2" t="s">
        <v>32</v>
      </c>
      <c r="R2160" s="2">
        <v>58.0</v>
      </c>
      <c r="U2160" s="2" t="b">
        <v>0</v>
      </c>
      <c r="V2160" s="5">
        <v>0.0037</v>
      </c>
      <c r="W2160" s="5">
        <v>0.0327</v>
      </c>
      <c r="X2160" s="5">
        <v>1.22E-4</v>
      </c>
      <c r="Y2160" s="2">
        <v>133.6339869</v>
      </c>
      <c r="AA2160" s="2" t="s">
        <v>33</v>
      </c>
    </row>
    <row r="2161">
      <c r="A2161" s="2">
        <v>4070.0</v>
      </c>
      <c r="B2161" s="2" t="s">
        <v>6276</v>
      </c>
      <c r="C2161" s="2" t="s">
        <v>7</v>
      </c>
      <c r="D2161" s="2" t="s">
        <v>6277</v>
      </c>
      <c r="F2161" s="3">
        <v>46006.791666666664</v>
      </c>
      <c r="G2161" s="2">
        <v>70119.0</v>
      </c>
      <c r="H2161" s="2">
        <v>70119.0</v>
      </c>
      <c r="I2161" s="2">
        <v>57589.0</v>
      </c>
      <c r="J2161" s="2">
        <v>209.0</v>
      </c>
      <c r="K2161" s="2">
        <v>199.0</v>
      </c>
      <c r="L2161" s="2">
        <v>3.0</v>
      </c>
      <c r="M2161" s="4">
        <v>6920.0</v>
      </c>
      <c r="N2161" s="2" t="s">
        <v>30</v>
      </c>
      <c r="O2161" s="2">
        <v>70.0</v>
      </c>
      <c r="P2161" s="2" t="s">
        <v>189</v>
      </c>
      <c r="Q2161" s="2" t="s">
        <v>32</v>
      </c>
      <c r="R2161" s="2">
        <v>52.0</v>
      </c>
      <c r="U2161" s="2" t="b">
        <v>0</v>
      </c>
      <c r="V2161" s="5">
        <v>0.0035</v>
      </c>
      <c r="W2161" s="5">
        <v>0.0151</v>
      </c>
      <c r="X2161" s="5">
        <v>5.2E-5</v>
      </c>
      <c r="Y2161" s="2">
        <v>34.77386935</v>
      </c>
      <c r="Z2161" s="2">
        <v>4108.0</v>
      </c>
      <c r="AA2161" s="2" t="s">
        <v>33</v>
      </c>
    </row>
    <row r="2162">
      <c r="A2162" s="2">
        <v>4073.0</v>
      </c>
      <c r="B2162" s="2" t="s">
        <v>6278</v>
      </c>
      <c r="C2162" s="2" t="s">
        <v>7</v>
      </c>
      <c r="D2162" s="2" t="s">
        <v>6279</v>
      </c>
      <c r="F2162" s="3">
        <v>46007.458333333336</v>
      </c>
      <c r="G2162" s="2">
        <v>70058.0</v>
      </c>
      <c r="H2162" s="2">
        <v>70058.0</v>
      </c>
      <c r="I2162" s="2">
        <v>58012.0</v>
      </c>
      <c r="J2162" s="2">
        <v>187.0</v>
      </c>
      <c r="K2162" s="2">
        <v>180.0</v>
      </c>
      <c r="L2162" s="2">
        <v>1.0</v>
      </c>
      <c r="M2162" s="4">
        <v>1980.0</v>
      </c>
      <c r="N2162" s="2" t="s">
        <v>30</v>
      </c>
      <c r="O2162" s="2">
        <v>70.0</v>
      </c>
      <c r="P2162" s="2" t="s">
        <v>31</v>
      </c>
      <c r="Q2162" s="2" t="s">
        <v>32</v>
      </c>
      <c r="R2162" s="2">
        <v>33.0</v>
      </c>
      <c r="U2162" s="2" t="b">
        <v>0</v>
      </c>
      <c r="V2162" s="5">
        <v>0.0031</v>
      </c>
      <c r="W2162" s="5">
        <v>0.0056</v>
      </c>
      <c r="X2162" s="5">
        <v>1.7E-5</v>
      </c>
      <c r="Y2162" s="2">
        <v>11.0</v>
      </c>
      <c r="Z2162" s="2">
        <v>2907.0</v>
      </c>
      <c r="AA2162" s="2" t="s">
        <v>33</v>
      </c>
    </row>
    <row r="2163">
      <c r="A2163" s="2">
        <v>4074.0</v>
      </c>
      <c r="B2163" s="2" t="s">
        <v>6280</v>
      </c>
      <c r="C2163" s="2" t="s">
        <v>7</v>
      </c>
      <c r="D2163" s="2" t="s">
        <v>6281</v>
      </c>
      <c r="F2163" s="3">
        <v>46007.458333333336</v>
      </c>
      <c r="G2163" s="2">
        <v>50779.0</v>
      </c>
      <c r="H2163" s="2">
        <v>50779.0</v>
      </c>
      <c r="I2163" s="2">
        <v>41244.0</v>
      </c>
      <c r="J2163" s="2">
        <v>124.0</v>
      </c>
      <c r="K2163" s="2">
        <v>120.0</v>
      </c>
      <c r="L2163" s="2">
        <v>1.0</v>
      </c>
      <c r="M2163" s="4">
        <v>2398.0</v>
      </c>
      <c r="N2163" s="2" t="s">
        <v>36</v>
      </c>
      <c r="O2163" s="2">
        <v>71.0</v>
      </c>
      <c r="P2163" s="2" t="s">
        <v>31</v>
      </c>
      <c r="Q2163" s="2" t="s">
        <v>32</v>
      </c>
      <c r="R2163" s="2">
        <v>34.0</v>
      </c>
      <c r="U2163" s="2" t="b">
        <v>0</v>
      </c>
      <c r="V2163" s="5">
        <v>0.0029</v>
      </c>
      <c r="W2163" s="5">
        <v>0.0083</v>
      </c>
      <c r="X2163" s="5">
        <v>2.4E-5</v>
      </c>
      <c r="Y2163" s="2">
        <v>19.98333333</v>
      </c>
      <c r="AA2163" s="2" t="s">
        <v>33</v>
      </c>
    </row>
    <row r="2164">
      <c r="A2164" s="2">
        <v>4076.0</v>
      </c>
      <c r="B2164" s="2" t="s">
        <v>6282</v>
      </c>
      <c r="C2164" s="2" t="s">
        <v>7</v>
      </c>
      <c r="D2164" s="2" t="s">
        <v>6283</v>
      </c>
      <c r="F2164" s="3">
        <v>46007.625</v>
      </c>
      <c r="G2164" s="2">
        <v>50808.0</v>
      </c>
      <c r="H2164" s="2">
        <v>50808.0</v>
      </c>
      <c r="I2164" s="2">
        <v>41489.0</v>
      </c>
      <c r="J2164" s="2">
        <v>162.0</v>
      </c>
      <c r="K2164" s="2">
        <v>159.0</v>
      </c>
      <c r="L2164" s="2">
        <v>4.0</v>
      </c>
      <c r="M2164" s="4">
        <v>13850.0</v>
      </c>
      <c r="N2164" s="2" t="s">
        <v>36</v>
      </c>
      <c r="O2164" s="2">
        <v>71.0</v>
      </c>
      <c r="P2164" s="2" t="s">
        <v>31</v>
      </c>
      <c r="Q2164" s="2" t="s">
        <v>32</v>
      </c>
      <c r="R2164" s="2">
        <v>36.0</v>
      </c>
      <c r="U2164" s="2" t="b">
        <v>0</v>
      </c>
      <c r="V2164" s="5">
        <v>0.0038</v>
      </c>
      <c r="W2164" s="5">
        <v>0.0252</v>
      </c>
      <c r="X2164" s="5">
        <v>9.6E-5</v>
      </c>
      <c r="Y2164" s="2">
        <v>87.10691824</v>
      </c>
      <c r="AA2164" s="2" t="s">
        <v>33</v>
      </c>
    </row>
    <row r="2165">
      <c r="A2165" s="2">
        <v>4075.0</v>
      </c>
      <c r="B2165" s="2" t="s">
        <v>6284</v>
      </c>
      <c r="C2165" s="2" t="s">
        <v>7</v>
      </c>
      <c r="D2165" s="2" t="s">
        <v>6285</v>
      </c>
      <c r="F2165" s="3">
        <v>46007.625</v>
      </c>
      <c r="G2165" s="2">
        <v>70148.0</v>
      </c>
      <c r="H2165" s="2">
        <v>70148.0</v>
      </c>
      <c r="I2165" s="2">
        <v>58155.0</v>
      </c>
      <c r="J2165" s="2">
        <v>263.0</v>
      </c>
      <c r="K2165" s="2">
        <v>246.0</v>
      </c>
      <c r="L2165" s="2">
        <v>4.0</v>
      </c>
      <c r="M2165" s="4">
        <v>6262.0</v>
      </c>
      <c r="N2165" s="2" t="s">
        <v>30</v>
      </c>
      <c r="O2165" s="2">
        <v>70.0</v>
      </c>
      <c r="P2165" s="2" t="s">
        <v>31</v>
      </c>
      <c r="Q2165" s="2" t="s">
        <v>32</v>
      </c>
      <c r="R2165" s="2">
        <v>38.0</v>
      </c>
      <c r="U2165" s="2" t="b">
        <v>0</v>
      </c>
      <c r="V2165" s="5">
        <v>0.0042</v>
      </c>
      <c r="W2165" s="5">
        <v>0.0163</v>
      </c>
      <c r="X2165" s="5">
        <v>6.9E-5</v>
      </c>
      <c r="Y2165" s="2">
        <v>25.45528455</v>
      </c>
      <c r="Z2165" s="2">
        <v>3164.0</v>
      </c>
      <c r="AA2165" s="2" t="s">
        <v>33</v>
      </c>
    </row>
    <row r="2166">
      <c r="A2166" s="2">
        <v>4078.0</v>
      </c>
      <c r="B2166" s="2" t="s">
        <v>6286</v>
      </c>
      <c r="C2166" s="2" t="s">
        <v>7</v>
      </c>
      <c r="D2166" s="2" t="s">
        <v>6287</v>
      </c>
      <c r="F2166" s="3">
        <v>46007.708333333336</v>
      </c>
      <c r="G2166" s="2">
        <v>70101.0</v>
      </c>
      <c r="H2166" s="2">
        <v>70101.0</v>
      </c>
      <c r="I2166" s="2">
        <v>58123.0</v>
      </c>
      <c r="J2166" s="2">
        <v>206.0</v>
      </c>
      <c r="K2166" s="2">
        <v>196.0</v>
      </c>
      <c r="L2166" s="2">
        <v>0.0</v>
      </c>
      <c r="M2166" s="2">
        <v>0.0</v>
      </c>
      <c r="N2166" s="2" t="s">
        <v>30</v>
      </c>
      <c r="O2166" s="2">
        <v>70.0</v>
      </c>
      <c r="P2166" s="2" t="s">
        <v>189</v>
      </c>
      <c r="Q2166" s="2" t="s">
        <v>32</v>
      </c>
      <c r="R2166" s="2">
        <v>41.0</v>
      </c>
      <c r="U2166" s="2" t="b">
        <v>0</v>
      </c>
      <c r="V2166" s="5">
        <v>0.0034</v>
      </c>
      <c r="W2166" s="5">
        <v>0.0</v>
      </c>
      <c r="X2166" s="5">
        <v>0.0</v>
      </c>
      <c r="Y2166" s="2">
        <v>0.0</v>
      </c>
      <c r="Z2166" s="2">
        <v>1648.0</v>
      </c>
      <c r="AA2166" s="2" t="s">
        <v>33</v>
      </c>
    </row>
    <row r="2167">
      <c r="A2167" s="2">
        <v>4079.0</v>
      </c>
      <c r="B2167" s="2" t="s">
        <v>6288</v>
      </c>
      <c r="C2167" s="2" t="s">
        <v>7</v>
      </c>
      <c r="D2167" s="2" t="s">
        <v>6289</v>
      </c>
      <c r="F2167" s="3">
        <v>46007.708333333336</v>
      </c>
      <c r="G2167" s="2">
        <v>50783.0</v>
      </c>
      <c r="H2167" s="2">
        <v>50783.0</v>
      </c>
      <c r="I2167" s="2">
        <v>41363.0</v>
      </c>
      <c r="J2167" s="2">
        <v>179.0</v>
      </c>
      <c r="K2167" s="2">
        <v>174.0</v>
      </c>
      <c r="L2167" s="2">
        <v>2.0</v>
      </c>
      <c r="M2167" s="4">
        <v>4550.0</v>
      </c>
      <c r="N2167" s="2" t="s">
        <v>36</v>
      </c>
      <c r="O2167" s="2">
        <v>71.0</v>
      </c>
      <c r="P2167" s="2" t="s">
        <v>31</v>
      </c>
      <c r="Q2167" s="2" t="s">
        <v>32</v>
      </c>
      <c r="R2167" s="2">
        <v>41.0</v>
      </c>
      <c r="U2167" s="2" t="b">
        <v>1</v>
      </c>
      <c r="V2167" s="5">
        <v>0.0042</v>
      </c>
      <c r="W2167" s="5">
        <v>0.0115</v>
      </c>
      <c r="X2167" s="5">
        <v>4.8E-5</v>
      </c>
      <c r="Y2167" s="2">
        <v>26.14942529</v>
      </c>
      <c r="AA2167" s="2" t="s">
        <v>33</v>
      </c>
    </row>
    <row r="2168">
      <c r="A2168" s="2">
        <v>4104.0</v>
      </c>
      <c r="B2168" s="2" t="s">
        <v>6290</v>
      </c>
      <c r="C2168" s="2" t="s">
        <v>7</v>
      </c>
      <c r="D2168" s="2" t="s">
        <v>6291</v>
      </c>
      <c r="F2168" s="3">
        <v>46007.77916666667</v>
      </c>
      <c r="G2168" s="2">
        <v>7396.0</v>
      </c>
      <c r="H2168" s="2">
        <v>7396.0</v>
      </c>
      <c r="I2168" s="2">
        <v>5722.0</v>
      </c>
      <c r="J2168" s="2">
        <v>46.0</v>
      </c>
      <c r="K2168" s="2">
        <v>46.0</v>
      </c>
      <c r="L2168" s="2">
        <v>0.0</v>
      </c>
      <c r="M2168" s="2">
        <v>0.0</v>
      </c>
      <c r="N2168" s="2" t="s">
        <v>423</v>
      </c>
      <c r="O2168" s="2">
        <v>119.0</v>
      </c>
      <c r="P2168" s="2" t="s">
        <v>189</v>
      </c>
      <c r="Q2168" s="2" t="s">
        <v>1367</v>
      </c>
      <c r="R2168" s="2">
        <v>37.0</v>
      </c>
      <c r="U2168" s="2" t="b">
        <v>0</v>
      </c>
      <c r="V2168" s="5">
        <v>0.008</v>
      </c>
      <c r="W2168" s="5">
        <v>0.0</v>
      </c>
      <c r="X2168" s="5">
        <v>0.0</v>
      </c>
      <c r="Y2168" s="2">
        <v>0.0</v>
      </c>
      <c r="AA2168" s="2" t="s">
        <v>423</v>
      </c>
    </row>
    <row r="2169">
      <c r="A2169" s="2">
        <v>4105.0</v>
      </c>
      <c r="B2169" s="2" t="s">
        <v>6292</v>
      </c>
      <c r="C2169" s="2" t="s">
        <v>7</v>
      </c>
      <c r="D2169" s="2" t="s">
        <v>6293</v>
      </c>
      <c r="F2169" s="3">
        <v>46007.833333333336</v>
      </c>
      <c r="G2169" s="2">
        <v>7378.0</v>
      </c>
      <c r="H2169" s="2">
        <v>7378.0</v>
      </c>
      <c r="I2169" s="2">
        <v>5705.0</v>
      </c>
      <c r="J2169" s="2">
        <v>26.0</v>
      </c>
      <c r="K2169" s="2">
        <v>25.0</v>
      </c>
      <c r="L2169" s="2">
        <v>0.0</v>
      </c>
      <c r="M2169" s="2">
        <v>0.0</v>
      </c>
      <c r="N2169" s="2" t="s">
        <v>423</v>
      </c>
      <c r="O2169" s="2">
        <v>119.0</v>
      </c>
      <c r="P2169" s="2" t="s">
        <v>189</v>
      </c>
      <c r="Q2169" s="2" t="s">
        <v>1367</v>
      </c>
      <c r="R2169" s="2">
        <v>42.0</v>
      </c>
      <c r="U2169" s="2" t="b">
        <v>0</v>
      </c>
      <c r="V2169" s="5">
        <v>0.0044</v>
      </c>
      <c r="W2169" s="5">
        <v>0.0</v>
      </c>
      <c r="X2169" s="5">
        <v>0.0</v>
      </c>
      <c r="Y2169" s="2">
        <v>0.0</v>
      </c>
      <c r="AA2169" s="2" t="s">
        <v>423</v>
      </c>
    </row>
    <row r="2170">
      <c r="A2170" s="2">
        <v>4081.0</v>
      </c>
      <c r="B2170" s="2" t="s">
        <v>6294</v>
      </c>
      <c r="C2170" s="2" t="s">
        <v>7</v>
      </c>
      <c r="D2170" s="2" t="s">
        <v>3333</v>
      </c>
      <c r="F2170" s="3">
        <v>46008.458333333336</v>
      </c>
      <c r="G2170" s="2">
        <v>50853.0</v>
      </c>
      <c r="H2170" s="2">
        <v>50853.0</v>
      </c>
      <c r="I2170" s="2">
        <v>41223.0</v>
      </c>
      <c r="J2170" s="2">
        <v>168.0</v>
      </c>
      <c r="K2170" s="2">
        <v>160.0</v>
      </c>
      <c r="L2170" s="2">
        <v>1.0</v>
      </c>
      <c r="M2170" s="4">
        <v>5180.0</v>
      </c>
      <c r="N2170" s="2" t="s">
        <v>36</v>
      </c>
      <c r="O2170" s="2">
        <v>71.0</v>
      </c>
      <c r="P2170" s="2" t="s">
        <v>189</v>
      </c>
      <c r="Q2170" s="2" t="s">
        <v>32</v>
      </c>
      <c r="R2170" s="2">
        <v>43.0</v>
      </c>
      <c r="U2170" s="2" t="b">
        <v>0</v>
      </c>
      <c r="V2170" s="5">
        <v>0.0039</v>
      </c>
      <c r="W2170" s="5">
        <v>0.0063</v>
      </c>
      <c r="X2170" s="5">
        <v>2.4E-5</v>
      </c>
      <c r="Y2170" s="2">
        <v>32.375</v>
      </c>
      <c r="AA2170" s="2" t="s">
        <v>33</v>
      </c>
    </row>
    <row r="2171">
      <c r="A2171" s="2">
        <v>4080.0</v>
      </c>
      <c r="B2171" s="2" t="s">
        <v>6295</v>
      </c>
      <c r="C2171" s="2" t="s">
        <v>7</v>
      </c>
      <c r="D2171" s="2" t="s">
        <v>3908</v>
      </c>
      <c r="F2171" s="3">
        <v>46008.458333333336</v>
      </c>
      <c r="G2171" s="2">
        <v>70468.0</v>
      </c>
      <c r="H2171" s="2">
        <v>70468.0</v>
      </c>
      <c r="I2171" s="2">
        <v>58165.0</v>
      </c>
      <c r="J2171" s="2">
        <v>214.0</v>
      </c>
      <c r="K2171" s="2">
        <v>204.0</v>
      </c>
      <c r="L2171" s="2">
        <v>1.0</v>
      </c>
      <c r="M2171" s="2">
        <v>899.0</v>
      </c>
      <c r="N2171" s="2" t="s">
        <v>30</v>
      </c>
      <c r="O2171" s="2">
        <v>70.0</v>
      </c>
      <c r="P2171" s="2" t="s">
        <v>31</v>
      </c>
      <c r="Q2171" s="2" t="s">
        <v>32</v>
      </c>
      <c r="R2171" s="2">
        <v>31.0</v>
      </c>
      <c r="U2171" s="2" t="b">
        <v>0</v>
      </c>
      <c r="V2171" s="5">
        <v>0.0035</v>
      </c>
      <c r="W2171" s="5">
        <v>0.0049</v>
      </c>
      <c r="X2171" s="5">
        <v>1.7E-5</v>
      </c>
      <c r="Y2171" s="2">
        <v>4.406862745</v>
      </c>
      <c r="AA2171" s="2" t="s">
        <v>33</v>
      </c>
    </row>
    <row r="2172">
      <c r="A2172" s="2">
        <v>4106.0</v>
      </c>
      <c r="B2172" s="2" t="s">
        <v>6296</v>
      </c>
      <c r="C2172" s="2" t="s">
        <v>7</v>
      </c>
      <c r="D2172" s="2" t="s">
        <v>6297</v>
      </c>
      <c r="F2172" s="3">
        <v>46008.583333333336</v>
      </c>
      <c r="G2172" s="2">
        <v>7402.0</v>
      </c>
      <c r="H2172" s="2">
        <v>7402.0</v>
      </c>
      <c r="I2172" s="2">
        <v>5713.0</v>
      </c>
      <c r="J2172" s="2">
        <v>28.0</v>
      </c>
      <c r="K2172" s="2">
        <v>28.0</v>
      </c>
      <c r="L2172" s="2">
        <v>1.0</v>
      </c>
      <c r="M2172" s="4">
        <v>1998.0</v>
      </c>
      <c r="N2172" s="2" t="s">
        <v>423</v>
      </c>
      <c r="O2172" s="2">
        <v>119.0</v>
      </c>
      <c r="P2172" s="2" t="s">
        <v>31</v>
      </c>
      <c r="Q2172" s="2" t="s">
        <v>1367</v>
      </c>
      <c r="R2172" s="2">
        <v>27.0</v>
      </c>
      <c r="U2172" s="2" t="b">
        <v>0</v>
      </c>
      <c r="V2172" s="5">
        <v>0.0049</v>
      </c>
      <c r="W2172" s="5">
        <v>0.0357</v>
      </c>
      <c r="X2172" s="5">
        <v>1.75E-4</v>
      </c>
      <c r="Y2172" s="2">
        <v>71.35714286</v>
      </c>
      <c r="AA2172" s="2" t="s">
        <v>423</v>
      </c>
    </row>
    <row r="2173">
      <c r="A2173" s="2">
        <v>4083.0</v>
      </c>
      <c r="B2173" s="2" t="s">
        <v>6298</v>
      </c>
      <c r="C2173" s="2" t="s">
        <v>7</v>
      </c>
      <c r="D2173" s="2" t="s">
        <v>6299</v>
      </c>
      <c r="F2173" s="3">
        <v>46008.625</v>
      </c>
      <c r="G2173" s="2">
        <v>50837.0</v>
      </c>
      <c r="H2173" s="2">
        <v>50837.0</v>
      </c>
      <c r="I2173" s="2">
        <v>41535.0</v>
      </c>
      <c r="J2173" s="2">
        <v>171.0</v>
      </c>
      <c r="K2173" s="2">
        <v>162.0</v>
      </c>
      <c r="L2173" s="2">
        <v>2.0</v>
      </c>
      <c r="M2173" s="4">
        <v>1369.0</v>
      </c>
      <c r="N2173" s="2" t="s">
        <v>36</v>
      </c>
      <c r="O2173" s="2">
        <v>71.0</v>
      </c>
      <c r="P2173" s="2" t="s">
        <v>189</v>
      </c>
      <c r="Q2173" s="2" t="s">
        <v>32</v>
      </c>
      <c r="R2173" s="2">
        <v>47.0</v>
      </c>
      <c r="U2173" s="2" t="b">
        <v>0</v>
      </c>
      <c r="V2173" s="5">
        <v>0.0039</v>
      </c>
      <c r="W2173" s="5">
        <v>0.0123</v>
      </c>
      <c r="X2173" s="5">
        <v>4.8E-5</v>
      </c>
      <c r="Y2173" s="2">
        <v>8.450617284</v>
      </c>
      <c r="AA2173" s="2" t="s">
        <v>33</v>
      </c>
    </row>
    <row r="2174">
      <c r="A2174" s="2">
        <v>4082.0</v>
      </c>
      <c r="B2174" s="2" t="s">
        <v>6300</v>
      </c>
      <c r="C2174" s="2" t="s">
        <v>7</v>
      </c>
      <c r="D2174" s="2" t="s">
        <v>6301</v>
      </c>
      <c r="F2174" s="3">
        <v>46008.625</v>
      </c>
      <c r="G2174" s="2">
        <v>70532.0</v>
      </c>
      <c r="H2174" s="2">
        <v>70532.0</v>
      </c>
      <c r="I2174" s="2">
        <v>58467.0</v>
      </c>
      <c r="J2174" s="2">
        <v>208.0</v>
      </c>
      <c r="K2174" s="2">
        <v>199.0</v>
      </c>
      <c r="L2174" s="2">
        <v>3.0</v>
      </c>
      <c r="M2174" s="4">
        <v>8111.0</v>
      </c>
      <c r="N2174" s="2" t="s">
        <v>30</v>
      </c>
      <c r="O2174" s="2">
        <v>70.0</v>
      </c>
      <c r="P2174" s="2" t="s">
        <v>189</v>
      </c>
      <c r="Q2174" s="2" t="s">
        <v>32</v>
      </c>
      <c r="R2174" s="2">
        <v>40.0</v>
      </c>
      <c r="U2174" s="2" t="b">
        <v>0</v>
      </c>
      <c r="V2174" s="5">
        <v>0.0034</v>
      </c>
      <c r="W2174" s="5">
        <v>0.0151</v>
      </c>
      <c r="X2174" s="5">
        <v>5.1E-5</v>
      </c>
      <c r="Y2174" s="2">
        <v>40.75879397</v>
      </c>
      <c r="Z2174" s="2">
        <v>2749.0</v>
      </c>
      <c r="AA2174" s="2" t="s">
        <v>33</v>
      </c>
    </row>
    <row r="2175">
      <c r="A2175" s="2">
        <v>4107.0</v>
      </c>
      <c r="B2175" s="2" t="s">
        <v>6302</v>
      </c>
      <c r="C2175" s="2" t="s">
        <v>7</v>
      </c>
      <c r="D2175" s="2" t="s">
        <v>6303</v>
      </c>
      <c r="F2175" s="3">
        <v>46008.666666666664</v>
      </c>
      <c r="G2175" s="2">
        <v>7396.0</v>
      </c>
      <c r="H2175" s="2">
        <v>7396.0</v>
      </c>
      <c r="I2175" s="2">
        <v>5688.0</v>
      </c>
      <c r="J2175" s="2">
        <v>19.0</v>
      </c>
      <c r="K2175" s="2">
        <v>18.0</v>
      </c>
      <c r="L2175" s="2">
        <v>0.0</v>
      </c>
      <c r="M2175" s="2">
        <v>0.0</v>
      </c>
      <c r="N2175" s="2" t="s">
        <v>423</v>
      </c>
      <c r="O2175" s="2">
        <v>119.0</v>
      </c>
      <c r="P2175" s="2" t="s">
        <v>31</v>
      </c>
      <c r="Q2175" s="2" t="s">
        <v>1367</v>
      </c>
      <c r="R2175" s="2">
        <v>49.0</v>
      </c>
      <c r="U2175" s="2" t="b">
        <v>0</v>
      </c>
      <c r="V2175" s="5">
        <v>0.0032</v>
      </c>
      <c r="W2175" s="5">
        <v>0.0</v>
      </c>
      <c r="X2175" s="5">
        <v>0.0</v>
      </c>
      <c r="Y2175" s="2">
        <v>0.0</v>
      </c>
      <c r="AA2175" s="2" t="s">
        <v>423</v>
      </c>
    </row>
    <row r="2176">
      <c r="A2176" s="2">
        <v>4085.0</v>
      </c>
      <c r="B2176" s="2" t="s">
        <v>6304</v>
      </c>
      <c r="C2176" s="2" t="s">
        <v>7</v>
      </c>
      <c r="D2176" s="2" t="s">
        <v>6305</v>
      </c>
      <c r="F2176" s="3">
        <v>46008.708333333336</v>
      </c>
      <c r="G2176" s="2">
        <v>50788.0</v>
      </c>
      <c r="H2176" s="2">
        <v>50788.0</v>
      </c>
      <c r="I2176" s="2">
        <v>41414.0</v>
      </c>
      <c r="J2176" s="2">
        <v>185.0</v>
      </c>
      <c r="K2176" s="2">
        <v>174.0</v>
      </c>
      <c r="L2176" s="2">
        <v>3.0</v>
      </c>
      <c r="M2176" s="4">
        <v>9999.0</v>
      </c>
      <c r="N2176" s="2" t="s">
        <v>36</v>
      </c>
      <c r="O2176" s="2">
        <v>71.0</v>
      </c>
      <c r="P2176" s="2" t="s">
        <v>31</v>
      </c>
      <c r="Q2176" s="2" t="s">
        <v>32</v>
      </c>
      <c r="R2176" s="2">
        <v>41.0</v>
      </c>
      <c r="U2176" s="2" t="b">
        <v>0</v>
      </c>
      <c r="V2176" s="5">
        <v>0.0042</v>
      </c>
      <c r="W2176" s="5">
        <v>0.0172</v>
      </c>
      <c r="X2176" s="5">
        <v>7.2E-5</v>
      </c>
      <c r="Y2176" s="2">
        <v>57.46551724</v>
      </c>
      <c r="AA2176" s="2" t="s">
        <v>33</v>
      </c>
    </row>
    <row r="2177">
      <c r="A2177" s="2">
        <v>4084.0</v>
      </c>
      <c r="B2177" s="2" t="s">
        <v>6306</v>
      </c>
      <c r="C2177" s="2" t="s">
        <v>7</v>
      </c>
      <c r="D2177" s="2" t="s">
        <v>6307</v>
      </c>
      <c r="F2177" s="3">
        <v>46008.708333333336</v>
      </c>
      <c r="G2177" s="2">
        <v>70509.0</v>
      </c>
      <c r="H2177" s="2">
        <v>70509.0</v>
      </c>
      <c r="I2177" s="2">
        <v>58528.0</v>
      </c>
      <c r="J2177" s="2">
        <v>226.0</v>
      </c>
      <c r="K2177" s="2">
        <v>213.0</v>
      </c>
      <c r="L2177" s="2">
        <v>0.0</v>
      </c>
      <c r="M2177" s="2">
        <v>0.0</v>
      </c>
      <c r="N2177" s="2" t="s">
        <v>30</v>
      </c>
      <c r="O2177" s="2">
        <v>70.0</v>
      </c>
      <c r="P2177" s="2" t="s">
        <v>189</v>
      </c>
      <c r="Q2177" s="2" t="s">
        <v>32</v>
      </c>
      <c r="R2177" s="2">
        <v>42.0</v>
      </c>
      <c r="U2177" s="2" t="b">
        <v>0</v>
      </c>
      <c r="V2177" s="5">
        <v>0.0036</v>
      </c>
      <c r="W2177" s="5">
        <v>0.0</v>
      </c>
      <c r="X2177" s="5">
        <v>0.0</v>
      </c>
      <c r="Y2177" s="2">
        <v>0.0</v>
      </c>
      <c r="Z2177" s="2">
        <v>3934.0</v>
      </c>
      <c r="AA2177" s="2" t="s">
        <v>33</v>
      </c>
    </row>
    <row r="2178">
      <c r="A2178" s="2">
        <v>4108.0</v>
      </c>
      <c r="B2178" s="2" t="s">
        <v>6308</v>
      </c>
      <c r="C2178" s="2" t="s">
        <v>7</v>
      </c>
      <c r="D2178" s="2" t="s">
        <v>6309</v>
      </c>
      <c r="F2178" s="3">
        <v>46008.75</v>
      </c>
      <c r="G2178" s="2">
        <v>7404.0</v>
      </c>
      <c r="H2178" s="2">
        <v>7404.0</v>
      </c>
      <c r="I2178" s="2">
        <v>5670.0</v>
      </c>
      <c r="J2178" s="2">
        <v>24.0</v>
      </c>
      <c r="K2178" s="2">
        <v>23.0</v>
      </c>
      <c r="L2178" s="2">
        <v>0.0</v>
      </c>
      <c r="M2178" s="2">
        <v>0.0</v>
      </c>
      <c r="N2178" s="2" t="s">
        <v>423</v>
      </c>
      <c r="O2178" s="2">
        <v>119.0</v>
      </c>
      <c r="P2178" s="2" t="s">
        <v>31</v>
      </c>
      <c r="Q2178" s="2" t="s">
        <v>1367</v>
      </c>
      <c r="R2178" s="2">
        <v>48.0</v>
      </c>
      <c r="U2178" s="2" t="b">
        <v>0</v>
      </c>
      <c r="V2178" s="5">
        <v>0.0041</v>
      </c>
      <c r="W2178" s="5">
        <v>0.0</v>
      </c>
      <c r="X2178" s="5">
        <v>0.0</v>
      </c>
      <c r="Y2178" s="2">
        <v>0.0</v>
      </c>
      <c r="AA2178" s="2" t="s">
        <v>423</v>
      </c>
    </row>
    <row r="2179">
      <c r="A2179" s="2">
        <v>4086.0</v>
      </c>
      <c r="B2179" s="2" t="s">
        <v>6310</v>
      </c>
      <c r="C2179" s="2" t="s">
        <v>7</v>
      </c>
      <c r="D2179" s="2" t="s">
        <v>6311</v>
      </c>
      <c r="F2179" s="3">
        <v>46009.458333333336</v>
      </c>
      <c r="G2179" s="2">
        <v>70753.0</v>
      </c>
      <c r="H2179" s="2">
        <v>70753.0</v>
      </c>
      <c r="I2179" s="2">
        <v>58524.0</v>
      </c>
      <c r="J2179" s="2">
        <v>203.0</v>
      </c>
      <c r="K2179" s="2">
        <v>193.0</v>
      </c>
      <c r="L2179" s="2">
        <v>3.0</v>
      </c>
      <c r="M2179" s="4">
        <v>10286.0</v>
      </c>
      <c r="N2179" s="2" t="s">
        <v>30</v>
      </c>
      <c r="O2179" s="2">
        <v>70.0</v>
      </c>
      <c r="P2179" s="2" t="s">
        <v>189</v>
      </c>
      <c r="Q2179" s="2" t="s">
        <v>32</v>
      </c>
      <c r="R2179" s="2">
        <v>41.0</v>
      </c>
      <c r="U2179" s="2" t="b">
        <v>0</v>
      </c>
      <c r="V2179" s="5">
        <v>0.0033</v>
      </c>
      <c r="W2179" s="5">
        <v>0.0155</v>
      </c>
      <c r="X2179" s="5">
        <v>5.1E-5</v>
      </c>
      <c r="Y2179" s="2">
        <v>53.29533679</v>
      </c>
      <c r="Z2179" s="2">
        <v>2483.0</v>
      </c>
      <c r="AA2179" s="2" t="s">
        <v>33</v>
      </c>
    </row>
    <row r="2180">
      <c r="A2180" s="2">
        <v>4087.0</v>
      </c>
      <c r="B2180" s="2" t="s">
        <v>6312</v>
      </c>
      <c r="C2180" s="2" t="s">
        <v>7</v>
      </c>
      <c r="D2180" s="2" t="s">
        <v>6313</v>
      </c>
      <c r="F2180" s="3">
        <v>46009.458333333336</v>
      </c>
      <c r="G2180" s="2">
        <v>50786.0</v>
      </c>
      <c r="H2180" s="2">
        <v>50786.0</v>
      </c>
      <c r="I2180" s="2">
        <v>41500.0</v>
      </c>
      <c r="J2180" s="2">
        <v>184.0</v>
      </c>
      <c r="K2180" s="2">
        <v>178.0</v>
      </c>
      <c r="L2180" s="2">
        <v>4.0</v>
      </c>
      <c r="M2180" s="4">
        <v>16178.0</v>
      </c>
      <c r="N2180" s="2" t="s">
        <v>36</v>
      </c>
      <c r="O2180" s="2">
        <v>71.0</v>
      </c>
      <c r="P2180" s="2" t="s">
        <v>31</v>
      </c>
      <c r="Q2180" s="2" t="s">
        <v>32</v>
      </c>
      <c r="R2180" s="2">
        <v>41.0</v>
      </c>
      <c r="U2180" s="2" t="b">
        <v>1</v>
      </c>
      <c r="V2180" s="5">
        <v>0.0043</v>
      </c>
      <c r="W2180" s="5">
        <v>0.0225</v>
      </c>
      <c r="X2180" s="5">
        <v>9.6E-5</v>
      </c>
      <c r="Y2180" s="2">
        <v>90.88764045</v>
      </c>
      <c r="AA2180" s="2" t="s">
        <v>33</v>
      </c>
    </row>
    <row r="2181">
      <c r="A2181" s="2">
        <v>4115.0</v>
      </c>
      <c r="B2181" s="2" t="s">
        <v>6314</v>
      </c>
      <c r="C2181" s="2" t="s">
        <v>7</v>
      </c>
      <c r="D2181" s="2" t="s">
        <v>6315</v>
      </c>
      <c r="F2181" s="3">
        <v>46009.623611111114</v>
      </c>
      <c r="G2181" s="2">
        <v>7426.0</v>
      </c>
      <c r="H2181" s="2">
        <v>7426.0</v>
      </c>
      <c r="I2181" s="2">
        <v>5736.0</v>
      </c>
      <c r="J2181" s="2">
        <v>32.0</v>
      </c>
      <c r="K2181" s="2">
        <v>30.0</v>
      </c>
      <c r="L2181" s="2">
        <v>0.0</v>
      </c>
      <c r="M2181" s="2">
        <v>0.0</v>
      </c>
      <c r="N2181" s="2" t="s">
        <v>423</v>
      </c>
      <c r="O2181" s="2">
        <v>119.0</v>
      </c>
      <c r="P2181" s="2" t="s">
        <v>189</v>
      </c>
      <c r="Q2181" s="2" t="s">
        <v>1367</v>
      </c>
      <c r="R2181" s="2">
        <v>41.0</v>
      </c>
      <c r="U2181" s="2" t="b">
        <v>0</v>
      </c>
      <c r="V2181" s="5">
        <v>0.0052</v>
      </c>
      <c r="W2181" s="5">
        <v>0.0</v>
      </c>
      <c r="X2181" s="5">
        <v>0.0</v>
      </c>
      <c r="Y2181" s="2">
        <v>0.0</v>
      </c>
      <c r="AA2181" s="2" t="s">
        <v>423</v>
      </c>
    </row>
    <row r="2182">
      <c r="A2182" s="2">
        <v>4088.0</v>
      </c>
      <c r="B2182" s="2" t="s">
        <v>6316</v>
      </c>
      <c r="C2182" s="2" t="s">
        <v>7</v>
      </c>
      <c r="D2182" s="2" t="s">
        <v>6317</v>
      </c>
      <c r="F2182" s="3">
        <v>46009.625</v>
      </c>
      <c r="G2182" s="2">
        <v>70789.0</v>
      </c>
      <c r="H2182" s="2">
        <v>70789.0</v>
      </c>
      <c r="I2182" s="2">
        <v>58860.0</v>
      </c>
      <c r="J2182" s="2">
        <v>201.0</v>
      </c>
      <c r="K2182" s="2">
        <v>188.0</v>
      </c>
      <c r="L2182" s="2">
        <v>5.0</v>
      </c>
      <c r="M2182" s="4">
        <v>12996.0</v>
      </c>
      <c r="N2182" s="2" t="s">
        <v>30</v>
      </c>
      <c r="O2182" s="2">
        <v>70.0</v>
      </c>
      <c r="P2182" s="2" t="s">
        <v>31</v>
      </c>
      <c r="Q2182" s="2" t="s">
        <v>32</v>
      </c>
      <c r="R2182" s="2">
        <v>34.0</v>
      </c>
      <c r="U2182" s="2" t="b">
        <v>0</v>
      </c>
      <c r="V2182" s="5">
        <v>0.0032</v>
      </c>
      <c r="W2182" s="5">
        <v>0.0266</v>
      </c>
      <c r="X2182" s="5">
        <v>8.5E-5</v>
      </c>
      <c r="Y2182" s="2">
        <v>69.12765957</v>
      </c>
      <c r="Z2182" s="2">
        <v>3538.0</v>
      </c>
      <c r="AA2182" s="2" t="s">
        <v>33</v>
      </c>
    </row>
    <row r="2183">
      <c r="A2183" s="2">
        <v>4089.0</v>
      </c>
      <c r="B2183" s="2" t="s">
        <v>6318</v>
      </c>
      <c r="C2183" s="2" t="s">
        <v>7</v>
      </c>
      <c r="D2183" s="2" t="s">
        <v>6319</v>
      </c>
      <c r="F2183" s="3">
        <v>46009.625</v>
      </c>
      <c r="G2183" s="2">
        <v>50830.0</v>
      </c>
      <c r="H2183" s="2">
        <v>50830.0</v>
      </c>
      <c r="I2183" s="2">
        <v>41602.0</v>
      </c>
      <c r="J2183" s="2">
        <v>163.0</v>
      </c>
      <c r="K2183" s="2">
        <v>150.0</v>
      </c>
      <c r="L2183" s="2">
        <v>0.0</v>
      </c>
      <c r="M2183" s="2">
        <v>0.0</v>
      </c>
      <c r="N2183" s="2" t="s">
        <v>36</v>
      </c>
      <c r="O2183" s="2">
        <v>71.0</v>
      </c>
      <c r="P2183" s="2" t="s">
        <v>31</v>
      </c>
      <c r="Q2183" s="2" t="s">
        <v>32</v>
      </c>
      <c r="R2183" s="2">
        <v>38.0</v>
      </c>
      <c r="U2183" s="2" t="b">
        <v>0</v>
      </c>
      <c r="V2183" s="5">
        <v>0.0036</v>
      </c>
      <c r="W2183" s="5">
        <v>0.0</v>
      </c>
      <c r="X2183" s="5">
        <v>0.0</v>
      </c>
      <c r="Y2183" s="2">
        <v>0.0</v>
      </c>
      <c r="AA2183" s="2" t="s">
        <v>33</v>
      </c>
    </row>
    <row r="2184">
      <c r="A2184" s="2">
        <v>4116.0</v>
      </c>
      <c r="B2184" s="2" t="s">
        <v>6320</v>
      </c>
      <c r="C2184" s="2" t="s">
        <v>7</v>
      </c>
      <c r="D2184" s="2" t="s">
        <v>6321</v>
      </c>
      <c r="F2184" s="3">
        <v>46009.666666666664</v>
      </c>
      <c r="G2184" s="2">
        <v>7405.0</v>
      </c>
      <c r="H2184" s="2">
        <v>7405.0</v>
      </c>
      <c r="I2184" s="2">
        <v>5737.0</v>
      </c>
      <c r="J2184" s="2">
        <v>33.0</v>
      </c>
      <c r="K2184" s="2">
        <v>32.0</v>
      </c>
      <c r="L2184" s="2">
        <v>0.0</v>
      </c>
      <c r="M2184" s="2">
        <v>0.0</v>
      </c>
      <c r="N2184" s="2" t="s">
        <v>423</v>
      </c>
      <c r="O2184" s="2">
        <v>119.0</v>
      </c>
      <c r="P2184" s="2" t="s">
        <v>189</v>
      </c>
      <c r="Q2184" s="2" t="s">
        <v>1367</v>
      </c>
      <c r="R2184" s="2">
        <v>34.0</v>
      </c>
      <c r="U2184" s="2" t="b">
        <v>0</v>
      </c>
      <c r="V2184" s="5">
        <v>0.0056</v>
      </c>
      <c r="W2184" s="5">
        <v>0.0</v>
      </c>
      <c r="X2184" s="5">
        <v>0.0</v>
      </c>
      <c r="Y2184" s="2">
        <v>0.0</v>
      </c>
      <c r="AA2184" s="2" t="s">
        <v>423</v>
      </c>
    </row>
    <row r="2185">
      <c r="A2185" s="2">
        <v>4090.0</v>
      </c>
      <c r="B2185" s="2" t="s">
        <v>6322</v>
      </c>
      <c r="C2185" s="2" t="s">
        <v>7</v>
      </c>
      <c r="D2185" s="2" t="s">
        <v>6323</v>
      </c>
      <c r="F2185" s="3">
        <v>46009.708333333336</v>
      </c>
      <c r="G2185" s="2">
        <v>70801.0</v>
      </c>
      <c r="H2185" s="2">
        <v>70801.0</v>
      </c>
      <c r="I2185" s="2">
        <v>58706.0</v>
      </c>
      <c r="J2185" s="2">
        <v>198.0</v>
      </c>
      <c r="K2185" s="2">
        <v>191.0</v>
      </c>
      <c r="L2185" s="2">
        <v>2.0</v>
      </c>
      <c r="M2185" s="4">
        <v>6162.0</v>
      </c>
      <c r="N2185" s="2" t="s">
        <v>30</v>
      </c>
      <c r="O2185" s="2">
        <v>70.0</v>
      </c>
      <c r="P2185" s="2" t="s">
        <v>31</v>
      </c>
      <c r="Q2185" s="2" t="s">
        <v>32</v>
      </c>
      <c r="R2185" s="2">
        <v>47.0</v>
      </c>
      <c r="U2185" s="2" t="b">
        <v>0</v>
      </c>
      <c r="V2185" s="5">
        <v>0.0033</v>
      </c>
      <c r="W2185" s="5">
        <v>0.0105</v>
      </c>
      <c r="X2185" s="5">
        <v>3.4E-5</v>
      </c>
      <c r="Y2185" s="2">
        <v>32.2617801</v>
      </c>
      <c r="Z2185" s="2">
        <v>5990.0</v>
      </c>
      <c r="AA2185" s="2" t="s">
        <v>33</v>
      </c>
    </row>
    <row r="2186">
      <c r="A2186" s="2">
        <v>4091.0</v>
      </c>
      <c r="B2186" s="2" t="s">
        <v>6324</v>
      </c>
      <c r="C2186" s="2" t="s">
        <v>7</v>
      </c>
      <c r="D2186" s="2" t="s">
        <v>6325</v>
      </c>
      <c r="F2186" s="3">
        <v>46009.708333333336</v>
      </c>
      <c r="G2186" s="2">
        <v>50832.0</v>
      </c>
      <c r="H2186" s="2">
        <v>50832.0</v>
      </c>
      <c r="I2186" s="2">
        <v>41500.0</v>
      </c>
      <c r="J2186" s="2">
        <v>187.0</v>
      </c>
      <c r="K2186" s="2">
        <v>178.0</v>
      </c>
      <c r="L2186" s="2">
        <v>2.0</v>
      </c>
      <c r="M2186" s="4">
        <v>3290.0</v>
      </c>
      <c r="N2186" s="2" t="s">
        <v>36</v>
      </c>
      <c r="O2186" s="2">
        <v>71.0</v>
      </c>
      <c r="P2186" s="2" t="s">
        <v>31</v>
      </c>
      <c r="Q2186" s="2" t="s">
        <v>32</v>
      </c>
      <c r="R2186" s="2">
        <v>50.0</v>
      </c>
      <c r="U2186" s="2" t="b">
        <v>0</v>
      </c>
      <c r="V2186" s="5">
        <v>0.0043</v>
      </c>
      <c r="W2186" s="5">
        <v>0.0112</v>
      </c>
      <c r="X2186" s="5">
        <v>4.8E-5</v>
      </c>
      <c r="Y2186" s="2">
        <v>18.48314607</v>
      </c>
      <c r="AA2186" s="2" t="s">
        <v>33</v>
      </c>
    </row>
    <row r="2187">
      <c r="A2187" s="2">
        <v>4117.0</v>
      </c>
      <c r="B2187" s="2" t="s">
        <v>6326</v>
      </c>
      <c r="C2187" s="2" t="s">
        <v>7</v>
      </c>
      <c r="D2187" s="2" t="s">
        <v>6327</v>
      </c>
      <c r="F2187" s="3">
        <v>46009.75</v>
      </c>
      <c r="G2187" s="2">
        <v>7412.0</v>
      </c>
      <c r="H2187" s="2">
        <v>7412.0</v>
      </c>
      <c r="I2187" s="2">
        <v>5719.0</v>
      </c>
      <c r="J2187" s="2">
        <v>28.0</v>
      </c>
      <c r="K2187" s="2">
        <v>26.0</v>
      </c>
      <c r="L2187" s="2">
        <v>0.0</v>
      </c>
      <c r="M2187" s="2">
        <v>0.0</v>
      </c>
      <c r="N2187" s="2" t="s">
        <v>423</v>
      </c>
      <c r="O2187" s="2">
        <v>119.0</v>
      </c>
      <c r="P2187" s="2" t="s">
        <v>189</v>
      </c>
      <c r="Q2187" s="2" t="s">
        <v>1367</v>
      </c>
      <c r="R2187" s="2">
        <v>40.0</v>
      </c>
      <c r="U2187" s="2" t="b">
        <v>0</v>
      </c>
      <c r="V2187" s="5">
        <v>0.0045</v>
      </c>
      <c r="W2187" s="5">
        <v>0.0</v>
      </c>
      <c r="X2187" s="5">
        <v>0.0</v>
      </c>
      <c r="Y2187" s="2">
        <v>0.0</v>
      </c>
      <c r="AA2187" s="2" t="s">
        <v>423</v>
      </c>
    </row>
    <row r="2188">
      <c r="A2188" s="2">
        <v>4093.0</v>
      </c>
      <c r="B2188" s="2" t="s">
        <v>6328</v>
      </c>
      <c r="C2188" s="2" t="s">
        <v>7</v>
      </c>
      <c r="D2188" s="2" t="s">
        <v>6329</v>
      </c>
      <c r="F2188" s="3">
        <v>46010.458333333336</v>
      </c>
      <c r="G2188" s="2">
        <v>50915.0</v>
      </c>
      <c r="H2188" s="2">
        <v>50915.0</v>
      </c>
      <c r="I2188" s="2">
        <v>41346.0</v>
      </c>
      <c r="J2188" s="2">
        <v>142.0</v>
      </c>
      <c r="K2188" s="2">
        <v>139.0</v>
      </c>
      <c r="L2188" s="2">
        <v>0.0</v>
      </c>
      <c r="M2188" s="2">
        <v>0.0</v>
      </c>
      <c r="N2188" s="2" t="s">
        <v>36</v>
      </c>
      <c r="O2188" s="2">
        <v>71.0</v>
      </c>
      <c r="P2188" s="2" t="s">
        <v>189</v>
      </c>
      <c r="Q2188" s="2" t="s">
        <v>32</v>
      </c>
      <c r="R2188" s="2">
        <v>39.0</v>
      </c>
      <c r="U2188" s="2" t="b">
        <v>1</v>
      </c>
      <c r="V2188" s="5">
        <v>0.0034</v>
      </c>
      <c r="W2188" s="5">
        <v>0.0</v>
      </c>
      <c r="X2188" s="5">
        <v>0.0</v>
      </c>
      <c r="Y2188" s="2">
        <v>0.0</v>
      </c>
      <c r="AA2188" s="2" t="s">
        <v>33</v>
      </c>
    </row>
    <row r="2189">
      <c r="A2189" s="2">
        <v>4092.0</v>
      </c>
      <c r="B2189" s="2" t="s">
        <v>6330</v>
      </c>
      <c r="C2189" s="2" t="s">
        <v>7</v>
      </c>
      <c r="D2189" s="2" t="s">
        <v>6331</v>
      </c>
      <c r="F2189" s="3">
        <v>46010.458333333336</v>
      </c>
      <c r="G2189" s="2">
        <v>71084.0</v>
      </c>
      <c r="H2189" s="2">
        <v>71084.0</v>
      </c>
      <c r="I2189" s="2">
        <v>58554.0</v>
      </c>
      <c r="J2189" s="2">
        <v>209.0</v>
      </c>
      <c r="K2189" s="2">
        <v>201.0</v>
      </c>
      <c r="L2189" s="2">
        <v>0.0</v>
      </c>
      <c r="M2189" s="2">
        <v>0.0</v>
      </c>
      <c r="N2189" s="2" t="s">
        <v>30</v>
      </c>
      <c r="O2189" s="2">
        <v>70.0</v>
      </c>
      <c r="P2189" s="2" t="s">
        <v>189</v>
      </c>
      <c r="Q2189" s="2" t="s">
        <v>32</v>
      </c>
      <c r="R2189" s="2">
        <v>35.0</v>
      </c>
      <c r="U2189" s="2" t="b">
        <v>0</v>
      </c>
      <c r="V2189" s="5">
        <v>0.0034</v>
      </c>
      <c r="W2189" s="5">
        <v>0.0</v>
      </c>
      <c r="X2189" s="5">
        <v>0.0</v>
      </c>
      <c r="Y2189" s="2">
        <v>0.0</v>
      </c>
      <c r="Z2189" s="2" t="s">
        <v>3110</v>
      </c>
      <c r="AA2189" s="2" t="s">
        <v>33</v>
      </c>
    </row>
    <row r="2190">
      <c r="A2190" s="2">
        <v>4118.0</v>
      </c>
      <c r="B2190" s="2" t="s">
        <v>6332</v>
      </c>
      <c r="C2190" s="2" t="s">
        <v>7</v>
      </c>
      <c r="D2190" s="2" t="s">
        <v>6333</v>
      </c>
      <c r="F2190" s="3">
        <v>46010.583333333336</v>
      </c>
      <c r="G2190" s="2">
        <v>7413.0</v>
      </c>
      <c r="H2190" s="2">
        <v>7413.0</v>
      </c>
      <c r="I2190" s="2">
        <v>5738.0</v>
      </c>
      <c r="J2190" s="2">
        <v>28.0</v>
      </c>
      <c r="K2190" s="2">
        <v>26.0</v>
      </c>
      <c r="L2190" s="2">
        <v>1.0</v>
      </c>
      <c r="M2190" s="4">
        <v>1580.0</v>
      </c>
      <c r="N2190" s="2" t="s">
        <v>423</v>
      </c>
      <c r="O2190" s="2">
        <v>119.0</v>
      </c>
      <c r="P2190" s="2" t="s">
        <v>189</v>
      </c>
      <c r="Q2190" s="2" t="s">
        <v>1367</v>
      </c>
      <c r="R2190" s="2">
        <v>41.0</v>
      </c>
      <c r="U2190" s="2" t="b">
        <v>0</v>
      </c>
      <c r="V2190" s="5">
        <v>0.0045</v>
      </c>
      <c r="W2190" s="5">
        <v>0.0385</v>
      </c>
      <c r="X2190" s="5">
        <v>1.74E-4</v>
      </c>
      <c r="Y2190" s="2">
        <v>60.76923077</v>
      </c>
      <c r="AA2190" s="2" t="s">
        <v>423</v>
      </c>
    </row>
    <row r="2191">
      <c r="A2191" s="2">
        <v>4095.0</v>
      </c>
      <c r="B2191" s="2" t="s">
        <v>6334</v>
      </c>
      <c r="C2191" s="2" t="s">
        <v>7</v>
      </c>
      <c r="D2191" s="2" t="s">
        <v>6335</v>
      </c>
      <c r="F2191" s="3">
        <v>46010.625</v>
      </c>
      <c r="G2191" s="2">
        <v>50887.0</v>
      </c>
      <c r="H2191" s="2">
        <v>50887.0</v>
      </c>
      <c r="I2191" s="2">
        <v>41605.0</v>
      </c>
      <c r="J2191" s="2">
        <v>177.0</v>
      </c>
      <c r="K2191" s="2">
        <v>163.0</v>
      </c>
      <c r="L2191" s="2">
        <v>2.0</v>
      </c>
      <c r="M2191" s="4">
        <v>6800.0</v>
      </c>
      <c r="N2191" s="2" t="s">
        <v>36</v>
      </c>
      <c r="O2191" s="2">
        <v>71.0</v>
      </c>
      <c r="P2191" s="2" t="s">
        <v>189</v>
      </c>
      <c r="Q2191" s="2" t="s">
        <v>32</v>
      </c>
      <c r="R2191" s="2">
        <v>47.0</v>
      </c>
      <c r="U2191" s="2" t="b">
        <v>0</v>
      </c>
      <c r="V2191" s="5">
        <v>0.0039</v>
      </c>
      <c r="W2191" s="5">
        <v>0.0123</v>
      </c>
      <c r="X2191" s="5">
        <v>4.8E-5</v>
      </c>
      <c r="Y2191" s="2">
        <v>41.71779141</v>
      </c>
      <c r="AA2191" s="2" t="s">
        <v>33</v>
      </c>
    </row>
    <row r="2192">
      <c r="A2192" s="2">
        <v>4094.0</v>
      </c>
      <c r="B2192" s="2" t="s">
        <v>6336</v>
      </c>
      <c r="C2192" s="2" t="s">
        <v>7</v>
      </c>
      <c r="D2192" s="2" t="s">
        <v>6337</v>
      </c>
      <c r="F2192" s="3">
        <v>46010.625</v>
      </c>
      <c r="G2192" s="2">
        <v>71033.0</v>
      </c>
      <c r="H2192" s="2">
        <v>71033.0</v>
      </c>
      <c r="I2192" s="2">
        <v>59006.0</v>
      </c>
      <c r="J2192" s="2">
        <v>190.0</v>
      </c>
      <c r="K2192" s="2">
        <v>179.0</v>
      </c>
      <c r="L2192" s="2">
        <v>6.0</v>
      </c>
      <c r="M2192" s="4">
        <v>14653.0</v>
      </c>
      <c r="N2192" s="2" t="s">
        <v>30</v>
      </c>
      <c r="O2192" s="2">
        <v>70.0</v>
      </c>
      <c r="P2192" s="2" t="s">
        <v>189</v>
      </c>
      <c r="Q2192" s="2" t="s">
        <v>32</v>
      </c>
      <c r="R2192" s="2">
        <v>40.0</v>
      </c>
      <c r="U2192" s="2" t="b">
        <v>0</v>
      </c>
      <c r="V2192" s="5">
        <v>0.003</v>
      </c>
      <c r="W2192" s="5">
        <v>0.0335</v>
      </c>
      <c r="X2192" s="5">
        <v>1.02E-4</v>
      </c>
      <c r="Y2192" s="2">
        <v>81.8603352</v>
      </c>
      <c r="Z2192" s="2">
        <v>2294.0</v>
      </c>
      <c r="AA2192" s="2" t="s">
        <v>33</v>
      </c>
    </row>
    <row r="2193">
      <c r="A2193" s="2">
        <v>4119.0</v>
      </c>
      <c r="B2193" s="2" t="s">
        <v>6338</v>
      </c>
      <c r="C2193" s="2" t="s">
        <v>7</v>
      </c>
      <c r="D2193" s="2" t="s">
        <v>6339</v>
      </c>
      <c r="F2193" s="3">
        <v>46010.666666666664</v>
      </c>
      <c r="G2193" s="2">
        <v>7418.0</v>
      </c>
      <c r="H2193" s="2">
        <v>7418.0</v>
      </c>
      <c r="I2193" s="2">
        <v>5731.0</v>
      </c>
      <c r="J2193" s="2">
        <v>34.0</v>
      </c>
      <c r="K2193" s="2">
        <v>34.0</v>
      </c>
      <c r="L2193" s="2">
        <v>1.0</v>
      </c>
      <c r="M2193" s="2">
        <v>213.0</v>
      </c>
      <c r="N2193" s="2" t="s">
        <v>423</v>
      </c>
      <c r="O2193" s="2">
        <v>119.0</v>
      </c>
      <c r="P2193" s="2" t="s">
        <v>189</v>
      </c>
      <c r="Q2193" s="2" t="s">
        <v>1367</v>
      </c>
      <c r="R2193" s="2">
        <v>36.0</v>
      </c>
      <c r="U2193" s="2" t="b">
        <v>0</v>
      </c>
      <c r="V2193" s="5">
        <v>0.0059</v>
      </c>
      <c r="W2193" s="5">
        <v>0.0294</v>
      </c>
      <c r="X2193" s="5">
        <v>1.74E-4</v>
      </c>
      <c r="Y2193" s="2">
        <v>6.264705882</v>
      </c>
      <c r="AA2193" s="2" t="s">
        <v>423</v>
      </c>
    </row>
    <row r="2194">
      <c r="A2194" s="2">
        <v>4097.0</v>
      </c>
      <c r="B2194" s="2" t="s">
        <v>6340</v>
      </c>
      <c r="C2194" s="2" t="s">
        <v>7</v>
      </c>
      <c r="D2194" s="2" t="s">
        <v>6341</v>
      </c>
      <c r="F2194" s="3">
        <v>46010.708333333336</v>
      </c>
      <c r="G2194" s="2">
        <v>50846.0</v>
      </c>
      <c r="H2194" s="2">
        <v>50846.0</v>
      </c>
      <c r="I2194" s="2">
        <v>41279.0</v>
      </c>
      <c r="J2194" s="2">
        <v>167.0</v>
      </c>
      <c r="K2194" s="2">
        <v>159.0</v>
      </c>
      <c r="L2194" s="2">
        <v>2.0</v>
      </c>
      <c r="M2194" s="4">
        <v>5135.0</v>
      </c>
      <c r="N2194" s="2" t="s">
        <v>36</v>
      </c>
      <c r="O2194" s="2">
        <v>71.0</v>
      </c>
      <c r="P2194" s="2" t="s">
        <v>189</v>
      </c>
      <c r="Q2194" s="2" t="s">
        <v>32</v>
      </c>
      <c r="R2194" s="2">
        <v>41.0</v>
      </c>
      <c r="U2194" s="2" t="b">
        <v>0</v>
      </c>
      <c r="V2194" s="5">
        <v>0.0039</v>
      </c>
      <c r="W2194" s="5">
        <v>0.0126</v>
      </c>
      <c r="X2194" s="5">
        <v>4.8E-5</v>
      </c>
      <c r="Y2194" s="2">
        <v>32.29559748</v>
      </c>
      <c r="AA2194" s="2" t="s">
        <v>33</v>
      </c>
    </row>
    <row r="2195">
      <c r="A2195" s="2">
        <v>4096.0</v>
      </c>
      <c r="B2195" s="2" t="s">
        <v>6342</v>
      </c>
      <c r="C2195" s="2" t="s">
        <v>7</v>
      </c>
      <c r="D2195" s="2" t="s">
        <v>6343</v>
      </c>
      <c r="F2195" s="3">
        <v>46010.708333333336</v>
      </c>
      <c r="G2195" s="2">
        <v>70987.0</v>
      </c>
      <c r="H2195" s="2">
        <v>70987.0</v>
      </c>
      <c r="I2195" s="2">
        <v>58782.0</v>
      </c>
      <c r="J2195" s="2">
        <v>306.0</v>
      </c>
      <c r="K2195" s="2">
        <v>293.0</v>
      </c>
      <c r="L2195" s="2">
        <v>3.0</v>
      </c>
      <c r="M2195" s="4">
        <v>14381.0</v>
      </c>
      <c r="N2195" s="2" t="s">
        <v>30</v>
      </c>
      <c r="O2195" s="2">
        <v>70.0</v>
      </c>
      <c r="P2195" s="2" t="s">
        <v>189</v>
      </c>
      <c r="Q2195" s="2" t="s">
        <v>32</v>
      </c>
      <c r="R2195" s="2">
        <v>37.0</v>
      </c>
      <c r="U2195" s="2" t="b">
        <v>0</v>
      </c>
      <c r="V2195" s="5">
        <v>0.005</v>
      </c>
      <c r="W2195" s="5">
        <v>0.0102</v>
      </c>
      <c r="X2195" s="5">
        <v>5.1E-5</v>
      </c>
      <c r="Y2195" s="2">
        <v>49.08191126</v>
      </c>
      <c r="Z2195" s="2">
        <v>3596.0</v>
      </c>
      <c r="AA2195" s="2" t="s">
        <v>33</v>
      </c>
    </row>
    <row r="2196">
      <c r="A2196" s="2">
        <v>4120.0</v>
      </c>
      <c r="B2196" s="2" t="s">
        <v>6344</v>
      </c>
      <c r="C2196" s="2" t="s">
        <v>7</v>
      </c>
      <c r="D2196" s="2" t="s">
        <v>6345</v>
      </c>
      <c r="F2196" s="3">
        <v>46010.75</v>
      </c>
      <c r="G2196" s="2">
        <v>7423.0</v>
      </c>
      <c r="H2196" s="2">
        <v>7423.0</v>
      </c>
      <c r="I2196" s="2">
        <v>5716.0</v>
      </c>
      <c r="J2196" s="2">
        <v>29.0</v>
      </c>
      <c r="K2196" s="2">
        <v>29.0</v>
      </c>
      <c r="L2196" s="2">
        <v>0.0</v>
      </c>
      <c r="M2196" s="2">
        <v>0.0</v>
      </c>
      <c r="N2196" s="2" t="s">
        <v>423</v>
      </c>
      <c r="O2196" s="2">
        <v>119.0</v>
      </c>
      <c r="P2196" s="2" t="s">
        <v>189</v>
      </c>
      <c r="Q2196" s="2" t="s">
        <v>1367</v>
      </c>
      <c r="R2196" s="2">
        <v>41.0</v>
      </c>
      <c r="U2196" s="2" t="b">
        <v>0</v>
      </c>
      <c r="V2196" s="5">
        <v>0.0051</v>
      </c>
      <c r="W2196" s="5">
        <v>0.0</v>
      </c>
      <c r="X2196" s="5">
        <v>0.0</v>
      </c>
      <c r="Y2196" s="2">
        <v>0.0</v>
      </c>
      <c r="AA2196" s="2" t="s">
        <v>423</v>
      </c>
    </row>
    <row r="2197">
      <c r="A2197" s="2">
        <v>4099.0</v>
      </c>
      <c r="B2197" s="2" t="s">
        <v>6346</v>
      </c>
      <c r="C2197" s="2" t="s">
        <v>7</v>
      </c>
      <c r="D2197" s="2" t="s">
        <v>6347</v>
      </c>
      <c r="F2197" s="3">
        <v>46011.458333333336</v>
      </c>
      <c r="G2197" s="2">
        <v>50876.0</v>
      </c>
      <c r="H2197" s="2">
        <v>50876.0</v>
      </c>
      <c r="I2197" s="2">
        <v>41210.0</v>
      </c>
      <c r="J2197" s="2">
        <v>161.0</v>
      </c>
      <c r="K2197" s="2">
        <v>156.0</v>
      </c>
      <c r="L2197" s="2">
        <v>0.0</v>
      </c>
      <c r="M2197" s="2">
        <v>0.0</v>
      </c>
      <c r="N2197" s="2" t="s">
        <v>36</v>
      </c>
      <c r="O2197" s="2">
        <v>71.0</v>
      </c>
      <c r="P2197" s="2" t="s">
        <v>189</v>
      </c>
      <c r="Q2197" s="2" t="s">
        <v>32</v>
      </c>
      <c r="R2197" s="2">
        <v>65.0</v>
      </c>
      <c r="U2197" s="2" t="b">
        <v>0</v>
      </c>
      <c r="V2197" s="5">
        <v>0.0038</v>
      </c>
      <c r="W2197" s="5">
        <v>0.0</v>
      </c>
      <c r="X2197" s="5">
        <v>0.0</v>
      </c>
      <c r="Y2197" s="2">
        <v>0.0</v>
      </c>
      <c r="AA2197" s="2" t="s">
        <v>33</v>
      </c>
    </row>
    <row r="2198">
      <c r="A2198" s="2">
        <v>4098.0</v>
      </c>
      <c r="B2198" s="2" t="s">
        <v>6348</v>
      </c>
      <c r="C2198" s="2" t="s">
        <v>7</v>
      </c>
      <c r="D2198" s="2" t="s">
        <v>6349</v>
      </c>
      <c r="F2198" s="3">
        <v>46011.458333333336</v>
      </c>
      <c r="G2198" s="2">
        <v>71246.0</v>
      </c>
      <c r="H2198" s="2">
        <v>71246.0</v>
      </c>
      <c r="I2198" s="2">
        <v>58805.0</v>
      </c>
      <c r="J2198" s="2">
        <v>193.0</v>
      </c>
      <c r="K2198" s="2">
        <v>181.0</v>
      </c>
      <c r="L2198" s="2">
        <v>3.0</v>
      </c>
      <c r="M2198" s="4">
        <v>7796.0</v>
      </c>
      <c r="N2198" s="2" t="s">
        <v>30</v>
      </c>
      <c r="O2198" s="2">
        <v>70.0</v>
      </c>
      <c r="P2198" s="2" t="s">
        <v>31</v>
      </c>
      <c r="Q2198" s="2" t="s">
        <v>32</v>
      </c>
      <c r="R2198" s="2">
        <v>42.0</v>
      </c>
      <c r="U2198" s="2" t="b">
        <v>0</v>
      </c>
      <c r="V2198" s="5">
        <v>0.0031</v>
      </c>
      <c r="W2198" s="5">
        <v>0.0166</v>
      </c>
      <c r="X2198" s="5">
        <v>5.1E-5</v>
      </c>
      <c r="Y2198" s="2">
        <v>43.0718232</v>
      </c>
      <c r="AA2198" s="2" t="s">
        <v>33</v>
      </c>
    </row>
    <row r="2199">
      <c r="A2199" s="2">
        <v>4121.0</v>
      </c>
      <c r="B2199" s="2" t="s">
        <v>6350</v>
      </c>
      <c r="C2199" s="2" t="s">
        <v>7</v>
      </c>
      <c r="D2199" s="2" t="s">
        <v>6351</v>
      </c>
      <c r="F2199" s="3">
        <v>46011.583333333336</v>
      </c>
      <c r="G2199" s="2">
        <v>7429.0</v>
      </c>
      <c r="H2199" s="2">
        <v>7429.0</v>
      </c>
      <c r="I2199" s="2">
        <v>5745.0</v>
      </c>
      <c r="J2199" s="2">
        <v>24.0</v>
      </c>
      <c r="K2199" s="2">
        <v>24.0</v>
      </c>
      <c r="L2199" s="2">
        <v>0.0</v>
      </c>
      <c r="M2199" s="2">
        <v>0.0</v>
      </c>
      <c r="N2199" s="2" t="s">
        <v>423</v>
      </c>
      <c r="O2199" s="2">
        <v>119.0</v>
      </c>
      <c r="P2199" s="2" t="s">
        <v>189</v>
      </c>
      <c r="Q2199" s="2" t="s">
        <v>1367</v>
      </c>
      <c r="R2199" s="2">
        <v>49.0</v>
      </c>
      <c r="U2199" s="2" t="b">
        <v>0</v>
      </c>
      <c r="V2199" s="5">
        <v>0.0042</v>
      </c>
      <c r="W2199" s="5">
        <v>0.0</v>
      </c>
      <c r="X2199" s="5">
        <v>0.0</v>
      </c>
      <c r="Y2199" s="2">
        <v>0.0</v>
      </c>
      <c r="AA2199" s="2" t="s">
        <v>423</v>
      </c>
    </row>
    <row r="2200">
      <c r="A2200" s="2">
        <v>4101.0</v>
      </c>
      <c r="B2200" s="2" t="s">
        <v>6352</v>
      </c>
      <c r="C2200" s="2" t="s">
        <v>7</v>
      </c>
      <c r="D2200" s="2" t="s">
        <v>6353</v>
      </c>
      <c r="F2200" s="3">
        <v>46011.625</v>
      </c>
      <c r="G2200" s="2">
        <v>50890.0</v>
      </c>
      <c r="H2200" s="2">
        <v>50890.0</v>
      </c>
      <c r="I2200" s="2">
        <v>41434.0</v>
      </c>
      <c r="J2200" s="2">
        <v>194.0</v>
      </c>
      <c r="K2200" s="2">
        <v>180.0</v>
      </c>
      <c r="L2200" s="2">
        <v>1.0</v>
      </c>
      <c r="M2200" s="4">
        <v>1198.0</v>
      </c>
      <c r="N2200" s="2" t="s">
        <v>36</v>
      </c>
      <c r="O2200" s="2">
        <v>71.0</v>
      </c>
      <c r="P2200" s="2" t="s">
        <v>189</v>
      </c>
      <c r="Q2200" s="2" t="s">
        <v>32</v>
      </c>
      <c r="R2200" s="2">
        <v>37.0</v>
      </c>
      <c r="U2200" s="2" t="b">
        <v>1</v>
      </c>
      <c r="V2200" s="5">
        <v>0.0043</v>
      </c>
      <c r="W2200" s="5">
        <v>0.0056</v>
      </c>
      <c r="X2200" s="5">
        <v>2.4E-5</v>
      </c>
      <c r="Y2200" s="2">
        <v>6.655555556</v>
      </c>
      <c r="AA2200" s="2" t="s">
        <v>33</v>
      </c>
    </row>
    <row r="2201">
      <c r="A2201" s="2">
        <v>4100.0</v>
      </c>
      <c r="B2201" s="2" t="s">
        <v>6354</v>
      </c>
      <c r="C2201" s="2" t="s">
        <v>7</v>
      </c>
      <c r="D2201" s="2" t="s">
        <v>6355</v>
      </c>
      <c r="F2201" s="3">
        <v>46011.625</v>
      </c>
      <c r="G2201" s="2">
        <v>71290.0</v>
      </c>
      <c r="H2201" s="2">
        <v>71290.0</v>
      </c>
      <c r="I2201" s="2">
        <v>59303.0</v>
      </c>
      <c r="J2201" s="2">
        <v>285.0</v>
      </c>
      <c r="K2201" s="2">
        <v>270.0</v>
      </c>
      <c r="L2201" s="2">
        <v>8.0</v>
      </c>
      <c r="M2201" s="4">
        <v>23854.0</v>
      </c>
      <c r="N2201" s="2" t="s">
        <v>30</v>
      </c>
      <c r="O2201" s="2">
        <v>70.0</v>
      </c>
      <c r="P2201" s="2" t="s">
        <v>189</v>
      </c>
      <c r="Q2201" s="2" t="s">
        <v>32</v>
      </c>
      <c r="R2201" s="2">
        <v>37.0</v>
      </c>
      <c r="U2201" s="2" t="b">
        <v>0</v>
      </c>
      <c r="V2201" s="5">
        <v>0.0046</v>
      </c>
      <c r="W2201" s="5">
        <v>0.0296</v>
      </c>
      <c r="X2201" s="5">
        <v>1.35E-4</v>
      </c>
      <c r="Y2201" s="2">
        <v>88.34814815</v>
      </c>
      <c r="Z2201" s="2">
        <v>2925.0</v>
      </c>
      <c r="AA2201" s="2" t="s">
        <v>33</v>
      </c>
    </row>
    <row r="2202">
      <c r="A2202" s="2">
        <v>4122.0</v>
      </c>
      <c r="B2202" s="2" t="s">
        <v>6356</v>
      </c>
      <c r="C2202" s="2" t="s">
        <v>7</v>
      </c>
      <c r="D2202" s="2" t="s">
        <v>6357</v>
      </c>
      <c r="F2202" s="3">
        <v>46011.666666666664</v>
      </c>
      <c r="G2202" s="2">
        <v>7422.0</v>
      </c>
      <c r="H2202" s="2">
        <v>7422.0</v>
      </c>
      <c r="I2202" s="2">
        <v>5741.0</v>
      </c>
      <c r="J2202" s="2">
        <v>71.0</v>
      </c>
      <c r="K2202" s="2">
        <v>67.0</v>
      </c>
      <c r="L2202" s="2">
        <v>2.0</v>
      </c>
      <c r="M2202" s="4">
        <v>8996.0</v>
      </c>
      <c r="N2202" s="2" t="s">
        <v>423</v>
      </c>
      <c r="O2202" s="2">
        <v>119.0</v>
      </c>
      <c r="P2202" s="2" t="s">
        <v>31</v>
      </c>
      <c r="Q2202" s="2" t="s">
        <v>1367</v>
      </c>
      <c r="R2202" s="2">
        <v>33.0</v>
      </c>
      <c r="U2202" s="2" t="b">
        <v>0</v>
      </c>
      <c r="V2202" s="5">
        <v>0.0117</v>
      </c>
      <c r="W2202" s="5">
        <v>0.0299</v>
      </c>
      <c r="X2202" s="5">
        <v>3.48E-4</v>
      </c>
      <c r="Y2202" s="2">
        <v>134.2686567</v>
      </c>
      <c r="AA2202" s="2" t="s">
        <v>423</v>
      </c>
    </row>
    <row r="2203">
      <c r="A2203" s="2">
        <v>4103.0</v>
      </c>
      <c r="B2203" s="2" t="s">
        <v>6358</v>
      </c>
      <c r="C2203" s="2" t="s">
        <v>7</v>
      </c>
      <c r="D2203" s="2" t="s">
        <v>6359</v>
      </c>
      <c r="F2203" s="3">
        <v>46011.708333333336</v>
      </c>
      <c r="G2203" s="2">
        <v>50902.0</v>
      </c>
      <c r="H2203" s="2">
        <v>50902.0</v>
      </c>
      <c r="I2203" s="2">
        <v>41474.0</v>
      </c>
      <c r="J2203" s="2">
        <v>196.0</v>
      </c>
      <c r="K2203" s="2">
        <v>182.0</v>
      </c>
      <c r="L2203" s="2">
        <v>2.0</v>
      </c>
      <c r="M2203" s="4">
        <v>7886.0</v>
      </c>
      <c r="N2203" s="2" t="s">
        <v>36</v>
      </c>
      <c r="O2203" s="2">
        <v>71.0</v>
      </c>
      <c r="P2203" s="2" t="s">
        <v>189</v>
      </c>
      <c r="Q2203" s="2" t="s">
        <v>32</v>
      </c>
      <c r="R2203" s="2">
        <v>57.0</v>
      </c>
      <c r="U2203" s="2" t="b">
        <v>1</v>
      </c>
      <c r="V2203" s="5">
        <v>0.0044</v>
      </c>
      <c r="W2203" s="5">
        <v>0.011</v>
      </c>
      <c r="X2203" s="5">
        <v>4.8E-5</v>
      </c>
      <c r="Y2203" s="2">
        <v>43.32967033</v>
      </c>
      <c r="AA2203" s="2" t="s">
        <v>33</v>
      </c>
    </row>
    <row r="2204">
      <c r="A2204" s="2">
        <v>4102.0</v>
      </c>
      <c r="B2204" s="2" t="s">
        <v>6360</v>
      </c>
      <c r="C2204" s="2" t="s">
        <v>7</v>
      </c>
      <c r="D2204" s="2" t="s">
        <v>6361</v>
      </c>
      <c r="F2204" s="3">
        <v>46011.708333333336</v>
      </c>
      <c r="G2204" s="2">
        <v>71316.0</v>
      </c>
      <c r="H2204" s="2">
        <v>71316.0</v>
      </c>
      <c r="I2204" s="2">
        <v>58907.0</v>
      </c>
      <c r="J2204" s="2">
        <v>236.0</v>
      </c>
      <c r="K2204" s="2">
        <v>223.0</v>
      </c>
      <c r="L2204" s="2">
        <v>3.0</v>
      </c>
      <c r="M2204" s="4">
        <v>7758.0</v>
      </c>
      <c r="N2204" s="2" t="s">
        <v>30</v>
      </c>
      <c r="O2204" s="2">
        <v>70.0</v>
      </c>
      <c r="P2204" s="2" t="s">
        <v>189</v>
      </c>
      <c r="Q2204" s="2" t="s">
        <v>32</v>
      </c>
      <c r="R2204" s="2">
        <v>49.0</v>
      </c>
      <c r="U2204" s="2" t="b">
        <v>0</v>
      </c>
      <c r="V2204" s="5">
        <v>0.0038</v>
      </c>
      <c r="W2204" s="5">
        <v>0.0135</v>
      </c>
      <c r="X2204" s="5">
        <v>5.1E-5</v>
      </c>
      <c r="Y2204" s="2">
        <v>34.78923767</v>
      </c>
      <c r="AA2204" s="2" t="s">
        <v>33</v>
      </c>
    </row>
    <row r="2205">
      <c r="A2205" s="2">
        <v>4123.0</v>
      </c>
      <c r="B2205" s="2" t="s">
        <v>6362</v>
      </c>
      <c r="C2205" s="2" t="s">
        <v>7</v>
      </c>
      <c r="D2205" s="2" t="s">
        <v>6363</v>
      </c>
      <c r="F2205" s="3">
        <v>46011.75</v>
      </c>
      <c r="G2205" s="2">
        <v>7410.0</v>
      </c>
      <c r="H2205" s="2">
        <v>7410.0</v>
      </c>
      <c r="I2205" s="2">
        <v>5747.0</v>
      </c>
      <c r="J2205" s="2">
        <v>31.0</v>
      </c>
      <c r="K2205" s="2">
        <v>31.0</v>
      </c>
      <c r="L2205" s="2">
        <v>0.0</v>
      </c>
      <c r="M2205" s="2">
        <v>0.0</v>
      </c>
      <c r="N2205" s="2" t="s">
        <v>423</v>
      </c>
      <c r="O2205" s="2">
        <v>119.0</v>
      </c>
      <c r="P2205" s="2" t="s">
        <v>31</v>
      </c>
      <c r="Q2205" s="2" t="s">
        <v>1367</v>
      </c>
      <c r="R2205" s="2">
        <v>46.0</v>
      </c>
      <c r="U2205" s="2" t="b">
        <v>0</v>
      </c>
      <c r="V2205" s="5">
        <v>0.0054</v>
      </c>
      <c r="W2205" s="5">
        <v>0.0</v>
      </c>
      <c r="X2205" s="5">
        <v>0.0</v>
      </c>
      <c r="Y2205" s="2">
        <v>0.0</v>
      </c>
      <c r="AA2205" s="2" t="s">
        <v>423</v>
      </c>
    </row>
    <row r="2206">
      <c r="A2206" s="2">
        <v>4109.0</v>
      </c>
      <c r="B2206" s="2" t="s">
        <v>6364</v>
      </c>
      <c r="C2206" s="2" t="s">
        <v>7</v>
      </c>
      <c r="D2206" s="2" t="s">
        <v>6365</v>
      </c>
      <c r="F2206" s="3">
        <v>46012.458333333336</v>
      </c>
      <c r="G2206" s="2">
        <v>71511.0</v>
      </c>
      <c r="H2206" s="2">
        <v>71511.0</v>
      </c>
      <c r="I2206" s="2">
        <v>59012.0</v>
      </c>
      <c r="J2206" s="2">
        <v>193.0</v>
      </c>
      <c r="K2206" s="2">
        <v>185.0</v>
      </c>
      <c r="L2206" s="2">
        <v>4.0</v>
      </c>
      <c r="M2206" s="4">
        <v>11407.0</v>
      </c>
      <c r="N2206" s="2" t="s">
        <v>30</v>
      </c>
      <c r="O2206" s="2">
        <v>70.0</v>
      </c>
      <c r="P2206" s="2" t="s">
        <v>31</v>
      </c>
      <c r="Q2206" s="2" t="s">
        <v>32</v>
      </c>
      <c r="R2206" s="2">
        <v>57.0</v>
      </c>
      <c r="U2206" s="2" t="b">
        <v>0</v>
      </c>
      <c r="V2206" s="5">
        <v>0.0031</v>
      </c>
      <c r="W2206" s="5">
        <v>0.0216</v>
      </c>
      <c r="X2206" s="5">
        <v>6.8E-5</v>
      </c>
      <c r="Y2206" s="2">
        <v>61.65945946</v>
      </c>
      <c r="Z2206" s="2">
        <v>5095.0</v>
      </c>
      <c r="AA2206" s="2" t="s">
        <v>33</v>
      </c>
    </row>
    <row r="2207">
      <c r="A2207" s="2">
        <v>4110.0</v>
      </c>
      <c r="B2207" s="2" t="s">
        <v>6366</v>
      </c>
      <c r="C2207" s="2" t="s">
        <v>7</v>
      </c>
      <c r="D2207" s="2" t="s">
        <v>6367</v>
      </c>
      <c r="F2207" s="3">
        <v>46012.458333333336</v>
      </c>
      <c r="G2207" s="2">
        <v>50965.0</v>
      </c>
      <c r="H2207" s="2">
        <v>50965.0</v>
      </c>
      <c r="I2207" s="2">
        <v>41296.0</v>
      </c>
      <c r="J2207" s="2">
        <v>153.0</v>
      </c>
      <c r="K2207" s="2">
        <v>144.0</v>
      </c>
      <c r="L2207" s="2">
        <v>2.0</v>
      </c>
      <c r="M2207" s="4">
        <v>3878.0</v>
      </c>
      <c r="N2207" s="2" t="s">
        <v>36</v>
      </c>
      <c r="O2207" s="2">
        <v>71.0</v>
      </c>
      <c r="P2207" s="2" t="s">
        <v>31</v>
      </c>
      <c r="Q2207" s="2" t="s">
        <v>32</v>
      </c>
      <c r="R2207" s="2">
        <v>57.0</v>
      </c>
      <c r="U2207" s="2" t="b">
        <v>0</v>
      </c>
      <c r="V2207" s="5">
        <v>0.0035</v>
      </c>
      <c r="W2207" s="5">
        <v>0.0139</v>
      </c>
      <c r="X2207" s="5">
        <v>4.8E-5</v>
      </c>
      <c r="Y2207" s="2">
        <v>26.93055556</v>
      </c>
      <c r="AA2207" s="2" t="s">
        <v>33</v>
      </c>
    </row>
    <row r="2208">
      <c r="A2208" s="2">
        <v>4124.0</v>
      </c>
      <c r="B2208" s="2" t="s">
        <v>6368</v>
      </c>
      <c r="C2208" s="2" t="s">
        <v>7</v>
      </c>
      <c r="D2208" s="2" t="s">
        <v>6369</v>
      </c>
      <c r="F2208" s="3">
        <v>46012.583333333336</v>
      </c>
      <c r="G2208" s="2">
        <v>7422.0</v>
      </c>
      <c r="H2208" s="2">
        <v>7422.0</v>
      </c>
      <c r="I2208" s="2">
        <v>5702.0</v>
      </c>
      <c r="J2208" s="2">
        <v>25.0</v>
      </c>
      <c r="K2208" s="2">
        <v>24.0</v>
      </c>
      <c r="L2208" s="2">
        <v>0.0</v>
      </c>
      <c r="M2208" s="2">
        <v>0.0</v>
      </c>
      <c r="N2208" s="2" t="s">
        <v>423</v>
      </c>
      <c r="O2208" s="2">
        <v>119.0</v>
      </c>
      <c r="P2208" s="2" t="s">
        <v>31</v>
      </c>
      <c r="Q2208" s="2" t="s">
        <v>1367</v>
      </c>
      <c r="R2208" s="2">
        <v>37.0</v>
      </c>
      <c r="U2208" s="2" t="b">
        <v>0</v>
      </c>
      <c r="V2208" s="5">
        <v>0.0042</v>
      </c>
      <c r="W2208" s="5">
        <v>0.0</v>
      </c>
      <c r="X2208" s="5">
        <v>0.0</v>
      </c>
      <c r="Y2208" s="2">
        <v>0.0</v>
      </c>
      <c r="AA2208" s="2" t="s">
        <v>423</v>
      </c>
    </row>
    <row r="2209">
      <c r="A2209" s="2">
        <v>4112.0</v>
      </c>
      <c r="B2209" s="2" t="s">
        <v>6370</v>
      </c>
      <c r="C2209" s="2" t="s">
        <v>7</v>
      </c>
      <c r="D2209" s="2" t="s">
        <v>6371</v>
      </c>
      <c r="F2209" s="3">
        <v>46012.625</v>
      </c>
      <c r="G2209" s="2">
        <v>51004.0</v>
      </c>
      <c r="H2209" s="2">
        <v>51004.0</v>
      </c>
      <c r="I2209" s="2">
        <v>41508.0</v>
      </c>
      <c r="J2209" s="2">
        <v>197.0</v>
      </c>
      <c r="K2209" s="2">
        <v>182.0</v>
      </c>
      <c r="L2209" s="2">
        <v>1.0</v>
      </c>
      <c r="M2209" s="4">
        <v>10890.0</v>
      </c>
      <c r="N2209" s="2" t="s">
        <v>36</v>
      </c>
      <c r="O2209" s="2">
        <v>71.0</v>
      </c>
      <c r="P2209" s="2" t="s">
        <v>189</v>
      </c>
      <c r="Q2209" s="2" t="s">
        <v>32</v>
      </c>
      <c r="R2209" s="2">
        <v>43.0</v>
      </c>
      <c r="U2209" s="2" t="b">
        <v>1</v>
      </c>
      <c r="V2209" s="5">
        <v>0.0044</v>
      </c>
      <c r="W2209" s="5">
        <v>0.0055</v>
      </c>
      <c r="X2209" s="5">
        <v>2.4E-5</v>
      </c>
      <c r="Y2209" s="2">
        <v>59.83516484</v>
      </c>
      <c r="AA2209" s="2" t="s">
        <v>33</v>
      </c>
    </row>
    <row r="2210">
      <c r="A2210" s="2">
        <v>4111.0</v>
      </c>
      <c r="B2210" s="2" t="s">
        <v>6372</v>
      </c>
      <c r="C2210" s="2" t="s">
        <v>7</v>
      </c>
      <c r="D2210" s="2" t="s">
        <v>6373</v>
      </c>
      <c r="F2210" s="3">
        <v>46012.625</v>
      </c>
      <c r="G2210" s="2">
        <v>71626.0</v>
      </c>
      <c r="H2210" s="2">
        <v>71626.0</v>
      </c>
      <c r="I2210" s="2">
        <v>59330.0</v>
      </c>
      <c r="J2210" s="2">
        <v>251.0</v>
      </c>
      <c r="K2210" s="2">
        <v>242.0</v>
      </c>
      <c r="L2210" s="2">
        <v>2.0</v>
      </c>
      <c r="M2210" s="4">
        <v>7460.0</v>
      </c>
      <c r="N2210" s="2" t="s">
        <v>30</v>
      </c>
      <c r="O2210" s="2">
        <v>70.0</v>
      </c>
      <c r="P2210" s="2" t="s">
        <v>189</v>
      </c>
      <c r="Q2210" s="2" t="s">
        <v>32</v>
      </c>
      <c r="R2210" s="2">
        <v>42.0</v>
      </c>
      <c r="U2210" s="2" t="b">
        <v>0</v>
      </c>
      <c r="V2210" s="5">
        <v>0.0041</v>
      </c>
      <c r="W2210" s="5">
        <v>0.0083</v>
      </c>
      <c r="X2210" s="5">
        <v>3.4E-5</v>
      </c>
      <c r="Y2210" s="2">
        <v>30.82644628</v>
      </c>
      <c r="Z2210" s="2">
        <v>2434.0</v>
      </c>
      <c r="AA2210" s="2" t="s">
        <v>33</v>
      </c>
    </row>
    <row r="2211">
      <c r="A2211" s="2">
        <v>4125.0</v>
      </c>
      <c r="B2211" s="2" t="s">
        <v>6374</v>
      </c>
      <c r="C2211" s="2" t="s">
        <v>7</v>
      </c>
      <c r="D2211" s="2" t="s">
        <v>6375</v>
      </c>
      <c r="F2211" s="3">
        <v>46012.666666666664</v>
      </c>
      <c r="G2211" s="2">
        <v>7421.0</v>
      </c>
      <c r="H2211" s="2">
        <v>7421.0</v>
      </c>
      <c r="I2211" s="2">
        <v>5759.0</v>
      </c>
      <c r="J2211" s="2">
        <v>27.0</v>
      </c>
      <c r="K2211" s="2">
        <v>27.0</v>
      </c>
      <c r="L2211" s="2">
        <v>0.0</v>
      </c>
      <c r="M2211" s="2">
        <v>0.0</v>
      </c>
      <c r="N2211" s="2" t="s">
        <v>423</v>
      </c>
      <c r="O2211" s="2">
        <v>119.0</v>
      </c>
      <c r="P2211" s="2" t="s">
        <v>189</v>
      </c>
      <c r="Q2211" s="2" t="s">
        <v>1367</v>
      </c>
      <c r="R2211" s="2">
        <v>29.0</v>
      </c>
      <c r="U2211" s="2" t="b">
        <v>0</v>
      </c>
      <c r="V2211" s="5">
        <v>0.0047</v>
      </c>
      <c r="W2211" s="5">
        <v>0.0</v>
      </c>
      <c r="X2211" s="5">
        <v>0.0</v>
      </c>
      <c r="Y2211" s="2">
        <v>0.0</v>
      </c>
      <c r="AA2211" s="2" t="s">
        <v>423</v>
      </c>
    </row>
    <row r="2212">
      <c r="A2212" s="2">
        <v>4114.0</v>
      </c>
      <c r="B2212" s="2" t="s">
        <v>6376</v>
      </c>
      <c r="C2212" s="2" t="s">
        <v>7</v>
      </c>
      <c r="D2212" s="2" t="s">
        <v>6377</v>
      </c>
      <c r="F2212" s="3">
        <v>46012.708333333336</v>
      </c>
      <c r="G2212" s="2">
        <v>51011.0</v>
      </c>
      <c r="H2212" s="2">
        <v>51011.0</v>
      </c>
      <c r="I2212" s="2">
        <v>41470.0</v>
      </c>
      <c r="J2212" s="2">
        <v>165.0</v>
      </c>
      <c r="K2212" s="2">
        <v>159.0</v>
      </c>
      <c r="L2212" s="2">
        <v>4.0</v>
      </c>
      <c r="M2212" s="4">
        <v>10235.0</v>
      </c>
      <c r="N2212" s="2" t="s">
        <v>36</v>
      </c>
      <c r="O2212" s="2">
        <v>71.0</v>
      </c>
      <c r="P2212" s="2" t="s">
        <v>31</v>
      </c>
      <c r="Q2212" s="2" t="s">
        <v>32</v>
      </c>
      <c r="R2212" s="2">
        <v>57.0</v>
      </c>
      <c r="U2212" s="2" t="b">
        <v>0</v>
      </c>
      <c r="V2212" s="5">
        <v>0.0038</v>
      </c>
      <c r="W2212" s="5">
        <v>0.0252</v>
      </c>
      <c r="X2212" s="5">
        <v>9.6E-5</v>
      </c>
      <c r="Y2212" s="2">
        <v>64.37106918</v>
      </c>
      <c r="AA2212" s="2" t="s">
        <v>33</v>
      </c>
    </row>
    <row r="2213">
      <c r="A2213" s="2">
        <v>4113.0</v>
      </c>
      <c r="B2213" s="2" t="s">
        <v>6378</v>
      </c>
      <c r="C2213" s="2" t="s">
        <v>7</v>
      </c>
      <c r="D2213" s="2" t="s">
        <v>6379</v>
      </c>
      <c r="F2213" s="3">
        <v>46012.708333333336</v>
      </c>
      <c r="G2213" s="2">
        <v>71579.0</v>
      </c>
      <c r="H2213" s="2">
        <v>71579.0</v>
      </c>
      <c r="I2213" s="2">
        <v>59399.0</v>
      </c>
      <c r="J2213" s="2">
        <v>225.0</v>
      </c>
      <c r="K2213" s="2">
        <v>208.0</v>
      </c>
      <c r="L2213" s="2">
        <v>1.0</v>
      </c>
      <c r="M2213" s="4">
        <v>2670.0</v>
      </c>
      <c r="N2213" s="2" t="s">
        <v>30</v>
      </c>
      <c r="O2213" s="2">
        <v>70.0</v>
      </c>
      <c r="P2213" s="2" t="s">
        <v>189</v>
      </c>
      <c r="Q2213" s="2" t="s">
        <v>32</v>
      </c>
      <c r="R2213" s="2">
        <v>53.0</v>
      </c>
      <c r="U2213" s="2" t="b">
        <v>0</v>
      </c>
      <c r="V2213" s="5">
        <v>0.0035</v>
      </c>
      <c r="W2213" s="5">
        <v>0.0048</v>
      </c>
      <c r="X2213" s="5">
        <v>1.7E-5</v>
      </c>
      <c r="Y2213" s="2">
        <v>12.83653846</v>
      </c>
      <c r="Z2213" s="2">
        <v>1181.0</v>
      </c>
      <c r="AA2213" s="2" t="s">
        <v>33</v>
      </c>
    </row>
    <row r="2214">
      <c r="A2214" s="2">
        <v>4126.0</v>
      </c>
      <c r="B2214" s="2" t="s">
        <v>6380</v>
      </c>
      <c r="C2214" s="2" t="s">
        <v>7</v>
      </c>
      <c r="D2214" s="2" t="s">
        <v>6381</v>
      </c>
      <c r="F2214" s="3">
        <v>46012.75</v>
      </c>
      <c r="G2214" s="2">
        <v>7421.0</v>
      </c>
      <c r="H2214" s="2">
        <v>7421.0</v>
      </c>
      <c r="I2214" s="2">
        <v>5737.0</v>
      </c>
      <c r="J2214" s="2">
        <v>35.0</v>
      </c>
      <c r="K2214" s="2">
        <v>35.0</v>
      </c>
      <c r="L2214" s="2">
        <v>1.0</v>
      </c>
      <c r="M2214" s="2">
        <v>70.0</v>
      </c>
      <c r="N2214" s="2" t="s">
        <v>423</v>
      </c>
      <c r="O2214" s="2">
        <v>119.0</v>
      </c>
      <c r="P2214" s="2" t="s">
        <v>189</v>
      </c>
      <c r="Q2214" s="2" t="s">
        <v>1367</v>
      </c>
      <c r="R2214" s="2">
        <v>44.0</v>
      </c>
      <c r="U2214" s="2" t="b">
        <v>0</v>
      </c>
      <c r="V2214" s="5">
        <v>0.0061</v>
      </c>
      <c r="W2214" s="5">
        <v>0.0286</v>
      </c>
      <c r="X2214" s="5">
        <v>1.74E-4</v>
      </c>
      <c r="Y2214" s="2">
        <v>2.0</v>
      </c>
      <c r="AA2214" s="2" t="s">
        <v>423</v>
      </c>
    </row>
    <row r="2215">
      <c r="A2215" s="2">
        <v>4133.0</v>
      </c>
      <c r="B2215" s="2" t="s">
        <v>6382</v>
      </c>
      <c r="C2215" s="2" t="s">
        <v>7</v>
      </c>
      <c r="D2215" s="2" t="s">
        <v>6383</v>
      </c>
      <c r="F2215" s="3">
        <v>46013.63055555556</v>
      </c>
      <c r="G2215" s="2">
        <v>72029.0</v>
      </c>
      <c r="H2215" s="2">
        <v>72029.0</v>
      </c>
      <c r="I2215" s="2">
        <v>60234.0</v>
      </c>
      <c r="J2215" s="2">
        <v>195.0</v>
      </c>
      <c r="K2215" s="2">
        <v>188.0</v>
      </c>
      <c r="L2215" s="2">
        <v>2.0</v>
      </c>
      <c r="M2215" s="4">
        <v>10186.0</v>
      </c>
      <c r="N2215" s="2" t="s">
        <v>30</v>
      </c>
      <c r="O2215" s="2">
        <v>70.0</v>
      </c>
      <c r="P2215" s="2" t="s">
        <v>189</v>
      </c>
      <c r="Q2215" s="2" t="s">
        <v>32</v>
      </c>
      <c r="R2215" s="2">
        <v>41.0</v>
      </c>
      <c r="U2215" s="2" t="b">
        <v>0</v>
      </c>
      <c r="V2215" s="5">
        <v>0.0031</v>
      </c>
      <c r="W2215" s="5">
        <v>0.0106</v>
      </c>
      <c r="X2215" s="5">
        <v>3.3E-5</v>
      </c>
      <c r="Y2215" s="2">
        <v>54.18085106</v>
      </c>
      <c r="AA2215" s="2" t="s">
        <v>33</v>
      </c>
    </row>
    <row r="2216">
      <c r="A2216" s="2">
        <v>4134.0</v>
      </c>
      <c r="B2216" s="2" t="s">
        <v>6384</v>
      </c>
      <c r="C2216" s="2" t="s">
        <v>7</v>
      </c>
      <c r="D2216" s="2" t="s">
        <v>6385</v>
      </c>
      <c r="F2216" s="3">
        <v>46013.631944444445</v>
      </c>
      <c r="G2216" s="2">
        <v>51098.0</v>
      </c>
      <c r="H2216" s="2">
        <v>51098.0</v>
      </c>
      <c r="I2216" s="2">
        <v>41648.0</v>
      </c>
      <c r="J2216" s="2">
        <v>139.0</v>
      </c>
      <c r="K2216" s="2">
        <v>136.0</v>
      </c>
      <c r="L2216" s="2">
        <v>2.0</v>
      </c>
      <c r="M2216" s="4">
        <v>4337.0</v>
      </c>
      <c r="N2216" s="2" t="s">
        <v>36</v>
      </c>
      <c r="O2216" s="2">
        <v>71.0</v>
      </c>
      <c r="P2216" s="2" t="s">
        <v>189</v>
      </c>
      <c r="Q2216" s="2" t="s">
        <v>32</v>
      </c>
      <c r="R2216" s="2">
        <v>40.0</v>
      </c>
      <c r="U2216" s="2" t="b">
        <v>0</v>
      </c>
      <c r="V2216" s="5">
        <v>0.0033</v>
      </c>
      <c r="W2216" s="5">
        <v>0.0147</v>
      </c>
      <c r="X2216" s="5">
        <v>4.8E-5</v>
      </c>
      <c r="Y2216" s="2">
        <v>31.88970588</v>
      </c>
      <c r="AA2216" s="2" t="s">
        <v>33</v>
      </c>
    </row>
    <row r="2217">
      <c r="A2217" s="2">
        <v>4136.0</v>
      </c>
      <c r="B2217" s="2" t="s">
        <v>6386</v>
      </c>
      <c r="C2217" s="2" t="s">
        <v>7</v>
      </c>
      <c r="D2217" s="2" t="s">
        <v>6387</v>
      </c>
      <c r="F2217" s="3">
        <v>46013.708333333336</v>
      </c>
      <c r="G2217" s="2">
        <v>51007.0</v>
      </c>
      <c r="H2217" s="2">
        <v>51007.0</v>
      </c>
      <c r="I2217" s="2">
        <v>41649.0</v>
      </c>
      <c r="J2217" s="2">
        <v>162.0</v>
      </c>
      <c r="K2217" s="2">
        <v>158.0</v>
      </c>
      <c r="L2217" s="2">
        <v>3.0</v>
      </c>
      <c r="M2217" s="4">
        <v>7279.0</v>
      </c>
      <c r="N2217" s="2" t="s">
        <v>36</v>
      </c>
      <c r="O2217" s="2">
        <v>71.0</v>
      </c>
      <c r="P2217" s="2" t="s">
        <v>189</v>
      </c>
      <c r="Q2217" s="2" t="s">
        <v>32</v>
      </c>
      <c r="R2217" s="2">
        <v>34.0</v>
      </c>
      <c r="U2217" s="2" t="b">
        <v>0</v>
      </c>
      <c r="V2217" s="5">
        <v>0.0038</v>
      </c>
      <c r="W2217" s="5">
        <v>0.019</v>
      </c>
      <c r="X2217" s="5">
        <v>7.2E-5</v>
      </c>
      <c r="Y2217" s="2">
        <v>46.06962025</v>
      </c>
      <c r="AA2217" s="2" t="s">
        <v>33</v>
      </c>
    </row>
    <row r="2218">
      <c r="A2218" s="2">
        <v>4135.0</v>
      </c>
      <c r="B2218" s="2" t="s">
        <v>6388</v>
      </c>
      <c r="C2218" s="2" t="s">
        <v>7</v>
      </c>
      <c r="D2218" s="2" t="s">
        <v>6389</v>
      </c>
      <c r="F2218" s="3">
        <v>46013.708333333336</v>
      </c>
      <c r="G2218" s="2">
        <v>71908.0</v>
      </c>
      <c r="H2218" s="2">
        <v>71908.0</v>
      </c>
      <c r="I2218" s="2">
        <v>59870.0</v>
      </c>
      <c r="J2218" s="2">
        <v>201.0</v>
      </c>
      <c r="K2218" s="2">
        <v>194.0</v>
      </c>
      <c r="L2218" s="2">
        <v>4.0</v>
      </c>
      <c r="M2218" s="4">
        <v>14259.0</v>
      </c>
      <c r="N2218" s="2" t="s">
        <v>30</v>
      </c>
      <c r="O2218" s="2">
        <v>70.0</v>
      </c>
      <c r="P2218" s="2" t="s">
        <v>189</v>
      </c>
      <c r="Q2218" s="2" t="s">
        <v>32</v>
      </c>
      <c r="R2218" s="2">
        <v>43.0</v>
      </c>
      <c r="U2218" s="2" t="b">
        <v>0</v>
      </c>
      <c r="V2218" s="5">
        <v>0.0032</v>
      </c>
      <c r="W2218" s="5">
        <v>0.0206</v>
      </c>
      <c r="X2218" s="5">
        <v>6.7E-5</v>
      </c>
      <c r="Y2218" s="2">
        <v>73.5</v>
      </c>
      <c r="Z2218" s="2">
        <v>4254.0</v>
      </c>
      <c r="AA2218" s="2" t="s">
        <v>33</v>
      </c>
    </row>
    <row r="2219">
      <c r="A2219" s="2">
        <v>4139.0</v>
      </c>
      <c r="B2219" s="2" t="s">
        <v>6390</v>
      </c>
      <c r="C2219" s="2" t="s">
        <v>7</v>
      </c>
      <c r="D2219" s="2" t="s">
        <v>6391</v>
      </c>
      <c r="F2219" s="3">
        <v>46013.72361111111</v>
      </c>
      <c r="G2219" s="2">
        <v>7456.0</v>
      </c>
      <c r="H2219" s="2">
        <v>7456.0</v>
      </c>
      <c r="I2219" s="2">
        <v>5745.0</v>
      </c>
      <c r="J2219" s="2">
        <v>32.0</v>
      </c>
      <c r="K2219" s="2">
        <v>32.0</v>
      </c>
      <c r="L2219" s="2">
        <v>1.0</v>
      </c>
      <c r="M2219" s="2">
        <v>118.0</v>
      </c>
      <c r="N2219" s="2" t="s">
        <v>423</v>
      </c>
      <c r="O2219" s="2">
        <v>119.0</v>
      </c>
      <c r="P2219" s="2" t="s">
        <v>31</v>
      </c>
      <c r="Q2219" s="2" t="s">
        <v>1367</v>
      </c>
      <c r="R2219" s="2">
        <v>41.0</v>
      </c>
      <c r="U2219" s="2" t="b">
        <v>0</v>
      </c>
      <c r="V2219" s="5">
        <v>0.0056</v>
      </c>
      <c r="W2219" s="5">
        <v>0.0313</v>
      </c>
      <c r="X2219" s="5">
        <v>1.74E-4</v>
      </c>
      <c r="Y2219" s="2">
        <v>3.6875</v>
      </c>
      <c r="AA2219" s="2" t="s">
        <v>423</v>
      </c>
    </row>
    <row r="2220">
      <c r="A2220" s="2">
        <v>4140.0</v>
      </c>
      <c r="B2220" s="2" t="s">
        <v>6392</v>
      </c>
      <c r="C2220" s="2" t="s">
        <v>7</v>
      </c>
      <c r="D2220" s="2" t="s">
        <v>6393</v>
      </c>
      <c r="F2220" s="3">
        <v>46013.75</v>
      </c>
      <c r="G2220" s="2">
        <v>7446.0</v>
      </c>
      <c r="H2220" s="2">
        <v>7446.0</v>
      </c>
      <c r="I2220" s="2">
        <v>5762.0</v>
      </c>
      <c r="J2220" s="2">
        <v>27.0</v>
      </c>
      <c r="K2220" s="2">
        <v>27.0</v>
      </c>
      <c r="L2220" s="2">
        <v>0.0</v>
      </c>
      <c r="M2220" s="2">
        <v>0.0</v>
      </c>
      <c r="N2220" s="2" t="s">
        <v>423</v>
      </c>
      <c r="O2220" s="2">
        <v>119.0</v>
      </c>
      <c r="P2220" s="2" t="s">
        <v>31</v>
      </c>
      <c r="Q2220" s="2" t="s">
        <v>1367</v>
      </c>
      <c r="R2220" s="2">
        <v>32.0</v>
      </c>
      <c r="U2220" s="2" t="b">
        <v>0</v>
      </c>
      <c r="V2220" s="5">
        <v>0.0047</v>
      </c>
      <c r="W2220" s="5">
        <v>0.0</v>
      </c>
      <c r="X2220" s="5">
        <v>0.0</v>
      </c>
      <c r="Y2220" s="2">
        <v>0.0</v>
      </c>
      <c r="AA2220" s="2" t="s">
        <v>423</v>
      </c>
    </row>
    <row r="2221">
      <c r="A2221" s="2">
        <v>4138.0</v>
      </c>
      <c r="B2221" s="2" t="s">
        <v>6394</v>
      </c>
      <c r="C2221" s="2" t="s">
        <v>7</v>
      </c>
      <c r="D2221" s="2" t="s">
        <v>6395</v>
      </c>
      <c r="F2221" s="3">
        <v>46013.791666666664</v>
      </c>
      <c r="G2221" s="2">
        <v>51077.0</v>
      </c>
      <c r="H2221" s="2">
        <v>51077.0</v>
      </c>
      <c r="I2221" s="2">
        <v>41601.0</v>
      </c>
      <c r="J2221" s="2">
        <v>155.0</v>
      </c>
      <c r="K2221" s="2">
        <v>151.0</v>
      </c>
      <c r="L2221" s="2">
        <v>4.0</v>
      </c>
      <c r="M2221" s="4">
        <v>32499.0</v>
      </c>
      <c r="N2221" s="2" t="s">
        <v>36</v>
      </c>
      <c r="O2221" s="2">
        <v>71.0</v>
      </c>
      <c r="P2221" s="2" t="s">
        <v>189</v>
      </c>
      <c r="Q2221" s="2" t="s">
        <v>32</v>
      </c>
      <c r="R2221" s="2">
        <v>42.0</v>
      </c>
      <c r="U2221" s="2" t="b">
        <v>1</v>
      </c>
      <c r="V2221" s="5">
        <v>0.0036</v>
      </c>
      <c r="W2221" s="5">
        <v>0.0265</v>
      </c>
      <c r="X2221" s="5">
        <v>9.6E-5</v>
      </c>
      <c r="Y2221" s="2">
        <v>215.2251656</v>
      </c>
      <c r="AA2221" s="2" t="s">
        <v>33</v>
      </c>
    </row>
    <row r="2222">
      <c r="A2222" s="2">
        <v>4137.0</v>
      </c>
      <c r="B2222" s="2" t="s">
        <v>6396</v>
      </c>
      <c r="C2222" s="2" t="s">
        <v>7</v>
      </c>
      <c r="D2222" s="2" t="s">
        <v>6397</v>
      </c>
      <c r="F2222" s="3">
        <v>46013.791666666664</v>
      </c>
      <c r="G2222" s="2">
        <v>72028.0</v>
      </c>
      <c r="H2222" s="2">
        <v>72028.0</v>
      </c>
      <c r="I2222" s="2">
        <v>59868.0</v>
      </c>
      <c r="J2222" s="2">
        <v>236.0</v>
      </c>
      <c r="K2222" s="2">
        <v>227.0</v>
      </c>
      <c r="L2222" s="2">
        <v>6.0</v>
      </c>
      <c r="M2222" s="4">
        <v>25310.0</v>
      </c>
      <c r="N2222" s="2" t="s">
        <v>30</v>
      </c>
      <c r="O2222" s="2">
        <v>70.0</v>
      </c>
      <c r="P2222" s="2" t="s">
        <v>31</v>
      </c>
      <c r="Q2222" s="2" t="s">
        <v>32</v>
      </c>
      <c r="R2222" s="2">
        <v>40.0</v>
      </c>
      <c r="U2222" s="2" t="b">
        <v>0</v>
      </c>
      <c r="V2222" s="5">
        <v>0.0038</v>
      </c>
      <c r="W2222" s="5">
        <v>0.0264</v>
      </c>
      <c r="X2222" s="5">
        <v>1.0E-4</v>
      </c>
      <c r="Y2222" s="2">
        <v>111.4977974</v>
      </c>
      <c r="Z2222" s="2">
        <v>1622.0</v>
      </c>
      <c r="AA2222" s="2" t="s">
        <v>33</v>
      </c>
    </row>
    <row r="2223">
      <c r="A2223" s="2">
        <v>4141.0</v>
      </c>
      <c r="B2223" s="2" t="s">
        <v>6398</v>
      </c>
      <c r="C2223" s="2" t="s">
        <v>7</v>
      </c>
      <c r="D2223" s="2" t="s">
        <v>6399</v>
      </c>
      <c r="F2223" s="3">
        <v>46013.833333333336</v>
      </c>
      <c r="G2223" s="2">
        <v>7454.0</v>
      </c>
      <c r="H2223" s="2">
        <v>7454.0</v>
      </c>
      <c r="I2223" s="2">
        <v>5723.0</v>
      </c>
      <c r="J2223" s="2">
        <v>30.0</v>
      </c>
      <c r="K2223" s="2">
        <v>30.0</v>
      </c>
      <c r="L2223" s="2">
        <v>0.0</v>
      </c>
      <c r="M2223" s="2">
        <v>0.0</v>
      </c>
      <c r="N2223" s="2" t="s">
        <v>423</v>
      </c>
      <c r="O2223" s="2">
        <v>119.0</v>
      </c>
      <c r="P2223" s="2" t="s">
        <v>189</v>
      </c>
      <c r="Q2223" s="2" t="s">
        <v>1367</v>
      </c>
      <c r="R2223" s="2">
        <v>29.0</v>
      </c>
      <c r="U2223" s="2" t="b">
        <v>0</v>
      </c>
      <c r="V2223" s="5">
        <v>0.0052</v>
      </c>
      <c r="W2223" s="5">
        <v>0.0</v>
      </c>
      <c r="X2223" s="5">
        <v>0.0</v>
      </c>
      <c r="Y2223" s="2">
        <v>0.0</v>
      </c>
      <c r="AA2223" s="2" t="s">
        <v>423</v>
      </c>
    </row>
    <row r="2224">
      <c r="A2224" s="2">
        <v>4142.0</v>
      </c>
      <c r="B2224" s="2" t="s">
        <v>6400</v>
      </c>
      <c r="C2224" s="2" t="s">
        <v>7</v>
      </c>
      <c r="D2224" s="2" t="s">
        <v>6401</v>
      </c>
      <c r="F2224" s="3">
        <v>46014.4625</v>
      </c>
      <c r="G2224" s="2">
        <v>72267.0</v>
      </c>
      <c r="H2224" s="2">
        <v>72267.0</v>
      </c>
      <c r="I2224" s="2">
        <v>60074.0</v>
      </c>
      <c r="J2224" s="2">
        <v>228.0</v>
      </c>
      <c r="K2224" s="2">
        <v>214.0</v>
      </c>
      <c r="L2224" s="2">
        <v>3.0</v>
      </c>
      <c r="M2224" s="4">
        <v>18468.0</v>
      </c>
      <c r="N2224" s="2" t="s">
        <v>30</v>
      </c>
      <c r="O2224" s="2">
        <v>70.0</v>
      </c>
      <c r="P2224" s="2" t="s">
        <v>189</v>
      </c>
      <c r="Q2224" s="2" t="s">
        <v>32</v>
      </c>
      <c r="R2224" s="2">
        <v>44.0</v>
      </c>
      <c r="U2224" s="2" t="b">
        <v>0</v>
      </c>
      <c r="V2224" s="5">
        <v>0.0036</v>
      </c>
      <c r="W2224" s="5">
        <v>0.014</v>
      </c>
      <c r="X2224" s="5">
        <v>5.0E-5</v>
      </c>
      <c r="Y2224" s="2">
        <v>86.29906542</v>
      </c>
      <c r="Z2224" s="2">
        <v>4880.0</v>
      </c>
      <c r="AA2224" s="2" t="s">
        <v>33</v>
      </c>
    </row>
    <row r="2225">
      <c r="A2225" s="2">
        <v>4143.0</v>
      </c>
      <c r="B2225" s="2" t="s">
        <v>6402</v>
      </c>
      <c r="C2225" s="2" t="s">
        <v>7</v>
      </c>
      <c r="D2225" s="2" t="s">
        <v>6403</v>
      </c>
      <c r="F2225" s="3">
        <v>46014.46388888889</v>
      </c>
      <c r="G2225" s="2">
        <v>51077.0</v>
      </c>
      <c r="H2225" s="2">
        <v>51077.0</v>
      </c>
      <c r="I2225" s="2">
        <v>41607.0</v>
      </c>
      <c r="J2225" s="2">
        <v>145.0</v>
      </c>
      <c r="K2225" s="2">
        <v>139.0</v>
      </c>
      <c r="L2225" s="2">
        <v>2.0</v>
      </c>
      <c r="M2225" s="4">
        <v>6055.0</v>
      </c>
      <c r="N2225" s="2" t="s">
        <v>36</v>
      </c>
      <c r="O2225" s="2">
        <v>71.0</v>
      </c>
      <c r="P2225" s="2" t="s">
        <v>189</v>
      </c>
      <c r="Q2225" s="2" t="s">
        <v>32</v>
      </c>
      <c r="R2225" s="2">
        <v>41.0</v>
      </c>
      <c r="U2225" s="2" t="b">
        <v>0</v>
      </c>
      <c r="V2225" s="5">
        <v>0.0033</v>
      </c>
      <c r="W2225" s="5">
        <v>0.0144</v>
      </c>
      <c r="X2225" s="5">
        <v>4.8E-5</v>
      </c>
      <c r="Y2225" s="2">
        <v>43.56115108</v>
      </c>
      <c r="AA2225" s="2" t="s">
        <v>33</v>
      </c>
    </row>
    <row r="2226">
      <c r="A2226" s="2">
        <v>4145.0</v>
      </c>
      <c r="B2226" s="2" t="s">
        <v>6404</v>
      </c>
      <c r="C2226" s="2" t="s">
        <v>7</v>
      </c>
      <c r="D2226" s="2" t="s">
        <v>6405</v>
      </c>
      <c r="F2226" s="3">
        <v>46014.625</v>
      </c>
      <c r="G2226" s="2">
        <v>51100.0</v>
      </c>
      <c r="H2226" s="2">
        <v>51100.0</v>
      </c>
      <c r="I2226" s="2">
        <v>41799.0</v>
      </c>
      <c r="J2226" s="2">
        <v>178.0</v>
      </c>
      <c r="K2226" s="2">
        <v>170.0</v>
      </c>
      <c r="L2226" s="2">
        <v>0.0</v>
      </c>
      <c r="M2226" s="2">
        <v>0.0</v>
      </c>
      <c r="N2226" s="2" t="s">
        <v>36</v>
      </c>
      <c r="O2226" s="2">
        <v>71.0</v>
      </c>
      <c r="P2226" s="2" t="s">
        <v>31</v>
      </c>
      <c r="Q2226" s="2" t="s">
        <v>32</v>
      </c>
      <c r="R2226" s="2">
        <v>53.0</v>
      </c>
      <c r="U2226" s="2" t="b">
        <v>0</v>
      </c>
      <c r="V2226" s="5">
        <v>0.0041</v>
      </c>
      <c r="W2226" s="5">
        <v>0.0</v>
      </c>
      <c r="X2226" s="5">
        <v>0.0</v>
      </c>
      <c r="Y2226" s="2">
        <v>0.0</v>
      </c>
      <c r="AA2226" s="2" t="s">
        <v>33</v>
      </c>
    </row>
    <row r="2227">
      <c r="A2227" s="2">
        <v>4144.0</v>
      </c>
      <c r="B2227" s="2" t="s">
        <v>6406</v>
      </c>
      <c r="C2227" s="2" t="s">
        <v>7</v>
      </c>
      <c r="D2227" s="2" t="s">
        <v>6407</v>
      </c>
      <c r="F2227" s="3">
        <v>46014.625</v>
      </c>
      <c r="G2227" s="2">
        <v>72255.0</v>
      </c>
      <c r="H2227" s="2">
        <v>72255.0</v>
      </c>
      <c r="I2227" s="2">
        <v>60069.0</v>
      </c>
      <c r="J2227" s="2">
        <v>221.0</v>
      </c>
      <c r="K2227" s="2">
        <v>211.0</v>
      </c>
      <c r="L2227" s="2">
        <v>7.0</v>
      </c>
      <c r="M2227" s="4">
        <v>16460.0</v>
      </c>
      <c r="N2227" s="2" t="s">
        <v>30</v>
      </c>
      <c r="O2227" s="2">
        <v>70.0</v>
      </c>
      <c r="P2227" s="2" t="s">
        <v>189</v>
      </c>
      <c r="Q2227" s="2" t="s">
        <v>32</v>
      </c>
      <c r="R2227" s="2">
        <v>43.0</v>
      </c>
      <c r="U2227" s="2" t="b">
        <v>0</v>
      </c>
      <c r="V2227" s="5">
        <v>0.0035</v>
      </c>
      <c r="W2227" s="5">
        <v>0.0332</v>
      </c>
      <c r="X2227" s="5">
        <v>1.17E-4</v>
      </c>
      <c r="Y2227" s="2">
        <v>78.00947867</v>
      </c>
      <c r="AA2227" s="2" t="s">
        <v>33</v>
      </c>
    </row>
    <row r="2228">
      <c r="A2228" s="2">
        <v>4148.0</v>
      </c>
      <c r="B2228" s="2" t="s">
        <v>6408</v>
      </c>
      <c r="C2228" s="2" t="s">
        <v>7</v>
      </c>
      <c r="D2228" s="2" t="s">
        <v>6409</v>
      </c>
      <c r="F2228" s="3">
        <v>46014.63958333333</v>
      </c>
      <c r="G2228" s="2">
        <v>7488.0</v>
      </c>
      <c r="H2228" s="2">
        <v>7488.0</v>
      </c>
      <c r="I2228" s="2">
        <v>5780.0</v>
      </c>
      <c r="J2228" s="2">
        <v>29.0</v>
      </c>
      <c r="K2228" s="2">
        <v>28.0</v>
      </c>
      <c r="L2228" s="2">
        <v>0.0</v>
      </c>
      <c r="M2228" s="2">
        <v>0.0</v>
      </c>
      <c r="N2228" s="2" t="s">
        <v>6410</v>
      </c>
      <c r="O2228" s="4">
        <v>119278.0</v>
      </c>
      <c r="P2228" s="2" t="s">
        <v>189</v>
      </c>
      <c r="Q2228" s="2" t="s">
        <v>1367</v>
      </c>
      <c r="R2228" s="2">
        <v>35.0</v>
      </c>
      <c r="U2228" s="2" t="b">
        <v>0</v>
      </c>
      <c r="V2228" s="5">
        <v>0.0048</v>
      </c>
      <c r="W2228" s="5">
        <v>0.0</v>
      </c>
      <c r="X2228" s="5">
        <v>0.0</v>
      </c>
      <c r="Y2228" s="2">
        <v>0.0</v>
      </c>
      <c r="AA2228" s="2" t="s">
        <v>423</v>
      </c>
    </row>
    <row r="2229">
      <c r="A2229" s="2">
        <v>4149.0</v>
      </c>
      <c r="B2229" s="2" t="s">
        <v>6411</v>
      </c>
      <c r="C2229" s="2" t="s">
        <v>7</v>
      </c>
      <c r="D2229" s="2" t="s">
        <v>6412</v>
      </c>
      <c r="F2229" s="3">
        <v>46014.708333333336</v>
      </c>
      <c r="G2229" s="2">
        <v>7462.0</v>
      </c>
      <c r="H2229" s="2">
        <v>7462.0</v>
      </c>
      <c r="I2229" s="2">
        <v>5718.0</v>
      </c>
      <c r="J2229" s="2">
        <v>20.0</v>
      </c>
      <c r="K2229" s="2">
        <v>20.0</v>
      </c>
      <c r="L2229" s="2">
        <v>0.0</v>
      </c>
      <c r="M2229" s="2">
        <v>0.0</v>
      </c>
      <c r="N2229" s="2" t="s">
        <v>423</v>
      </c>
      <c r="O2229" s="2">
        <v>119.0</v>
      </c>
      <c r="P2229" s="2" t="s">
        <v>189</v>
      </c>
      <c r="Q2229" s="2" t="s">
        <v>1367</v>
      </c>
      <c r="R2229" s="2">
        <v>38.0</v>
      </c>
      <c r="U2229" s="2" t="b">
        <v>0</v>
      </c>
      <c r="V2229" s="5">
        <v>0.0035</v>
      </c>
      <c r="W2229" s="5">
        <v>0.0</v>
      </c>
      <c r="X2229" s="5">
        <v>0.0</v>
      </c>
      <c r="Y2229" s="2">
        <v>0.0</v>
      </c>
      <c r="AA2229" s="2" t="s">
        <v>423</v>
      </c>
    </row>
    <row r="2230">
      <c r="A2230" s="2">
        <v>4147.0</v>
      </c>
      <c r="B2230" s="2" t="s">
        <v>6413</v>
      </c>
      <c r="C2230" s="2" t="s">
        <v>7</v>
      </c>
      <c r="D2230" s="2" t="s">
        <v>6414</v>
      </c>
      <c r="F2230" s="3">
        <v>46014.708333333336</v>
      </c>
      <c r="G2230" s="2">
        <v>51105.0</v>
      </c>
      <c r="H2230" s="2">
        <v>51105.0</v>
      </c>
      <c r="I2230" s="2">
        <v>41590.0</v>
      </c>
      <c r="J2230" s="2">
        <v>199.0</v>
      </c>
      <c r="K2230" s="2">
        <v>195.0</v>
      </c>
      <c r="L2230" s="2">
        <v>1.0</v>
      </c>
      <c r="M2230" s="4">
        <v>1650.0</v>
      </c>
      <c r="N2230" s="2" t="s">
        <v>36</v>
      </c>
      <c r="O2230" s="2">
        <v>71.0</v>
      </c>
      <c r="P2230" s="2" t="s">
        <v>189</v>
      </c>
      <c r="Q2230" s="2" t="s">
        <v>32</v>
      </c>
      <c r="R2230" s="2">
        <v>41.0</v>
      </c>
      <c r="U2230" s="2" t="b">
        <v>0</v>
      </c>
      <c r="V2230" s="5">
        <v>0.0047</v>
      </c>
      <c r="W2230" s="5">
        <v>0.0051</v>
      </c>
      <c r="X2230" s="5">
        <v>2.4E-5</v>
      </c>
      <c r="Y2230" s="2">
        <v>8.461538462</v>
      </c>
      <c r="AA2230" s="2" t="s">
        <v>33</v>
      </c>
    </row>
    <row r="2231">
      <c r="A2231" s="2">
        <v>4146.0</v>
      </c>
      <c r="B2231" s="2" t="s">
        <v>6415</v>
      </c>
      <c r="C2231" s="2" t="s">
        <v>7</v>
      </c>
      <c r="D2231" s="2" t="s">
        <v>6416</v>
      </c>
      <c r="F2231" s="3">
        <v>46014.708333333336</v>
      </c>
      <c r="G2231" s="2">
        <v>72290.0</v>
      </c>
      <c r="H2231" s="2">
        <v>72290.0</v>
      </c>
      <c r="I2231" s="2">
        <v>60107.0</v>
      </c>
      <c r="J2231" s="2">
        <v>251.0</v>
      </c>
      <c r="K2231" s="2">
        <v>242.0</v>
      </c>
      <c r="L2231" s="2">
        <v>7.0</v>
      </c>
      <c r="M2231" s="4">
        <v>16632.0</v>
      </c>
      <c r="N2231" s="2" t="s">
        <v>30</v>
      </c>
      <c r="O2231" s="2">
        <v>70.0</v>
      </c>
      <c r="P2231" s="2" t="s">
        <v>189</v>
      </c>
      <c r="Q2231" s="2" t="s">
        <v>32</v>
      </c>
      <c r="R2231" s="2">
        <v>39.0</v>
      </c>
      <c r="U2231" s="2" t="b">
        <v>0</v>
      </c>
      <c r="V2231" s="5">
        <v>0.004</v>
      </c>
      <c r="W2231" s="5">
        <v>0.0289</v>
      </c>
      <c r="X2231" s="5">
        <v>1.16E-4</v>
      </c>
      <c r="Y2231" s="2">
        <v>68.72727273</v>
      </c>
      <c r="AA2231" s="2" t="s">
        <v>33</v>
      </c>
    </row>
    <row r="2232">
      <c r="A2232" s="2">
        <v>4150.0</v>
      </c>
      <c r="B2232" s="2" t="s">
        <v>6417</v>
      </c>
      <c r="C2232" s="2" t="s">
        <v>7</v>
      </c>
      <c r="D2232" s="2" t="s">
        <v>6418</v>
      </c>
      <c r="F2232" s="3">
        <v>46014.791666666664</v>
      </c>
      <c r="G2232" s="2">
        <v>7456.0</v>
      </c>
      <c r="H2232" s="2">
        <v>7456.0</v>
      </c>
      <c r="I2232" s="2">
        <v>5739.0</v>
      </c>
      <c r="J2232" s="2">
        <v>23.0</v>
      </c>
      <c r="K2232" s="2">
        <v>21.0</v>
      </c>
      <c r="L2232" s="2">
        <v>1.0</v>
      </c>
      <c r="M2232" s="4">
        <v>12995.0</v>
      </c>
      <c r="N2232" s="2" t="s">
        <v>423</v>
      </c>
      <c r="O2232" s="2">
        <v>119.0</v>
      </c>
      <c r="P2232" s="2" t="s">
        <v>189</v>
      </c>
      <c r="Q2232" s="2" t="s">
        <v>1367</v>
      </c>
      <c r="R2232" s="2">
        <v>47.0</v>
      </c>
      <c r="U2232" s="2" t="b">
        <v>0</v>
      </c>
      <c r="V2232" s="5">
        <v>0.0037</v>
      </c>
      <c r="W2232" s="5">
        <v>0.0476</v>
      </c>
      <c r="X2232" s="5">
        <v>1.74E-4</v>
      </c>
      <c r="Y2232" s="2">
        <v>618.8095238</v>
      </c>
      <c r="AA2232" s="2" t="s">
        <v>423</v>
      </c>
    </row>
    <row r="2233">
      <c r="A2233" s="2">
        <v>4151.0</v>
      </c>
      <c r="B2233" s="2" t="s">
        <v>6419</v>
      </c>
      <c r="C2233" s="2" t="s">
        <v>7</v>
      </c>
      <c r="D2233" s="2" t="s">
        <v>6420</v>
      </c>
      <c r="F2233" s="3">
        <v>46015.416666666664</v>
      </c>
      <c r="G2233" s="2">
        <v>72235.0</v>
      </c>
      <c r="H2233" s="2">
        <v>72235.0</v>
      </c>
      <c r="I2233" s="2">
        <v>59849.0</v>
      </c>
      <c r="J2233" s="2">
        <v>243.0</v>
      </c>
      <c r="K2233" s="2">
        <v>225.0</v>
      </c>
      <c r="L2233" s="2">
        <v>5.0</v>
      </c>
      <c r="M2233" s="4">
        <v>12573.0</v>
      </c>
      <c r="N2233" s="2" t="s">
        <v>30</v>
      </c>
      <c r="O2233" s="2">
        <v>70.0</v>
      </c>
      <c r="P2233" s="2" t="s">
        <v>189</v>
      </c>
      <c r="Q2233" s="2" t="s">
        <v>32</v>
      </c>
      <c r="R2233" s="2">
        <v>53.0</v>
      </c>
      <c r="U2233" s="2" t="b">
        <v>0</v>
      </c>
      <c r="V2233" s="5">
        <v>0.0038</v>
      </c>
      <c r="W2233" s="5">
        <v>0.0222</v>
      </c>
      <c r="X2233" s="5">
        <v>8.4E-5</v>
      </c>
      <c r="Y2233" s="2">
        <v>55.88</v>
      </c>
      <c r="AA2233" s="2" t="s">
        <v>33</v>
      </c>
    </row>
    <row r="2234">
      <c r="A2234" s="2">
        <v>4152.0</v>
      </c>
      <c r="B2234" s="2" t="s">
        <v>6421</v>
      </c>
      <c r="C2234" s="2" t="s">
        <v>7</v>
      </c>
      <c r="D2234" s="2" t="s">
        <v>6422</v>
      </c>
      <c r="F2234" s="3">
        <v>46015.416666666664</v>
      </c>
      <c r="G2234" s="2">
        <v>51004.0</v>
      </c>
      <c r="H2234" s="2">
        <v>51004.0</v>
      </c>
      <c r="I2234" s="2">
        <v>41378.0</v>
      </c>
      <c r="J2234" s="2">
        <v>197.0</v>
      </c>
      <c r="K2234" s="2">
        <v>193.0</v>
      </c>
      <c r="L2234" s="2">
        <v>6.0</v>
      </c>
      <c r="M2234" s="4">
        <v>16209.0</v>
      </c>
      <c r="N2234" s="2" t="s">
        <v>36</v>
      </c>
      <c r="O2234" s="2">
        <v>71.0</v>
      </c>
      <c r="P2234" s="2" t="s">
        <v>31</v>
      </c>
      <c r="Q2234" s="2" t="s">
        <v>32</v>
      </c>
      <c r="R2234" s="2">
        <v>59.0</v>
      </c>
      <c r="U2234" s="2" t="b">
        <v>0</v>
      </c>
      <c r="V2234" s="5">
        <v>0.0047</v>
      </c>
      <c r="W2234" s="5">
        <v>0.0311</v>
      </c>
      <c r="X2234" s="5">
        <v>1.45E-4</v>
      </c>
      <c r="Y2234" s="2">
        <v>83.98445596</v>
      </c>
      <c r="AA2234" s="2" t="s">
        <v>33</v>
      </c>
    </row>
    <row r="2235">
      <c r="A2235" s="2">
        <v>4154.0</v>
      </c>
      <c r="B2235" s="2" t="s">
        <v>6423</v>
      </c>
      <c r="C2235" s="2" t="s">
        <v>7</v>
      </c>
      <c r="D2235" s="2" t="s">
        <v>3333</v>
      </c>
      <c r="F2235" s="3">
        <v>46015.625</v>
      </c>
      <c r="G2235" s="2">
        <v>51133.0</v>
      </c>
      <c r="H2235" s="2">
        <v>51133.0</v>
      </c>
      <c r="I2235" s="2">
        <v>41905.0</v>
      </c>
      <c r="J2235" s="2">
        <v>171.0</v>
      </c>
      <c r="K2235" s="2">
        <v>165.0</v>
      </c>
      <c r="L2235" s="2">
        <v>2.0</v>
      </c>
      <c r="M2235" s="4">
        <v>10652.0</v>
      </c>
      <c r="N2235" s="2" t="s">
        <v>36</v>
      </c>
      <c r="O2235" s="2">
        <v>71.0</v>
      </c>
      <c r="P2235" s="2" t="s">
        <v>189</v>
      </c>
      <c r="Q2235" s="2" t="s">
        <v>32</v>
      </c>
      <c r="R2235" s="2">
        <v>43.0</v>
      </c>
      <c r="U2235" s="2" t="b">
        <v>0</v>
      </c>
      <c r="V2235" s="5">
        <v>0.0039</v>
      </c>
      <c r="W2235" s="5">
        <v>0.0121</v>
      </c>
      <c r="X2235" s="5">
        <v>4.8E-5</v>
      </c>
      <c r="Y2235" s="2">
        <v>64.55757576</v>
      </c>
      <c r="AA2235" s="2" t="s">
        <v>33</v>
      </c>
    </row>
    <row r="2236">
      <c r="A2236" s="2">
        <v>4153.0</v>
      </c>
      <c r="B2236" s="2" t="s">
        <v>6424</v>
      </c>
      <c r="C2236" s="2" t="s">
        <v>7</v>
      </c>
      <c r="D2236" s="2" t="s">
        <v>3908</v>
      </c>
      <c r="F2236" s="3">
        <v>46015.625</v>
      </c>
      <c r="G2236" s="2">
        <v>72585.0</v>
      </c>
      <c r="H2236" s="2">
        <v>72585.0</v>
      </c>
      <c r="I2236" s="2">
        <v>60453.0</v>
      </c>
      <c r="J2236" s="2">
        <v>196.0</v>
      </c>
      <c r="K2236" s="2">
        <v>190.0</v>
      </c>
      <c r="L2236" s="2">
        <v>2.0</v>
      </c>
      <c r="M2236" s="4">
        <v>4920.0</v>
      </c>
      <c r="N2236" s="2" t="s">
        <v>30</v>
      </c>
      <c r="O2236" s="2">
        <v>70.0</v>
      </c>
      <c r="P2236" s="2" t="s">
        <v>189</v>
      </c>
      <c r="Q2236" s="2" t="s">
        <v>32</v>
      </c>
      <c r="R2236" s="2">
        <v>31.0</v>
      </c>
      <c r="U2236" s="2" t="b">
        <v>0</v>
      </c>
      <c r="V2236" s="5">
        <v>0.0031</v>
      </c>
      <c r="W2236" s="5">
        <v>0.0105</v>
      </c>
      <c r="X2236" s="5">
        <v>3.3E-5</v>
      </c>
      <c r="Y2236" s="2">
        <v>25.89473684</v>
      </c>
      <c r="AA2236" s="2" t="s">
        <v>33</v>
      </c>
    </row>
    <row r="2237">
      <c r="A2237" s="2">
        <v>4156.0</v>
      </c>
      <c r="B2237" s="2" t="s">
        <v>6425</v>
      </c>
      <c r="C2237" s="2" t="s">
        <v>7</v>
      </c>
      <c r="D2237" s="2" t="s">
        <v>6426</v>
      </c>
      <c r="F2237" s="3">
        <v>46015.708333333336</v>
      </c>
      <c r="G2237" s="2">
        <v>51092.0</v>
      </c>
      <c r="H2237" s="2">
        <v>51092.0</v>
      </c>
      <c r="I2237" s="2">
        <v>41780.0</v>
      </c>
      <c r="J2237" s="2">
        <v>185.0</v>
      </c>
      <c r="K2237" s="2">
        <v>181.0</v>
      </c>
      <c r="L2237" s="2">
        <v>3.0</v>
      </c>
      <c r="M2237" s="4">
        <v>7564.0</v>
      </c>
      <c r="N2237" s="2" t="s">
        <v>36</v>
      </c>
      <c r="O2237" s="2">
        <v>71.0</v>
      </c>
      <c r="P2237" s="2" t="s">
        <v>189</v>
      </c>
      <c r="Q2237" s="2" t="s">
        <v>32</v>
      </c>
      <c r="R2237" s="2">
        <v>45.0</v>
      </c>
      <c r="U2237" s="2" t="b">
        <v>0</v>
      </c>
      <c r="V2237" s="5">
        <v>0.0043</v>
      </c>
      <c r="W2237" s="5">
        <v>0.0166</v>
      </c>
      <c r="X2237" s="5">
        <v>7.2E-5</v>
      </c>
      <c r="Y2237" s="2">
        <v>41.79005525</v>
      </c>
      <c r="AA2237" s="2" t="s">
        <v>33</v>
      </c>
    </row>
    <row r="2238">
      <c r="A2238" s="2">
        <v>4155.0</v>
      </c>
      <c r="B2238" s="2" t="s">
        <v>6427</v>
      </c>
      <c r="C2238" s="2" t="s">
        <v>7</v>
      </c>
      <c r="D2238" s="2" t="s">
        <v>6428</v>
      </c>
      <c r="F2238" s="3">
        <v>46015.708333333336</v>
      </c>
      <c r="G2238" s="2">
        <v>72612.0</v>
      </c>
      <c r="H2238" s="2">
        <v>72612.0</v>
      </c>
      <c r="I2238" s="2">
        <v>60189.0</v>
      </c>
      <c r="J2238" s="2">
        <v>210.0</v>
      </c>
      <c r="K2238" s="2">
        <v>201.0</v>
      </c>
      <c r="L2238" s="2">
        <v>2.0</v>
      </c>
      <c r="M2238" s="4">
        <v>5272.0</v>
      </c>
      <c r="N2238" s="2" t="s">
        <v>30</v>
      </c>
      <c r="O2238" s="2">
        <v>70.0</v>
      </c>
      <c r="P2238" s="2" t="s">
        <v>189</v>
      </c>
      <c r="Q2238" s="2" t="s">
        <v>32</v>
      </c>
      <c r="R2238" s="2">
        <v>44.0</v>
      </c>
      <c r="U2238" s="2" t="b">
        <v>0</v>
      </c>
      <c r="V2238" s="5">
        <v>0.0033</v>
      </c>
      <c r="W2238" s="5">
        <v>0.01</v>
      </c>
      <c r="X2238" s="5">
        <v>3.3E-5</v>
      </c>
      <c r="Y2238" s="2">
        <v>26.22885572</v>
      </c>
      <c r="Z2238" s="2">
        <v>5990.0</v>
      </c>
      <c r="AA2238" s="2" t="s">
        <v>33</v>
      </c>
    </row>
    <row r="2239">
      <c r="A2239" s="2">
        <v>4157.0</v>
      </c>
      <c r="B2239" s="2" t="s">
        <v>6429</v>
      </c>
      <c r="C2239" s="2" t="s">
        <v>7</v>
      </c>
      <c r="D2239" s="2" t="s">
        <v>6430</v>
      </c>
      <c r="F2239" s="3">
        <v>46016.479166666664</v>
      </c>
      <c r="G2239" s="2">
        <v>72901.0</v>
      </c>
      <c r="H2239" s="2">
        <v>72901.0</v>
      </c>
      <c r="I2239" s="2">
        <v>60188.0</v>
      </c>
      <c r="J2239" s="2">
        <v>215.0</v>
      </c>
      <c r="K2239" s="2">
        <v>201.0</v>
      </c>
      <c r="L2239" s="2">
        <v>4.0</v>
      </c>
      <c r="M2239" s="4">
        <v>10625.0</v>
      </c>
      <c r="N2239" s="2" t="s">
        <v>30</v>
      </c>
      <c r="O2239" s="2">
        <v>70.0</v>
      </c>
      <c r="P2239" s="2" t="s">
        <v>31</v>
      </c>
      <c r="Q2239" s="2" t="s">
        <v>32</v>
      </c>
      <c r="R2239" s="2">
        <v>38.0</v>
      </c>
      <c r="U2239" s="2" t="b">
        <v>0</v>
      </c>
      <c r="V2239" s="5">
        <v>0.0033</v>
      </c>
      <c r="W2239" s="5">
        <v>0.0199</v>
      </c>
      <c r="X2239" s="5">
        <v>6.6E-5</v>
      </c>
      <c r="Y2239" s="2">
        <v>52.86069652</v>
      </c>
      <c r="AA2239" s="2" t="s">
        <v>33</v>
      </c>
    </row>
    <row r="2240">
      <c r="A2240" s="2">
        <v>4158.0</v>
      </c>
      <c r="B2240" s="2" t="s">
        <v>6431</v>
      </c>
      <c r="C2240" s="2" t="s">
        <v>7</v>
      </c>
      <c r="D2240" s="2" t="s">
        <v>6432</v>
      </c>
      <c r="F2240" s="3">
        <v>46016.48819444444</v>
      </c>
      <c r="G2240" s="2">
        <v>51143.0</v>
      </c>
      <c r="H2240" s="2">
        <v>51143.0</v>
      </c>
      <c r="I2240" s="2">
        <v>41431.0</v>
      </c>
      <c r="J2240" s="2">
        <v>167.0</v>
      </c>
      <c r="K2240" s="2">
        <v>157.0</v>
      </c>
      <c r="L2240" s="2">
        <v>4.0</v>
      </c>
      <c r="M2240" s="4">
        <v>12430.0</v>
      </c>
      <c r="N2240" s="2" t="s">
        <v>36</v>
      </c>
      <c r="O2240" s="2">
        <v>71.0</v>
      </c>
      <c r="P2240" s="2" t="s">
        <v>189</v>
      </c>
      <c r="Q2240" s="2" t="s">
        <v>32</v>
      </c>
      <c r="R2240" s="2">
        <v>32.0</v>
      </c>
      <c r="U2240" s="2" t="b">
        <v>0</v>
      </c>
      <c r="V2240" s="5">
        <v>0.0038</v>
      </c>
      <c r="W2240" s="5">
        <v>0.0255</v>
      </c>
      <c r="X2240" s="5">
        <v>9.7E-5</v>
      </c>
      <c r="Y2240" s="2">
        <v>79.17197452</v>
      </c>
      <c r="AA2240" s="2" t="s">
        <v>33</v>
      </c>
    </row>
    <row r="2241">
      <c r="A2241" s="2">
        <v>4163.0</v>
      </c>
      <c r="B2241" s="2" t="s">
        <v>6433</v>
      </c>
      <c r="C2241" s="2" t="s">
        <v>7</v>
      </c>
      <c r="D2241" s="2" t="s">
        <v>6432</v>
      </c>
      <c r="F2241" s="3">
        <v>46016.62222222222</v>
      </c>
      <c r="G2241" s="2">
        <v>7194.0</v>
      </c>
      <c r="H2241" s="2">
        <v>7194.0</v>
      </c>
      <c r="I2241" s="2">
        <v>5562.0</v>
      </c>
      <c r="J2241" s="2">
        <v>30.0</v>
      </c>
      <c r="K2241" s="2">
        <v>28.0</v>
      </c>
      <c r="L2241" s="2">
        <v>0.0</v>
      </c>
      <c r="M2241" s="2">
        <v>0.0</v>
      </c>
      <c r="N2241" s="2" t="s">
        <v>423</v>
      </c>
      <c r="O2241" s="2">
        <v>119.0</v>
      </c>
      <c r="P2241" s="2" t="s">
        <v>189</v>
      </c>
      <c r="Q2241" s="2" t="s">
        <v>1367</v>
      </c>
      <c r="R2241" s="2">
        <v>32.0</v>
      </c>
      <c r="U2241" s="2" t="b">
        <v>0</v>
      </c>
      <c r="V2241" s="5">
        <v>0.005</v>
      </c>
      <c r="W2241" s="5">
        <v>0.0</v>
      </c>
      <c r="X2241" s="5">
        <v>0.0</v>
      </c>
      <c r="Y2241" s="2">
        <v>0.0</v>
      </c>
      <c r="AA2241" s="2" t="s">
        <v>423</v>
      </c>
    </row>
    <row r="2242">
      <c r="A2242" s="2">
        <v>4159.0</v>
      </c>
      <c r="B2242" s="2" t="s">
        <v>6434</v>
      </c>
      <c r="C2242" s="2" t="s">
        <v>7</v>
      </c>
      <c r="D2242" s="2" t="s">
        <v>6435</v>
      </c>
      <c r="F2242" s="3">
        <v>46016.625</v>
      </c>
      <c r="G2242" s="2">
        <v>72858.0</v>
      </c>
      <c r="H2242" s="2">
        <v>72858.0</v>
      </c>
      <c r="I2242" s="2">
        <v>60639.0</v>
      </c>
      <c r="J2242" s="2">
        <v>191.0</v>
      </c>
      <c r="K2242" s="2">
        <v>179.0</v>
      </c>
      <c r="L2242" s="2">
        <v>2.0</v>
      </c>
      <c r="M2242" s="4">
        <v>26106.0</v>
      </c>
      <c r="N2242" s="2" t="s">
        <v>30</v>
      </c>
      <c r="O2242" s="2">
        <v>70.0</v>
      </c>
      <c r="P2242" s="2" t="s">
        <v>189</v>
      </c>
      <c r="Q2242" s="2" t="s">
        <v>32</v>
      </c>
      <c r="R2242" s="2">
        <v>39.0</v>
      </c>
      <c r="U2242" s="2" t="b">
        <v>0</v>
      </c>
      <c r="V2242" s="5">
        <v>0.003</v>
      </c>
      <c r="W2242" s="5">
        <v>0.0112</v>
      </c>
      <c r="X2242" s="5">
        <v>3.3E-5</v>
      </c>
      <c r="Y2242" s="2">
        <v>145.8435754</v>
      </c>
      <c r="Z2242" s="2">
        <v>1003.0</v>
      </c>
      <c r="AA2242" s="2" t="s">
        <v>33</v>
      </c>
    </row>
    <row r="2243">
      <c r="A2243" s="2">
        <v>4160.0</v>
      </c>
      <c r="B2243" s="2" t="s">
        <v>6436</v>
      </c>
      <c r="C2243" s="2" t="s">
        <v>7</v>
      </c>
      <c r="D2243" s="2" t="s">
        <v>6437</v>
      </c>
      <c r="F2243" s="3">
        <v>46016.625</v>
      </c>
      <c r="G2243" s="2">
        <v>51114.0</v>
      </c>
      <c r="H2243" s="2">
        <v>51114.0</v>
      </c>
      <c r="I2243" s="2">
        <v>41910.0</v>
      </c>
      <c r="J2243" s="2">
        <v>153.0</v>
      </c>
      <c r="K2243" s="2">
        <v>147.0</v>
      </c>
      <c r="L2243" s="2">
        <v>3.0</v>
      </c>
      <c r="M2243" s="4">
        <v>8662.0</v>
      </c>
      <c r="N2243" s="2" t="s">
        <v>36</v>
      </c>
      <c r="O2243" s="2">
        <v>71.0</v>
      </c>
      <c r="P2243" s="2" t="s">
        <v>189</v>
      </c>
      <c r="Q2243" s="2" t="s">
        <v>32</v>
      </c>
      <c r="R2243" s="2">
        <v>51.0</v>
      </c>
      <c r="U2243" s="2" t="b">
        <v>0</v>
      </c>
      <c r="V2243" s="5">
        <v>0.0035</v>
      </c>
      <c r="W2243" s="5">
        <v>0.0204</v>
      </c>
      <c r="X2243" s="5">
        <v>7.2E-5</v>
      </c>
      <c r="Y2243" s="2">
        <v>58.92517007</v>
      </c>
      <c r="AA2243" s="2" t="s">
        <v>33</v>
      </c>
    </row>
    <row r="2244">
      <c r="A2244" s="2">
        <v>4164.0</v>
      </c>
      <c r="B2244" s="2" t="s">
        <v>6438</v>
      </c>
      <c r="C2244" s="2" t="s">
        <v>7</v>
      </c>
      <c r="D2244" s="2" t="s">
        <v>6432</v>
      </c>
      <c r="F2244" s="3">
        <v>46016.63402777778</v>
      </c>
      <c r="G2244" s="2">
        <v>26.0</v>
      </c>
      <c r="H2244" s="2">
        <v>26.0</v>
      </c>
      <c r="I2244" s="2">
        <v>20.0</v>
      </c>
      <c r="J2244" s="2">
        <v>0.0</v>
      </c>
      <c r="K2244" s="2">
        <v>0.0</v>
      </c>
      <c r="L2244" s="2">
        <v>0.0</v>
      </c>
      <c r="M2244" s="2">
        <v>0.0</v>
      </c>
      <c r="N2244" s="2" t="s">
        <v>6029</v>
      </c>
      <c r="O2244" s="2">
        <v>278.0</v>
      </c>
      <c r="P2244" s="2" t="s">
        <v>189</v>
      </c>
      <c r="Q2244" s="2" t="s">
        <v>32</v>
      </c>
      <c r="R2244" s="2">
        <v>32.0</v>
      </c>
      <c r="U2244" s="2" t="b">
        <v>0</v>
      </c>
      <c r="V2244" s="5">
        <v>0.0</v>
      </c>
      <c r="X2244" s="5">
        <v>0.0</v>
      </c>
    </row>
    <row r="2245">
      <c r="A2245" s="2">
        <v>4165.0</v>
      </c>
      <c r="B2245" s="2" t="s">
        <v>6439</v>
      </c>
      <c r="C2245" s="2" t="s">
        <v>7</v>
      </c>
      <c r="D2245" s="2" t="s">
        <v>6440</v>
      </c>
      <c r="F2245" s="3">
        <v>46016.666666666664</v>
      </c>
      <c r="G2245" s="2">
        <v>7154.0</v>
      </c>
      <c r="H2245" s="2">
        <v>7154.0</v>
      </c>
      <c r="I2245" s="2">
        <v>5475.0</v>
      </c>
      <c r="J2245" s="2">
        <v>50.0</v>
      </c>
      <c r="K2245" s="2">
        <v>49.0</v>
      </c>
      <c r="L2245" s="2">
        <v>0.0</v>
      </c>
      <c r="M2245" s="2">
        <v>0.0</v>
      </c>
      <c r="N2245" s="2" t="s">
        <v>423</v>
      </c>
      <c r="O2245" s="2">
        <v>119.0</v>
      </c>
      <c r="P2245" s="2" t="s">
        <v>189</v>
      </c>
      <c r="Q2245" s="2" t="s">
        <v>1367</v>
      </c>
      <c r="R2245" s="2">
        <v>51.0</v>
      </c>
      <c r="U2245" s="2" t="b">
        <v>0</v>
      </c>
      <c r="V2245" s="5">
        <v>0.0089</v>
      </c>
      <c r="W2245" s="5">
        <v>0.0</v>
      </c>
      <c r="X2245" s="5">
        <v>0.0</v>
      </c>
      <c r="Y2245" s="2">
        <v>0.0</v>
      </c>
      <c r="AA2245" s="2" t="s">
        <v>423</v>
      </c>
    </row>
    <row r="2246">
      <c r="A2246" s="2">
        <v>4161.0</v>
      </c>
      <c r="B2246" s="2" t="s">
        <v>6441</v>
      </c>
      <c r="C2246" s="2" t="s">
        <v>7</v>
      </c>
      <c r="D2246" s="2" t="s">
        <v>6442</v>
      </c>
      <c r="F2246" s="3">
        <v>46016.708333333336</v>
      </c>
      <c r="G2246" s="2">
        <v>72958.0</v>
      </c>
      <c r="H2246" s="2">
        <v>72958.0</v>
      </c>
      <c r="I2246" s="2">
        <v>60658.0</v>
      </c>
      <c r="J2246" s="2">
        <v>257.0</v>
      </c>
      <c r="K2246" s="2">
        <v>246.0</v>
      </c>
      <c r="L2246" s="2">
        <v>2.0</v>
      </c>
      <c r="M2246" s="4">
        <v>3880.0</v>
      </c>
      <c r="N2246" s="2" t="s">
        <v>30</v>
      </c>
      <c r="O2246" s="2">
        <v>70.0</v>
      </c>
      <c r="P2246" s="2" t="s">
        <v>31</v>
      </c>
      <c r="Q2246" s="2" t="s">
        <v>32</v>
      </c>
      <c r="R2246" s="2">
        <v>40.0</v>
      </c>
      <c r="U2246" s="2" t="b">
        <v>0</v>
      </c>
      <c r="V2246" s="5">
        <v>0.0041</v>
      </c>
      <c r="W2246" s="5">
        <v>0.0081</v>
      </c>
      <c r="X2246" s="5">
        <v>3.3E-5</v>
      </c>
      <c r="Y2246" s="2">
        <v>15.77235772</v>
      </c>
      <c r="Z2246" s="2">
        <v>4412.0</v>
      </c>
      <c r="AA2246" s="2" t="s">
        <v>33</v>
      </c>
    </row>
    <row r="2247">
      <c r="A2247" s="2">
        <v>4162.0</v>
      </c>
      <c r="B2247" s="2" t="s">
        <v>6443</v>
      </c>
      <c r="C2247" s="2" t="s">
        <v>7</v>
      </c>
      <c r="D2247" s="2" t="s">
        <v>6444</v>
      </c>
      <c r="F2247" s="3">
        <v>46016.708333333336</v>
      </c>
      <c r="G2247" s="2">
        <v>51169.0</v>
      </c>
      <c r="H2247" s="2">
        <v>51169.0</v>
      </c>
      <c r="I2247" s="2">
        <v>41879.0</v>
      </c>
      <c r="J2247" s="2">
        <v>248.0</v>
      </c>
      <c r="K2247" s="2">
        <v>236.0</v>
      </c>
      <c r="L2247" s="2">
        <v>4.0</v>
      </c>
      <c r="M2247" s="4">
        <v>7118.0</v>
      </c>
      <c r="N2247" s="2" t="s">
        <v>36</v>
      </c>
      <c r="O2247" s="2">
        <v>71.0</v>
      </c>
      <c r="P2247" s="2" t="s">
        <v>31</v>
      </c>
      <c r="Q2247" s="2" t="s">
        <v>32</v>
      </c>
      <c r="R2247" s="2">
        <v>41.0</v>
      </c>
      <c r="U2247" s="2" t="b">
        <v>1</v>
      </c>
      <c r="V2247" s="5">
        <v>0.0056</v>
      </c>
      <c r="W2247" s="5">
        <v>0.0169</v>
      </c>
      <c r="X2247" s="5">
        <v>9.6E-5</v>
      </c>
      <c r="Y2247" s="2">
        <v>30.16101695</v>
      </c>
      <c r="AA2247" s="2" t="s">
        <v>33</v>
      </c>
    </row>
    <row r="2248">
      <c r="A2248" s="2">
        <v>4166.0</v>
      </c>
      <c r="B2248" s="2" t="s">
        <v>6445</v>
      </c>
      <c r="C2248" s="2" t="s">
        <v>7</v>
      </c>
      <c r="D2248" s="2" t="s">
        <v>6446</v>
      </c>
      <c r="F2248" s="3">
        <v>46016.75</v>
      </c>
      <c r="G2248" s="2">
        <v>7153.0</v>
      </c>
      <c r="H2248" s="2">
        <v>7153.0</v>
      </c>
      <c r="I2248" s="2">
        <v>5411.0</v>
      </c>
      <c r="J2248" s="2">
        <v>27.0</v>
      </c>
      <c r="K2248" s="2">
        <v>27.0</v>
      </c>
      <c r="L2248" s="2">
        <v>0.0</v>
      </c>
      <c r="M2248" s="2">
        <v>0.0</v>
      </c>
      <c r="N2248" s="2" t="s">
        <v>423</v>
      </c>
      <c r="O2248" s="2">
        <v>119.0</v>
      </c>
      <c r="P2248" s="2" t="s">
        <v>189</v>
      </c>
      <c r="Q2248" s="2" t="s">
        <v>1367</v>
      </c>
      <c r="R2248" s="2">
        <v>49.0</v>
      </c>
      <c r="U2248" s="2" t="b">
        <v>0</v>
      </c>
      <c r="V2248" s="5">
        <v>0.005</v>
      </c>
      <c r="W2248" s="5">
        <v>0.0</v>
      </c>
      <c r="X2248" s="5">
        <v>0.0</v>
      </c>
      <c r="Y2248" s="2">
        <v>0.0</v>
      </c>
      <c r="AA2248" s="2" t="s">
        <v>423</v>
      </c>
    </row>
    <row r="2249">
      <c r="A2249" s="2">
        <v>4168.0</v>
      </c>
      <c r="B2249" s="2" t="s">
        <v>6447</v>
      </c>
      <c r="C2249" s="2" t="s">
        <v>7</v>
      </c>
      <c r="D2249" s="2" t="s">
        <v>6448</v>
      </c>
      <c r="F2249" s="3">
        <v>46017.458333333336</v>
      </c>
      <c r="G2249" s="2">
        <v>51235.0</v>
      </c>
      <c r="H2249" s="2">
        <v>51235.0</v>
      </c>
      <c r="I2249" s="2">
        <v>41727.0</v>
      </c>
      <c r="J2249" s="2">
        <v>156.0</v>
      </c>
      <c r="K2249" s="2">
        <v>152.0</v>
      </c>
      <c r="L2249" s="2">
        <v>5.0</v>
      </c>
      <c r="M2249" s="4">
        <v>11058.0</v>
      </c>
      <c r="N2249" s="2" t="s">
        <v>36</v>
      </c>
      <c r="O2249" s="2">
        <v>71.0</v>
      </c>
      <c r="P2249" s="2" t="s">
        <v>189</v>
      </c>
      <c r="Q2249" s="2" t="s">
        <v>32</v>
      </c>
      <c r="R2249" s="2">
        <v>51.0</v>
      </c>
      <c r="U2249" s="2" t="b">
        <v>1</v>
      </c>
      <c r="V2249" s="5">
        <v>0.0036</v>
      </c>
      <c r="W2249" s="5">
        <v>0.0329</v>
      </c>
      <c r="X2249" s="5">
        <v>1.2E-4</v>
      </c>
      <c r="Y2249" s="2">
        <v>72.75</v>
      </c>
      <c r="AA2249" s="2" t="s">
        <v>33</v>
      </c>
    </row>
    <row r="2250">
      <c r="A2250" s="2">
        <v>4167.0</v>
      </c>
      <c r="B2250" s="2" t="s">
        <v>6449</v>
      </c>
      <c r="C2250" s="2" t="s">
        <v>7</v>
      </c>
      <c r="D2250" s="2" t="s">
        <v>6450</v>
      </c>
      <c r="F2250" s="3">
        <v>46017.458333333336</v>
      </c>
      <c r="G2250" s="2">
        <v>73196.0</v>
      </c>
      <c r="H2250" s="2">
        <v>73196.0</v>
      </c>
      <c r="I2250" s="2">
        <v>60513.0</v>
      </c>
      <c r="J2250" s="2">
        <v>197.0</v>
      </c>
      <c r="K2250" s="2">
        <v>189.0</v>
      </c>
      <c r="L2250" s="2">
        <v>1.0</v>
      </c>
      <c r="M2250" s="4">
        <v>4700.0</v>
      </c>
      <c r="N2250" s="2" t="s">
        <v>30</v>
      </c>
      <c r="O2250" s="2">
        <v>70.0</v>
      </c>
      <c r="P2250" s="2" t="s">
        <v>189</v>
      </c>
      <c r="Q2250" s="2" t="s">
        <v>32</v>
      </c>
      <c r="R2250" s="2">
        <v>50.0</v>
      </c>
      <c r="U2250" s="2" t="b">
        <v>0</v>
      </c>
      <c r="V2250" s="5">
        <v>0.0031</v>
      </c>
      <c r="W2250" s="5">
        <v>0.0053</v>
      </c>
      <c r="X2250" s="5">
        <v>1.7E-5</v>
      </c>
      <c r="Y2250" s="2">
        <v>24.86772487</v>
      </c>
      <c r="Z2250" s="2">
        <v>3377.0</v>
      </c>
      <c r="AA2250" s="2" t="s">
        <v>33</v>
      </c>
    </row>
    <row r="2251">
      <c r="A2251" s="2">
        <v>4170.0</v>
      </c>
      <c r="B2251" s="2" t="s">
        <v>6451</v>
      </c>
      <c r="C2251" s="2" t="s">
        <v>7</v>
      </c>
      <c r="D2251" s="2" t="s">
        <v>6452</v>
      </c>
      <c r="F2251" s="3">
        <v>46017.625</v>
      </c>
      <c r="G2251" s="2">
        <v>51256.0</v>
      </c>
      <c r="H2251" s="2">
        <v>51256.0</v>
      </c>
      <c r="I2251" s="2">
        <v>41882.0</v>
      </c>
      <c r="J2251" s="2">
        <v>202.0</v>
      </c>
      <c r="K2251" s="2">
        <v>186.0</v>
      </c>
      <c r="L2251" s="2">
        <v>4.0</v>
      </c>
      <c r="M2251" s="4">
        <v>27078.0</v>
      </c>
      <c r="N2251" s="2" t="s">
        <v>36</v>
      </c>
      <c r="O2251" s="2">
        <v>71.0</v>
      </c>
      <c r="P2251" s="2" t="s">
        <v>31</v>
      </c>
      <c r="Q2251" s="2" t="s">
        <v>32</v>
      </c>
      <c r="R2251" s="2">
        <v>44.0</v>
      </c>
      <c r="U2251" s="2" t="b">
        <v>1</v>
      </c>
      <c r="V2251" s="5">
        <v>0.0044</v>
      </c>
      <c r="W2251" s="5">
        <v>0.0215</v>
      </c>
      <c r="X2251" s="5">
        <v>9.6E-5</v>
      </c>
      <c r="Y2251" s="2">
        <v>145.5806452</v>
      </c>
      <c r="AA2251" s="2" t="s">
        <v>33</v>
      </c>
    </row>
    <row r="2252">
      <c r="A2252" s="2">
        <v>4169.0</v>
      </c>
      <c r="B2252" s="2" t="s">
        <v>6453</v>
      </c>
      <c r="C2252" s="2" t="s">
        <v>7</v>
      </c>
      <c r="D2252" s="2" t="s">
        <v>6454</v>
      </c>
      <c r="F2252" s="3">
        <v>46017.625</v>
      </c>
      <c r="G2252" s="2">
        <v>73172.0</v>
      </c>
      <c r="H2252" s="2">
        <v>73172.0</v>
      </c>
      <c r="I2252" s="2">
        <v>60767.0</v>
      </c>
      <c r="J2252" s="2">
        <v>279.0</v>
      </c>
      <c r="K2252" s="2">
        <v>264.0</v>
      </c>
      <c r="L2252" s="2">
        <v>4.0</v>
      </c>
      <c r="M2252" s="4">
        <v>15338.0</v>
      </c>
      <c r="N2252" s="2" t="s">
        <v>30</v>
      </c>
      <c r="O2252" s="2">
        <v>70.0</v>
      </c>
      <c r="P2252" s="2" t="s">
        <v>189</v>
      </c>
      <c r="Q2252" s="2" t="s">
        <v>32</v>
      </c>
      <c r="R2252" s="2">
        <v>43.0</v>
      </c>
      <c r="U2252" s="2" t="b">
        <v>0</v>
      </c>
      <c r="V2252" s="5">
        <v>0.0043</v>
      </c>
      <c r="W2252" s="5">
        <v>0.0152</v>
      </c>
      <c r="X2252" s="5">
        <v>6.6E-5</v>
      </c>
      <c r="Y2252" s="2">
        <v>58.09848485</v>
      </c>
      <c r="Z2252" s="2">
        <v>6625.0</v>
      </c>
      <c r="AA2252" s="2" t="s">
        <v>33</v>
      </c>
    </row>
    <row r="2253">
      <c r="A2253" s="2">
        <v>4172.0</v>
      </c>
      <c r="B2253" s="2" t="s">
        <v>6455</v>
      </c>
      <c r="C2253" s="2" t="s">
        <v>7</v>
      </c>
      <c r="D2253" s="2" t="s">
        <v>6456</v>
      </c>
      <c r="F2253" s="3">
        <v>46017.708333333336</v>
      </c>
      <c r="G2253" s="2">
        <v>51223.0</v>
      </c>
      <c r="H2253" s="2">
        <v>51223.0</v>
      </c>
      <c r="I2253" s="2">
        <v>7142.0</v>
      </c>
      <c r="J2253" s="2">
        <v>0.0</v>
      </c>
      <c r="K2253" s="2">
        <v>0.0</v>
      </c>
      <c r="L2253" s="2">
        <v>0.0</v>
      </c>
      <c r="M2253" s="2">
        <v>0.0</v>
      </c>
      <c r="N2253" s="2" t="s">
        <v>36</v>
      </c>
      <c r="O2253" s="2">
        <v>71.0</v>
      </c>
      <c r="P2253" s="2" t="s">
        <v>189</v>
      </c>
      <c r="Q2253" s="2" t="s">
        <v>32</v>
      </c>
      <c r="R2253" s="2">
        <v>31.0</v>
      </c>
      <c r="U2253" s="2" t="b">
        <v>1</v>
      </c>
      <c r="V2253" s="5">
        <v>0.0</v>
      </c>
      <c r="X2253" s="5">
        <v>0.0</v>
      </c>
      <c r="AA2253" s="2" t="s">
        <v>33</v>
      </c>
    </row>
    <row r="2254">
      <c r="A2254" s="2">
        <v>4171.0</v>
      </c>
      <c r="B2254" s="2" t="s">
        <v>6457</v>
      </c>
      <c r="C2254" s="2" t="s">
        <v>7</v>
      </c>
      <c r="D2254" s="2" t="s">
        <v>6458</v>
      </c>
      <c r="F2254" s="3">
        <v>46017.708333333336</v>
      </c>
      <c r="G2254" s="2">
        <v>73147.0</v>
      </c>
      <c r="H2254" s="2">
        <v>73147.0</v>
      </c>
      <c r="I2254" s="2">
        <v>14546.0</v>
      </c>
      <c r="J2254" s="2">
        <v>4.0</v>
      </c>
      <c r="K2254" s="2">
        <v>3.0</v>
      </c>
      <c r="L2254" s="2">
        <v>0.0</v>
      </c>
      <c r="M2254" s="2">
        <v>0.0</v>
      </c>
      <c r="N2254" s="2" t="s">
        <v>30</v>
      </c>
      <c r="O2254" s="2">
        <v>70.0</v>
      </c>
      <c r="P2254" s="2" t="s">
        <v>189</v>
      </c>
      <c r="Q2254" s="2" t="s">
        <v>32</v>
      </c>
      <c r="R2254" s="2">
        <v>30.0</v>
      </c>
      <c r="U2254" s="2" t="b">
        <v>0</v>
      </c>
      <c r="V2254" s="5">
        <v>2.0E-4</v>
      </c>
      <c r="W2254" s="5">
        <v>0.0</v>
      </c>
      <c r="X2254" s="5">
        <v>0.0</v>
      </c>
      <c r="Y2254" s="2">
        <v>0.0</v>
      </c>
      <c r="Z2254" s="2">
        <v>1728.0</v>
      </c>
      <c r="AA2254" s="2" t="s">
        <v>33</v>
      </c>
    </row>
    <row r="2255">
      <c r="A2255" s="2">
        <v>4174.0</v>
      </c>
      <c r="B2255" s="2" t="s">
        <v>6459</v>
      </c>
      <c r="C2255" s="2" t="s">
        <v>7</v>
      </c>
      <c r="D2255" s="2" t="s">
        <v>6460</v>
      </c>
      <c r="F2255" s="3">
        <v>46018.458333333336</v>
      </c>
      <c r="G2255" s="2">
        <v>51347.0</v>
      </c>
      <c r="H2255" s="2">
        <v>51347.0</v>
      </c>
      <c r="I2255" s="2">
        <v>42524.0</v>
      </c>
      <c r="J2255" s="2">
        <v>185.0</v>
      </c>
      <c r="K2255" s="2">
        <v>176.0</v>
      </c>
      <c r="L2255" s="2">
        <v>3.0</v>
      </c>
      <c r="M2255" s="4">
        <v>21966.0</v>
      </c>
      <c r="N2255" s="2" t="s">
        <v>36</v>
      </c>
      <c r="O2255" s="2">
        <v>71.0</v>
      </c>
      <c r="P2255" s="2" t="s">
        <v>189</v>
      </c>
      <c r="Q2255" s="2" t="s">
        <v>32</v>
      </c>
      <c r="R2255" s="2">
        <v>39.0</v>
      </c>
      <c r="U2255" s="2" t="b">
        <v>1</v>
      </c>
      <c r="V2255" s="5">
        <v>0.0041</v>
      </c>
      <c r="W2255" s="5">
        <v>0.017</v>
      </c>
      <c r="X2255" s="5">
        <v>7.1E-5</v>
      </c>
      <c r="Y2255" s="2">
        <v>124.8068182</v>
      </c>
      <c r="AA2255" s="2" t="s">
        <v>33</v>
      </c>
    </row>
    <row r="2256">
      <c r="A2256" s="2">
        <v>4173.0</v>
      </c>
      <c r="B2256" s="2" t="s">
        <v>6461</v>
      </c>
      <c r="C2256" s="2" t="s">
        <v>7</v>
      </c>
      <c r="D2256" s="2" t="s">
        <v>6462</v>
      </c>
      <c r="F2256" s="3">
        <v>46018.458333333336</v>
      </c>
      <c r="G2256" s="2">
        <v>73507.0</v>
      </c>
      <c r="H2256" s="2">
        <v>73507.0</v>
      </c>
      <c r="I2256" s="2">
        <v>61525.0</v>
      </c>
      <c r="J2256" s="2">
        <v>251.0</v>
      </c>
      <c r="K2256" s="2">
        <v>242.0</v>
      </c>
      <c r="L2256" s="2">
        <v>2.0</v>
      </c>
      <c r="M2256" s="4">
        <v>2590.0</v>
      </c>
      <c r="N2256" s="2" t="s">
        <v>30</v>
      </c>
      <c r="O2256" s="2">
        <v>70.0</v>
      </c>
      <c r="P2256" s="2" t="s">
        <v>189</v>
      </c>
      <c r="Q2256" s="2" t="s">
        <v>32</v>
      </c>
      <c r="R2256" s="2">
        <v>38.0</v>
      </c>
      <c r="U2256" s="2" t="b">
        <v>0</v>
      </c>
      <c r="V2256" s="5">
        <v>0.0039</v>
      </c>
      <c r="W2256" s="5">
        <v>0.0083</v>
      </c>
      <c r="X2256" s="5">
        <v>3.3E-5</v>
      </c>
      <c r="Y2256" s="2">
        <v>10.70247934</v>
      </c>
      <c r="Z2256" s="2">
        <v>3764.0</v>
      </c>
      <c r="AA2256" s="2" t="s">
        <v>33</v>
      </c>
    </row>
    <row r="2257">
      <c r="A2257" s="2">
        <v>4176.0</v>
      </c>
      <c r="B2257" s="2" t="s">
        <v>6463</v>
      </c>
      <c r="C2257" s="2" t="s">
        <v>7</v>
      </c>
      <c r="D2257" s="2" t="s">
        <v>6464</v>
      </c>
      <c r="F2257" s="3">
        <v>46018.625</v>
      </c>
      <c r="G2257" s="2">
        <v>51334.0</v>
      </c>
      <c r="H2257" s="2">
        <v>51334.0</v>
      </c>
      <c r="I2257" s="2">
        <v>41963.0</v>
      </c>
      <c r="J2257" s="2">
        <v>169.0</v>
      </c>
      <c r="K2257" s="2">
        <v>164.0</v>
      </c>
      <c r="L2257" s="2">
        <v>0.0</v>
      </c>
      <c r="M2257" s="2">
        <v>0.0</v>
      </c>
      <c r="N2257" s="2" t="s">
        <v>36</v>
      </c>
      <c r="O2257" s="2">
        <v>71.0</v>
      </c>
      <c r="P2257" s="2" t="s">
        <v>189</v>
      </c>
      <c r="Q2257" s="2" t="s">
        <v>32</v>
      </c>
      <c r="R2257" s="2">
        <v>63.0</v>
      </c>
      <c r="U2257" s="2" t="b">
        <v>0</v>
      </c>
      <c r="V2257" s="5">
        <v>0.0039</v>
      </c>
      <c r="W2257" s="5">
        <v>0.0</v>
      </c>
      <c r="X2257" s="5">
        <v>0.0</v>
      </c>
      <c r="Y2257" s="2">
        <v>0.0</v>
      </c>
      <c r="AA2257" s="2" t="s">
        <v>33</v>
      </c>
    </row>
    <row r="2258">
      <c r="A2258" s="2">
        <v>4175.0</v>
      </c>
      <c r="B2258" s="2" t="s">
        <v>6465</v>
      </c>
      <c r="C2258" s="2" t="s">
        <v>7</v>
      </c>
      <c r="D2258" s="2" t="s">
        <v>6466</v>
      </c>
      <c r="F2258" s="3">
        <v>46018.625</v>
      </c>
      <c r="G2258" s="2">
        <v>73579.0</v>
      </c>
      <c r="H2258" s="2">
        <v>73579.0</v>
      </c>
      <c r="I2258" s="2">
        <v>60941.0</v>
      </c>
      <c r="J2258" s="2">
        <v>200.0</v>
      </c>
      <c r="K2258" s="2">
        <v>193.0</v>
      </c>
      <c r="L2258" s="2">
        <v>5.0</v>
      </c>
      <c r="M2258" s="4">
        <v>12226.0</v>
      </c>
      <c r="N2258" s="2" t="s">
        <v>30</v>
      </c>
      <c r="O2258" s="2">
        <v>70.0</v>
      </c>
      <c r="P2258" s="2" t="s">
        <v>31</v>
      </c>
      <c r="Q2258" s="2" t="s">
        <v>32</v>
      </c>
      <c r="R2258" s="2">
        <v>45.0</v>
      </c>
      <c r="U2258" s="2" t="b">
        <v>0</v>
      </c>
      <c r="V2258" s="5">
        <v>0.0032</v>
      </c>
      <c r="W2258" s="5">
        <v>0.0259</v>
      </c>
      <c r="X2258" s="5">
        <v>8.2E-5</v>
      </c>
      <c r="Y2258" s="2">
        <v>63.34715026</v>
      </c>
      <c r="Z2258" s="2">
        <v>5020.0</v>
      </c>
      <c r="AA2258" s="2" t="s">
        <v>33</v>
      </c>
    </row>
    <row r="2259">
      <c r="A2259" s="2">
        <v>4178.0</v>
      </c>
      <c r="B2259" s="2" t="s">
        <v>6467</v>
      </c>
      <c r="C2259" s="2" t="s">
        <v>7</v>
      </c>
      <c r="D2259" s="2" t="s">
        <v>6468</v>
      </c>
      <c r="F2259" s="3">
        <v>46018.708333333336</v>
      </c>
      <c r="G2259" s="2">
        <v>51269.0</v>
      </c>
      <c r="H2259" s="2">
        <v>51269.0</v>
      </c>
      <c r="I2259" s="2">
        <v>41459.0</v>
      </c>
      <c r="J2259" s="2">
        <v>163.0</v>
      </c>
      <c r="K2259" s="2">
        <v>155.0</v>
      </c>
      <c r="L2259" s="2">
        <v>1.0</v>
      </c>
      <c r="M2259" s="4">
        <v>1940.0</v>
      </c>
      <c r="N2259" s="2" t="s">
        <v>36</v>
      </c>
      <c r="O2259" s="2">
        <v>71.0</v>
      </c>
      <c r="P2259" s="2" t="s">
        <v>189</v>
      </c>
      <c r="Q2259" s="2" t="s">
        <v>32</v>
      </c>
      <c r="R2259" s="2">
        <v>43.0</v>
      </c>
      <c r="U2259" s="2" t="b">
        <v>0</v>
      </c>
      <c r="V2259" s="5">
        <v>0.0037</v>
      </c>
      <c r="W2259" s="5">
        <v>0.0065</v>
      </c>
      <c r="X2259" s="5">
        <v>2.4E-5</v>
      </c>
      <c r="Y2259" s="2">
        <v>12.51612903</v>
      </c>
      <c r="AA2259" s="2" t="s">
        <v>33</v>
      </c>
    </row>
    <row r="2260">
      <c r="A2260" s="2">
        <v>4177.0</v>
      </c>
      <c r="B2260" s="2" t="s">
        <v>6469</v>
      </c>
      <c r="C2260" s="2" t="s">
        <v>7</v>
      </c>
      <c r="D2260" s="2" t="s">
        <v>6470</v>
      </c>
      <c r="F2260" s="3">
        <v>46018.708333333336</v>
      </c>
      <c r="G2260" s="2">
        <v>73465.0</v>
      </c>
      <c r="H2260" s="2">
        <v>73465.0</v>
      </c>
      <c r="I2260" s="2">
        <v>60551.0</v>
      </c>
      <c r="J2260" s="2">
        <v>228.0</v>
      </c>
      <c r="K2260" s="2">
        <v>220.0</v>
      </c>
      <c r="L2260" s="2">
        <v>6.0</v>
      </c>
      <c r="M2260" s="4">
        <v>17423.0</v>
      </c>
      <c r="N2260" s="2" t="s">
        <v>30</v>
      </c>
      <c r="O2260" s="2">
        <v>70.0</v>
      </c>
      <c r="P2260" s="2" t="s">
        <v>189</v>
      </c>
      <c r="Q2260" s="2" t="s">
        <v>32</v>
      </c>
      <c r="R2260" s="2">
        <v>34.0</v>
      </c>
      <c r="U2260" s="2" t="b">
        <v>0</v>
      </c>
      <c r="V2260" s="5">
        <v>0.0036</v>
      </c>
      <c r="W2260" s="5">
        <v>0.0273</v>
      </c>
      <c r="X2260" s="5">
        <v>9.9E-5</v>
      </c>
      <c r="Y2260" s="2">
        <v>79.19545455</v>
      </c>
      <c r="Z2260" s="2">
        <v>1656.0</v>
      </c>
      <c r="AA2260" s="2" t="s">
        <v>33</v>
      </c>
    </row>
    <row r="2261">
      <c r="A2261" s="2">
        <v>4182.0</v>
      </c>
      <c r="B2261" s="2" t="s">
        <v>6471</v>
      </c>
      <c r="C2261" s="2" t="s">
        <v>7</v>
      </c>
      <c r="D2261" s="2" t="s">
        <v>6472</v>
      </c>
      <c r="F2261" s="3">
        <v>46019.458333333336</v>
      </c>
      <c r="G2261" s="2">
        <v>51386.0</v>
      </c>
      <c r="H2261" s="2">
        <v>51386.0</v>
      </c>
      <c r="I2261" s="2">
        <v>41422.0</v>
      </c>
      <c r="J2261" s="2">
        <v>169.0</v>
      </c>
      <c r="K2261" s="2">
        <v>164.0</v>
      </c>
      <c r="L2261" s="2">
        <v>0.0</v>
      </c>
      <c r="M2261" s="2">
        <v>0.0</v>
      </c>
      <c r="N2261" s="2" t="s">
        <v>36</v>
      </c>
      <c r="O2261" s="2">
        <v>71.0</v>
      </c>
      <c r="P2261" s="2" t="s">
        <v>189</v>
      </c>
      <c r="Q2261" s="2" t="s">
        <v>32</v>
      </c>
      <c r="R2261" s="2">
        <v>23.0</v>
      </c>
      <c r="U2261" s="2" t="b">
        <v>0</v>
      </c>
      <c r="V2261" s="5">
        <v>0.004</v>
      </c>
      <c r="W2261" s="5">
        <v>0.0</v>
      </c>
      <c r="X2261" s="5">
        <v>0.0</v>
      </c>
      <c r="Y2261" s="2">
        <v>0.0</v>
      </c>
      <c r="AA2261" s="2" t="s">
        <v>33</v>
      </c>
    </row>
    <row r="2262">
      <c r="A2262" s="2">
        <v>4181.0</v>
      </c>
      <c r="B2262" s="2" t="s">
        <v>6473</v>
      </c>
      <c r="C2262" s="2" t="s">
        <v>7</v>
      </c>
      <c r="D2262" s="2" t="s">
        <v>6472</v>
      </c>
      <c r="F2262" s="3">
        <v>46019.458333333336</v>
      </c>
      <c r="G2262" s="2">
        <v>73873.0</v>
      </c>
      <c r="H2262" s="2">
        <v>73873.0</v>
      </c>
      <c r="I2262" s="2">
        <v>60769.0</v>
      </c>
      <c r="J2262" s="2">
        <v>198.0</v>
      </c>
      <c r="K2262" s="2">
        <v>188.0</v>
      </c>
      <c r="L2262" s="2">
        <v>1.0</v>
      </c>
      <c r="M2262" s="4">
        <v>6780.0</v>
      </c>
      <c r="N2262" s="2" t="s">
        <v>30</v>
      </c>
      <c r="O2262" s="2">
        <v>70.0</v>
      </c>
      <c r="P2262" s="2" t="s">
        <v>189</v>
      </c>
      <c r="Q2262" s="2" t="s">
        <v>32</v>
      </c>
      <c r="R2262" s="2">
        <v>23.0</v>
      </c>
      <c r="U2262" s="2" t="b">
        <v>0</v>
      </c>
      <c r="V2262" s="5">
        <v>0.0031</v>
      </c>
      <c r="W2262" s="5">
        <v>0.0053</v>
      </c>
      <c r="X2262" s="5">
        <v>1.6E-5</v>
      </c>
      <c r="Y2262" s="2">
        <v>36.06382979</v>
      </c>
      <c r="AA2262" s="2" t="s">
        <v>33</v>
      </c>
    </row>
    <row r="2263">
      <c r="A2263" s="2">
        <v>4183.0</v>
      </c>
      <c r="B2263" s="2" t="s">
        <v>6474</v>
      </c>
      <c r="C2263" s="2" t="s">
        <v>7</v>
      </c>
      <c r="D2263" s="2" t="s">
        <v>6475</v>
      </c>
      <c r="F2263" s="3">
        <v>46019.625</v>
      </c>
      <c r="G2263" s="2">
        <v>73949.0</v>
      </c>
      <c r="H2263" s="2">
        <v>73949.0</v>
      </c>
      <c r="I2263" s="2">
        <v>61324.0</v>
      </c>
      <c r="J2263" s="2">
        <v>231.0</v>
      </c>
      <c r="K2263" s="2">
        <v>218.0</v>
      </c>
      <c r="L2263" s="2">
        <v>4.0</v>
      </c>
      <c r="M2263" s="4">
        <v>6068.0</v>
      </c>
      <c r="N2263" s="2" t="s">
        <v>30</v>
      </c>
      <c r="O2263" s="2">
        <v>70.0</v>
      </c>
      <c r="P2263" s="2" t="s">
        <v>189</v>
      </c>
      <c r="Q2263" s="2" t="s">
        <v>32</v>
      </c>
      <c r="R2263" s="2">
        <v>28.0</v>
      </c>
      <c r="U2263" s="2" t="b">
        <v>0</v>
      </c>
      <c r="V2263" s="5">
        <v>0.0036</v>
      </c>
      <c r="W2263" s="5">
        <v>0.0183</v>
      </c>
      <c r="X2263" s="5">
        <v>6.5E-5</v>
      </c>
      <c r="Y2263" s="2">
        <v>27.83486239</v>
      </c>
      <c r="AA2263" s="2" t="s">
        <v>33</v>
      </c>
    </row>
    <row r="2264">
      <c r="A2264" s="2">
        <v>4184.0</v>
      </c>
      <c r="B2264" s="2" t="s">
        <v>6476</v>
      </c>
      <c r="C2264" s="2" t="s">
        <v>7</v>
      </c>
      <c r="D2264" s="2" t="s">
        <v>6477</v>
      </c>
      <c r="F2264" s="3">
        <v>46019.625</v>
      </c>
      <c r="G2264" s="2">
        <v>51331.0</v>
      </c>
      <c r="H2264" s="2">
        <v>51331.0</v>
      </c>
      <c r="I2264" s="2">
        <v>42031.0</v>
      </c>
      <c r="J2264" s="2">
        <v>175.0</v>
      </c>
      <c r="K2264" s="2">
        <v>166.0</v>
      </c>
      <c r="L2264" s="2">
        <v>4.0</v>
      </c>
      <c r="M2264" s="4">
        <v>13214.0</v>
      </c>
      <c r="N2264" s="2" t="s">
        <v>36</v>
      </c>
      <c r="O2264" s="2">
        <v>71.0</v>
      </c>
      <c r="P2264" s="2" t="s">
        <v>31</v>
      </c>
      <c r="Q2264" s="2" t="s">
        <v>32</v>
      </c>
      <c r="R2264" s="2">
        <v>40.0</v>
      </c>
      <c r="U2264" s="2" t="b">
        <v>0</v>
      </c>
      <c r="V2264" s="5">
        <v>0.0039</v>
      </c>
      <c r="W2264" s="5">
        <v>0.0241</v>
      </c>
      <c r="X2264" s="5">
        <v>9.5E-5</v>
      </c>
      <c r="Y2264" s="2">
        <v>79.60240964</v>
      </c>
      <c r="AA2264" s="2" t="s">
        <v>33</v>
      </c>
    </row>
    <row r="2265">
      <c r="A2265" s="2">
        <v>4186.0</v>
      </c>
      <c r="B2265" s="2" t="s">
        <v>6478</v>
      </c>
      <c r="C2265" s="2" t="s">
        <v>7</v>
      </c>
      <c r="D2265" s="2" t="s">
        <v>6479</v>
      </c>
      <c r="F2265" s="3">
        <v>46019.708333333336</v>
      </c>
      <c r="G2265" s="2">
        <v>51290.0</v>
      </c>
      <c r="H2265" s="2">
        <v>51290.0</v>
      </c>
      <c r="I2265" s="2">
        <v>41709.0</v>
      </c>
      <c r="J2265" s="2">
        <v>232.0</v>
      </c>
      <c r="K2265" s="2">
        <v>224.0</v>
      </c>
      <c r="L2265" s="2">
        <v>10.0</v>
      </c>
      <c r="M2265" s="4">
        <v>27333.0</v>
      </c>
      <c r="N2265" s="2" t="s">
        <v>36</v>
      </c>
      <c r="O2265" s="2">
        <v>71.0</v>
      </c>
      <c r="P2265" s="2" t="s">
        <v>189</v>
      </c>
      <c r="Q2265" s="2" t="s">
        <v>32</v>
      </c>
      <c r="R2265" s="2">
        <v>38.0</v>
      </c>
      <c r="U2265" s="2" t="b">
        <v>0</v>
      </c>
      <c r="V2265" s="5">
        <v>0.0054</v>
      </c>
      <c r="W2265" s="5">
        <v>0.0446</v>
      </c>
      <c r="X2265" s="5">
        <v>2.4E-4</v>
      </c>
      <c r="Y2265" s="2">
        <v>122.0223214</v>
      </c>
      <c r="AA2265" s="2" t="s">
        <v>33</v>
      </c>
    </row>
    <row r="2266">
      <c r="A2266" s="2">
        <v>4185.0</v>
      </c>
      <c r="B2266" s="2" t="s">
        <v>6480</v>
      </c>
      <c r="C2266" s="2" t="s">
        <v>7</v>
      </c>
      <c r="D2266" s="2" t="s">
        <v>6481</v>
      </c>
      <c r="F2266" s="3">
        <v>46019.708333333336</v>
      </c>
      <c r="G2266" s="2">
        <v>73900.0</v>
      </c>
      <c r="H2266" s="2">
        <v>73900.0</v>
      </c>
      <c r="I2266" s="2">
        <v>60963.0</v>
      </c>
      <c r="J2266" s="2">
        <v>281.0</v>
      </c>
      <c r="K2266" s="2">
        <v>266.0</v>
      </c>
      <c r="L2266" s="2">
        <v>3.0</v>
      </c>
      <c r="M2266" s="4">
        <v>6968.0</v>
      </c>
      <c r="N2266" s="2" t="s">
        <v>30</v>
      </c>
      <c r="O2266" s="2">
        <v>70.0</v>
      </c>
      <c r="P2266" s="2" t="s">
        <v>189</v>
      </c>
      <c r="Q2266" s="2" t="s">
        <v>32</v>
      </c>
      <c r="R2266" s="2">
        <v>34.0</v>
      </c>
      <c r="U2266" s="2" t="b">
        <v>0</v>
      </c>
      <c r="V2266" s="5">
        <v>0.0044</v>
      </c>
      <c r="W2266" s="5">
        <v>0.0113</v>
      </c>
      <c r="X2266" s="5">
        <v>4.9E-5</v>
      </c>
      <c r="Y2266" s="2">
        <v>26.19548872</v>
      </c>
      <c r="Z2266" s="2">
        <v>5939.0</v>
      </c>
      <c r="AA2266" s="2" t="s">
        <v>33</v>
      </c>
    </row>
    <row r="2267">
      <c r="A2267" s="2">
        <v>4196.0</v>
      </c>
      <c r="B2267" s="2" t="s">
        <v>6482</v>
      </c>
      <c r="C2267" s="2" t="s">
        <v>7</v>
      </c>
      <c r="D2267" s="2" t="s">
        <v>6483</v>
      </c>
      <c r="F2267" s="3">
        <v>46020.47638888889</v>
      </c>
      <c r="G2267" s="2">
        <v>74307.0</v>
      </c>
      <c r="H2267" s="2">
        <v>74307.0</v>
      </c>
      <c r="I2267" s="2">
        <v>61618.0</v>
      </c>
      <c r="J2267" s="2">
        <v>227.0</v>
      </c>
      <c r="K2267" s="2">
        <v>213.0</v>
      </c>
      <c r="L2267" s="2">
        <v>4.0</v>
      </c>
      <c r="M2267" s="4">
        <v>11579.0</v>
      </c>
      <c r="N2267" s="2" t="s">
        <v>30</v>
      </c>
      <c r="O2267" s="2">
        <v>70.0</v>
      </c>
      <c r="P2267" s="2" t="s">
        <v>189</v>
      </c>
      <c r="Q2267" s="2" t="s">
        <v>32</v>
      </c>
      <c r="R2267" s="2">
        <v>52.0</v>
      </c>
      <c r="U2267" s="2" t="b">
        <v>0</v>
      </c>
      <c r="V2267" s="5">
        <v>0.0035</v>
      </c>
      <c r="W2267" s="5">
        <v>0.0188</v>
      </c>
      <c r="X2267" s="5">
        <v>6.5E-5</v>
      </c>
      <c r="Y2267" s="2">
        <v>54.36150235</v>
      </c>
      <c r="Z2267" s="2" t="s">
        <v>182</v>
      </c>
      <c r="AA2267" s="2" t="s">
        <v>33</v>
      </c>
    </row>
    <row r="2268">
      <c r="A2268" s="2">
        <v>4197.0</v>
      </c>
      <c r="B2268" s="2" t="s">
        <v>6484</v>
      </c>
      <c r="C2268" s="2" t="s">
        <v>7</v>
      </c>
      <c r="D2268" s="2" t="s">
        <v>6485</v>
      </c>
      <c r="F2268" s="3">
        <v>46020.498611111114</v>
      </c>
      <c r="G2268" s="2">
        <v>51445.0</v>
      </c>
      <c r="H2268" s="2">
        <v>51445.0</v>
      </c>
      <c r="I2268" s="2">
        <v>40691.0</v>
      </c>
      <c r="J2268" s="2">
        <v>140.0</v>
      </c>
      <c r="K2268" s="2">
        <v>135.0</v>
      </c>
      <c r="L2268" s="2">
        <v>1.0</v>
      </c>
      <c r="M2268" s="4">
        <v>2390.0</v>
      </c>
      <c r="N2268" s="2" t="s">
        <v>36</v>
      </c>
      <c r="O2268" s="2">
        <v>71.0</v>
      </c>
      <c r="P2268" s="2" t="s">
        <v>189</v>
      </c>
      <c r="Q2268" s="2" t="s">
        <v>32</v>
      </c>
      <c r="R2268" s="2">
        <v>64.0</v>
      </c>
      <c r="U2268" s="2" t="b">
        <v>0</v>
      </c>
      <c r="V2268" s="5">
        <v>0.0033</v>
      </c>
      <c r="W2268" s="5">
        <v>0.0074</v>
      </c>
      <c r="X2268" s="5">
        <v>2.5E-5</v>
      </c>
      <c r="Y2268" s="2">
        <v>17.7037037</v>
      </c>
      <c r="AA2268" s="2" t="s">
        <v>33</v>
      </c>
    </row>
    <row r="2269">
      <c r="A2269" s="2">
        <v>4198.0</v>
      </c>
      <c r="B2269" s="2" t="s">
        <v>6486</v>
      </c>
      <c r="C2269" s="2" t="s">
        <v>7</v>
      </c>
      <c r="D2269" s="2" t="s">
        <v>6487</v>
      </c>
      <c r="F2269" s="3">
        <v>46020.625</v>
      </c>
      <c r="G2269" s="2">
        <v>74352.0</v>
      </c>
      <c r="H2269" s="2">
        <v>74352.0</v>
      </c>
      <c r="I2269" s="2">
        <v>61990.0</v>
      </c>
      <c r="J2269" s="2">
        <v>205.0</v>
      </c>
      <c r="K2269" s="2">
        <v>197.0</v>
      </c>
      <c r="L2269" s="2">
        <v>1.0</v>
      </c>
      <c r="M2269" s="4">
        <v>1798.0</v>
      </c>
      <c r="N2269" s="2" t="s">
        <v>30</v>
      </c>
      <c r="O2269" s="2">
        <v>70.0</v>
      </c>
      <c r="P2269" s="2" t="s">
        <v>189</v>
      </c>
      <c r="Q2269" s="2" t="s">
        <v>32</v>
      </c>
      <c r="R2269" s="2">
        <v>41.0</v>
      </c>
      <c r="U2269" s="2" t="b">
        <v>0</v>
      </c>
      <c r="V2269" s="5">
        <v>0.0032</v>
      </c>
      <c r="W2269" s="5">
        <v>0.0051</v>
      </c>
      <c r="X2269" s="5">
        <v>1.6E-5</v>
      </c>
      <c r="Y2269" s="2">
        <v>9.126903553</v>
      </c>
      <c r="AA2269" s="2" t="s">
        <v>33</v>
      </c>
    </row>
    <row r="2270">
      <c r="A2270" s="2">
        <v>4199.0</v>
      </c>
      <c r="B2270" s="2" t="s">
        <v>6488</v>
      </c>
      <c r="C2270" s="2" t="s">
        <v>7</v>
      </c>
      <c r="D2270" s="2" t="s">
        <v>6489</v>
      </c>
      <c r="F2270" s="3">
        <v>46020.625</v>
      </c>
      <c r="G2270" s="2">
        <v>51398.0</v>
      </c>
      <c r="H2270" s="2">
        <v>51398.0</v>
      </c>
      <c r="I2270" s="2">
        <v>42151.0</v>
      </c>
      <c r="J2270" s="2">
        <v>163.0</v>
      </c>
      <c r="K2270" s="2">
        <v>151.0</v>
      </c>
      <c r="L2270" s="2">
        <v>2.0</v>
      </c>
      <c r="M2270" s="4">
        <v>2508.0</v>
      </c>
      <c r="N2270" s="2" t="s">
        <v>36</v>
      </c>
      <c r="O2270" s="2">
        <v>71.0</v>
      </c>
      <c r="P2270" s="2" t="s">
        <v>31</v>
      </c>
      <c r="Q2270" s="2" t="s">
        <v>32</v>
      </c>
      <c r="R2270" s="2">
        <v>42.0</v>
      </c>
      <c r="U2270" s="2" t="b">
        <v>0</v>
      </c>
      <c r="V2270" s="5">
        <v>0.0036</v>
      </c>
      <c r="W2270" s="5">
        <v>0.0132</v>
      </c>
      <c r="X2270" s="5">
        <v>4.7E-5</v>
      </c>
      <c r="Y2270" s="2">
        <v>16.60927152</v>
      </c>
      <c r="AA2270" s="2" t="s">
        <v>33</v>
      </c>
    </row>
    <row r="2271">
      <c r="A2271" s="2">
        <v>4201.0</v>
      </c>
      <c r="B2271" s="2" t="s">
        <v>6490</v>
      </c>
      <c r="C2271" s="2" t="s">
        <v>7</v>
      </c>
      <c r="D2271" s="2" t="s">
        <v>6491</v>
      </c>
      <c r="F2271" s="3">
        <v>46020.708333333336</v>
      </c>
      <c r="G2271" s="2">
        <v>51380.0</v>
      </c>
      <c r="H2271" s="2">
        <v>51380.0</v>
      </c>
      <c r="I2271" s="2">
        <v>42012.0</v>
      </c>
      <c r="J2271" s="2">
        <v>183.0</v>
      </c>
      <c r="K2271" s="2">
        <v>175.0</v>
      </c>
      <c r="L2271" s="2">
        <v>4.0</v>
      </c>
      <c r="M2271" s="4">
        <v>11184.0</v>
      </c>
      <c r="N2271" s="2" t="s">
        <v>36</v>
      </c>
      <c r="O2271" s="2">
        <v>71.0</v>
      </c>
      <c r="P2271" s="2" t="s">
        <v>189</v>
      </c>
      <c r="Q2271" s="2" t="s">
        <v>32</v>
      </c>
      <c r="R2271" s="2">
        <v>32.0</v>
      </c>
      <c r="U2271" s="2" t="b">
        <v>1</v>
      </c>
      <c r="V2271" s="5">
        <v>0.0042</v>
      </c>
      <c r="W2271" s="5">
        <v>0.0229</v>
      </c>
      <c r="X2271" s="5">
        <v>9.5E-5</v>
      </c>
      <c r="Y2271" s="2">
        <v>63.90857143</v>
      </c>
      <c r="AA2271" s="2" t="s">
        <v>33</v>
      </c>
    </row>
    <row r="2272">
      <c r="A2272" s="2">
        <v>4200.0</v>
      </c>
      <c r="B2272" s="2" t="s">
        <v>6492</v>
      </c>
      <c r="C2272" s="2" t="s">
        <v>7</v>
      </c>
      <c r="D2272" s="2" t="s">
        <v>6493</v>
      </c>
      <c r="F2272" s="3">
        <v>46020.708333333336</v>
      </c>
      <c r="G2272" s="2">
        <v>74379.0</v>
      </c>
      <c r="H2272" s="2">
        <v>74379.0</v>
      </c>
      <c r="I2272" s="2">
        <v>61630.0</v>
      </c>
      <c r="J2272" s="2">
        <v>237.0</v>
      </c>
      <c r="K2272" s="2">
        <v>229.0</v>
      </c>
      <c r="L2272" s="2">
        <v>3.0</v>
      </c>
      <c r="M2272" s="4">
        <v>18574.0</v>
      </c>
      <c r="N2272" s="2" t="s">
        <v>30</v>
      </c>
      <c r="O2272" s="2">
        <v>70.0</v>
      </c>
      <c r="P2272" s="2" t="s">
        <v>189</v>
      </c>
      <c r="Q2272" s="2" t="s">
        <v>32</v>
      </c>
      <c r="R2272" s="2">
        <v>31.0</v>
      </c>
      <c r="U2272" s="2" t="b">
        <v>0</v>
      </c>
      <c r="V2272" s="5">
        <v>0.0037</v>
      </c>
      <c r="W2272" s="5">
        <v>0.0131</v>
      </c>
      <c r="X2272" s="5">
        <v>4.9E-5</v>
      </c>
      <c r="Y2272" s="2">
        <v>81.10917031</v>
      </c>
      <c r="Z2272" s="2">
        <v>984.0</v>
      </c>
      <c r="AA2272" s="2" t="s">
        <v>33</v>
      </c>
    </row>
    <row r="2273">
      <c r="A2273" s="2">
        <v>4204.0</v>
      </c>
      <c r="B2273" s="2" t="s">
        <v>6494</v>
      </c>
      <c r="C2273" s="2" t="s">
        <v>7</v>
      </c>
      <c r="D2273" s="2" t="s">
        <v>6495</v>
      </c>
      <c r="F2273" s="3">
        <v>46021.48263888889</v>
      </c>
      <c r="G2273" s="2">
        <v>74738.0</v>
      </c>
      <c r="H2273" s="2">
        <v>74738.0</v>
      </c>
      <c r="I2273" s="2">
        <v>61930.0</v>
      </c>
      <c r="J2273" s="2">
        <v>246.0</v>
      </c>
      <c r="K2273" s="2">
        <v>240.0</v>
      </c>
      <c r="L2273" s="2">
        <v>6.0</v>
      </c>
      <c r="M2273" s="4">
        <v>12102.0</v>
      </c>
      <c r="N2273" s="2" t="s">
        <v>30</v>
      </c>
      <c r="O2273" s="2">
        <v>70.0</v>
      </c>
      <c r="P2273" s="2" t="s">
        <v>189</v>
      </c>
      <c r="Q2273" s="2" t="s">
        <v>32</v>
      </c>
      <c r="R2273" s="2">
        <v>39.0</v>
      </c>
      <c r="U2273" s="2" t="b">
        <v>0</v>
      </c>
      <c r="V2273" s="5">
        <v>0.0039</v>
      </c>
      <c r="W2273" s="5">
        <v>0.025</v>
      </c>
      <c r="X2273" s="5">
        <v>9.7E-5</v>
      </c>
      <c r="Y2273" s="2">
        <v>50.425</v>
      </c>
      <c r="Z2273" s="2" t="s">
        <v>2731</v>
      </c>
      <c r="AA2273" s="2" t="s">
        <v>33</v>
      </c>
    </row>
    <row r="2274">
      <c r="A2274" s="2">
        <v>4205.0</v>
      </c>
      <c r="B2274" s="2" t="s">
        <v>6496</v>
      </c>
      <c r="C2274" s="2" t="s">
        <v>7</v>
      </c>
      <c r="D2274" s="2" t="s">
        <v>6497</v>
      </c>
      <c r="F2274" s="3">
        <v>46021.48402777778</v>
      </c>
      <c r="G2274" s="2">
        <v>51418.0</v>
      </c>
      <c r="H2274" s="2">
        <v>51418.0</v>
      </c>
      <c r="I2274" s="2">
        <v>41873.0</v>
      </c>
      <c r="J2274" s="2">
        <v>192.0</v>
      </c>
      <c r="K2274" s="2">
        <v>185.0</v>
      </c>
      <c r="L2274" s="2">
        <v>1.0</v>
      </c>
      <c r="M2274" s="4">
        <v>1599.0</v>
      </c>
      <c r="N2274" s="2" t="s">
        <v>36</v>
      </c>
      <c r="O2274" s="2">
        <v>71.0</v>
      </c>
      <c r="P2274" s="2" t="s">
        <v>189</v>
      </c>
      <c r="Q2274" s="2" t="s">
        <v>32</v>
      </c>
      <c r="R2274" s="2">
        <v>43.0</v>
      </c>
      <c r="U2274" s="2" t="b">
        <v>1</v>
      </c>
      <c r="V2274" s="5">
        <v>0.0044</v>
      </c>
      <c r="W2274" s="5">
        <v>0.0054</v>
      </c>
      <c r="X2274" s="5">
        <v>2.4E-5</v>
      </c>
      <c r="Y2274" s="2">
        <v>8.643243243</v>
      </c>
      <c r="AA2274" s="2" t="s">
        <v>33</v>
      </c>
    </row>
    <row r="2275">
      <c r="A2275" s="2">
        <v>4206.0</v>
      </c>
      <c r="B2275" s="2" t="s">
        <v>6498</v>
      </c>
      <c r="C2275" s="2" t="s">
        <v>7</v>
      </c>
      <c r="D2275" s="2" t="s">
        <v>6499</v>
      </c>
      <c r="F2275" s="3">
        <v>46021.620833333334</v>
      </c>
      <c r="G2275" s="2">
        <v>74643.0</v>
      </c>
      <c r="H2275" s="2">
        <v>74643.0</v>
      </c>
      <c r="I2275" s="2">
        <v>62004.0</v>
      </c>
      <c r="J2275" s="2">
        <v>216.0</v>
      </c>
      <c r="K2275" s="2">
        <v>204.0</v>
      </c>
      <c r="L2275" s="2">
        <v>0.0</v>
      </c>
      <c r="M2275" s="2">
        <v>0.0</v>
      </c>
      <c r="N2275" s="2" t="s">
        <v>30</v>
      </c>
      <c r="O2275" s="2">
        <v>70.0</v>
      </c>
      <c r="P2275" s="2" t="s">
        <v>31</v>
      </c>
      <c r="Q2275" s="2" t="s">
        <v>32</v>
      </c>
      <c r="R2275" s="2">
        <v>38.0</v>
      </c>
      <c r="U2275" s="2" t="b">
        <v>0</v>
      </c>
      <c r="V2275" s="5">
        <v>0.0033</v>
      </c>
      <c r="W2275" s="5">
        <v>0.0</v>
      </c>
      <c r="X2275" s="5">
        <v>0.0</v>
      </c>
      <c r="Y2275" s="2">
        <v>0.0</v>
      </c>
      <c r="AA2275" s="2" t="s">
        <v>33</v>
      </c>
    </row>
    <row r="2276">
      <c r="A2276" s="2">
        <v>4207.0</v>
      </c>
      <c r="B2276" s="2" t="s">
        <v>6500</v>
      </c>
      <c r="C2276" s="2" t="s">
        <v>7</v>
      </c>
      <c r="D2276" s="2" t="s">
        <v>6501</v>
      </c>
      <c r="F2276" s="3">
        <v>46021.62430555555</v>
      </c>
      <c r="G2276" s="2">
        <v>51354.0</v>
      </c>
      <c r="H2276" s="2">
        <v>51354.0</v>
      </c>
      <c r="I2276" s="2">
        <v>41825.0</v>
      </c>
      <c r="J2276" s="2">
        <v>158.0</v>
      </c>
      <c r="K2276" s="2">
        <v>150.0</v>
      </c>
      <c r="L2276" s="2">
        <v>3.0</v>
      </c>
      <c r="M2276" s="4">
        <v>10994.0</v>
      </c>
      <c r="N2276" s="2" t="s">
        <v>36</v>
      </c>
      <c r="O2276" s="2">
        <v>71.0</v>
      </c>
      <c r="P2276" s="2" t="s">
        <v>189</v>
      </c>
      <c r="Q2276" s="2" t="s">
        <v>32</v>
      </c>
      <c r="R2276" s="2">
        <v>51.0</v>
      </c>
      <c r="U2276" s="2" t="b">
        <v>0</v>
      </c>
      <c r="V2276" s="5">
        <v>0.0036</v>
      </c>
      <c r="W2276" s="5">
        <v>0.02</v>
      </c>
      <c r="X2276" s="5">
        <v>7.2E-5</v>
      </c>
      <c r="Y2276" s="2">
        <v>73.29333333</v>
      </c>
      <c r="AA2276" s="2" t="s">
        <v>33</v>
      </c>
    </row>
    <row r="2277">
      <c r="A2277" s="2">
        <v>4209.0</v>
      </c>
      <c r="B2277" s="2" t="s">
        <v>6502</v>
      </c>
      <c r="C2277" s="2" t="s">
        <v>7</v>
      </c>
      <c r="D2277" s="2" t="s">
        <v>6503</v>
      </c>
      <c r="F2277" s="3">
        <v>46021.708333333336</v>
      </c>
      <c r="G2277" s="2">
        <v>51394.0</v>
      </c>
      <c r="H2277" s="2">
        <v>51394.0</v>
      </c>
      <c r="I2277" s="2">
        <v>42024.0</v>
      </c>
      <c r="J2277" s="2">
        <v>203.0</v>
      </c>
      <c r="K2277" s="2">
        <v>194.0</v>
      </c>
      <c r="L2277" s="2">
        <v>4.0</v>
      </c>
      <c r="M2277" s="4">
        <v>10124.0</v>
      </c>
      <c r="N2277" s="2" t="s">
        <v>36</v>
      </c>
      <c r="O2277" s="2">
        <v>71.0</v>
      </c>
      <c r="P2277" s="2" t="s">
        <v>189</v>
      </c>
      <c r="Q2277" s="2" t="s">
        <v>32</v>
      </c>
      <c r="R2277" s="2">
        <v>33.0</v>
      </c>
      <c r="U2277" s="2" t="b">
        <v>1</v>
      </c>
      <c r="V2277" s="5">
        <v>0.0046</v>
      </c>
      <c r="W2277" s="5">
        <v>0.0206</v>
      </c>
      <c r="X2277" s="5">
        <v>9.5E-5</v>
      </c>
      <c r="Y2277" s="2">
        <v>52.18556701</v>
      </c>
      <c r="AA2277" s="2" t="s">
        <v>33</v>
      </c>
    </row>
    <row r="2278">
      <c r="A2278" s="2">
        <v>4208.0</v>
      </c>
      <c r="B2278" s="2" t="s">
        <v>6504</v>
      </c>
      <c r="C2278" s="2" t="s">
        <v>7</v>
      </c>
      <c r="D2278" s="2" t="s">
        <v>6505</v>
      </c>
      <c r="F2278" s="3">
        <v>46021.708333333336</v>
      </c>
      <c r="G2278" s="2">
        <v>74781.0</v>
      </c>
      <c r="H2278" s="2">
        <v>74781.0</v>
      </c>
      <c r="I2278" s="2">
        <v>62060.0</v>
      </c>
      <c r="J2278" s="2">
        <v>291.0</v>
      </c>
      <c r="K2278" s="2">
        <v>273.0</v>
      </c>
      <c r="L2278" s="2">
        <v>4.0</v>
      </c>
      <c r="M2278" s="4">
        <v>4826.0</v>
      </c>
      <c r="N2278" s="2" t="s">
        <v>30</v>
      </c>
      <c r="O2278" s="2">
        <v>70.0</v>
      </c>
      <c r="P2278" s="2" t="s">
        <v>189</v>
      </c>
      <c r="Q2278" s="2" t="s">
        <v>32</v>
      </c>
      <c r="R2278" s="2">
        <v>33.0</v>
      </c>
      <c r="U2278" s="2" t="b">
        <v>0</v>
      </c>
      <c r="V2278" s="5">
        <v>0.0044</v>
      </c>
      <c r="W2278" s="5">
        <v>0.0147</v>
      </c>
      <c r="X2278" s="5">
        <v>6.4E-5</v>
      </c>
      <c r="Y2278" s="2">
        <v>17.67765568</v>
      </c>
      <c r="Z2278" s="2" t="s">
        <v>1215</v>
      </c>
      <c r="AA2278" s="2" t="s">
        <v>33</v>
      </c>
    </row>
    <row r="2279">
      <c r="A2279" s="2">
        <v>4211.0</v>
      </c>
      <c r="B2279" s="2" t="s">
        <v>6506</v>
      </c>
      <c r="C2279" s="2" t="s">
        <v>7</v>
      </c>
      <c r="D2279" s="2" t="s">
        <v>6507</v>
      </c>
      <c r="F2279" s="3">
        <v>46022.458333333336</v>
      </c>
      <c r="G2279" s="2">
        <v>51527.0</v>
      </c>
      <c r="H2279" s="2">
        <v>51527.0</v>
      </c>
      <c r="I2279" s="2">
        <v>41709.0</v>
      </c>
      <c r="J2279" s="2">
        <v>160.0</v>
      </c>
      <c r="K2279" s="2">
        <v>151.0</v>
      </c>
      <c r="L2279" s="2">
        <v>4.0</v>
      </c>
      <c r="M2279" s="4">
        <v>9012.0</v>
      </c>
      <c r="N2279" s="2" t="s">
        <v>36</v>
      </c>
      <c r="O2279" s="2">
        <v>71.0</v>
      </c>
      <c r="P2279" s="2" t="s">
        <v>189</v>
      </c>
      <c r="Q2279" s="2" t="s">
        <v>32</v>
      </c>
      <c r="R2279" s="2">
        <v>51.0</v>
      </c>
      <c r="U2279" s="2" t="b">
        <v>0</v>
      </c>
      <c r="V2279" s="5">
        <v>0.0036</v>
      </c>
      <c r="W2279" s="5">
        <v>0.0265</v>
      </c>
      <c r="X2279" s="5">
        <v>9.6E-5</v>
      </c>
      <c r="Y2279" s="2">
        <v>59.68211921</v>
      </c>
      <c r="AA2279" s="2" t="s">
        <v>33</v>
      </c>
    </row>
    <row r="2280">
      <c r="A2280" s="2">
        <v>4210.0</v>
      </c>
      <c r="B2280" s="2" t="s">
        <v>6508</v>
      </c>
      <c r="C2280" s="2" t="s">
        <v>7</v>
      </c>
      <c r="D2280" s="2" t="s">
        <v>6509</v>
      </c>
      <c r="F2280" s="3">
        <v>46022.458333333336</v>
      </c>
      <c r="G2280" s="2">
        <v>75316.0</v>
      </c>
      <c r="H2280" s="2">
        <v>75316.0</v>
      </c>
      <c r="I2280" s="2">
        <v>62216.0</v>
      </c>
      <c r="J2280" s="2">
        <v>259.0</v>
      </c>
      <c r="K2280" s="2">
        <v>233.0</v>
      </c>
      <c r="L2280" s="2">
        <v>5.0</v>
      </c>
      <c r="M2280" s="4">
        <v>11727.0</v>
      </c>
      <c r="N2280" s="2" t="s">
        <v>30</v>
      </c>
      <c r="O2280" s="2">
        <v>70.0</v>
      </c>
      <c r="P2280" s="2" t="s">
        <v>189</v>
      </c>
      <c r="Q2280" s="2" t="s">
        <v>32</v>
      </c>
      <c r="R2280" s="2">
        <v>33.0</v>
      </c>
      <c r="U2280" s="2" t="b">
        <v>0</v>
      </c>
      <c r="V2280" s="5">
        <v>0.0037</v>
      </c>
      <c r="W2280" s="5">
        <v>0.0215</v>
      </c>
      <c r="X2280" s="5">
        <v>8.0E-5</v>
      </c>
      <c r="Y2280" s="2">
        <v>50.3304721</v>
      </c>
      <c r="AA2280" s="2" t="s">
        <v>33</v>
      </c>
    </row>
    <row r="2281">
      <c r="A2281" s="2">
        <v>4212.0</v>
      </c>
      <c r="B2281" s="2" t="s">
        <v>6510</v>
      </c>
      <c r="C2281" s="2" t="s">
        <v>7</v>
      </c>
      <c r="D2281" s="2" t="s">
        <v>6511</v>
      </c>
      <c r="F2281" s="3">
        <v>46022.541666666664</v>
      </c>
      <c r="G2281" s="2">
        <v>75158.0</v>
      </c>
      <c r="H2281" s="2">
        <v>75158.0</v>
      </c>
      <c r="I2281" s="2">
        <v>62272.0</v>
      </c>
      <c r="J2281" s="2">
        <v>268.0</v>
      </c>
      <c r="K2281" s="2">
        <v>254.0</v>
      </c>
      <c r="L2281" s="2">
        <v>11.0</v>
      </c>
      <c r="M2281" s="4">
        <v>24481.0</v>
      </c>
      <c r="N2281" s="2" t="s">
        <v>30</v>
      </c>
      <c r="O2281" s="2">
        <v>70.0</v>
      </c>
      <c r="P2281" s="2" t="s">
        <v>189</v>
      </c>
      <c r="Q2281" s="2" t="s">
        <v>32</v>
      </c>
      <c r="R2281" s="2">
        <v>34.0</v>
      </c>
      <c r="U2281" s="2" t="b">
        <v>0</v>
      </c>
      <c r="V2281" s="5">
        <v>0.0041</v>
      </c>
      <c r="W2281" s="5">
        <v>0.0433</v>
      </c>
      <c r="X2281" s="5">
        <v>1.77E-4</v>
      </c>
      <c r="Y2281" s="2">
        <v>96.38188976</v>
      </c>
      <c r="AA2281" s="2" t="s">
        <v>33</v>
      </c>
    </row>
    <row r="2282">
      <c r="A2282" s="2">
        <v>4213.0</v>
      </c>
      <c r="B2282" s="2" t="s">
        <v>6512</v>
      </c>
      <c r="C2282" s="2" t="s">
        <v>7</v>
      </c>
      <c r="D2282" s="2" t="s">
        <v>6513</v>
      </c>
      <c r="F2282" s="3">
        <v>46022.541666666664</v>
      </c>
      <c r="G2282" s="2">
        <v>51440.0</v>
      </c>
      <c r="H2282" s="2">
        <v>51440.0</v>
      </c>
      <c r="I2282" s="2">
        <v>41873.0</v>
      </c>
      <c r="J2282" s="2">
        <v>157.0</v>
      </c>
      <c r="K2282" s="2">
        <v>145.0</v>
      </c>
      <c r="L2282" s="2">
        <v>2.0</v>
      </c>
      <c r="M2282" s="4">
        <v>10394.0</v>
      </c>
      <c r="N2282" s="2" t="s">
        <v>36</v>
      </c>
      <c r="O2282" s="2">
        <v>71.0</v>
      </c>
      <c r="P2282" s="2" t="s">
        <v>31</v>
      </c>
      <c r="Q2282" s="2" t="s">
        <v>32</v>
      </c>
      <c r="R2282" s="2">
        <v>39.0</v>
      </c>
      <c r="U2282" s="2" t="b">
        <v>0</v>
      </c>
      <c r="V2282" s="5">
        <v>0.0035</v>
      </c>
      <c r="W2282" s="5">
        <v>0.0138</v>
      </c>
      <c r="X2282" s="5">
        <v>4.8E-5</v>
      </c>
      <c r="Y2282" s="2">
        <v>71.68275862</v>
      </c>
      <c r="AA2282" s="2" t="s">
        <v>33</v>
      </c>
    </row>
    <row r="2283">
      <c r="A2283" s="2">
        <v>4215.0</v>
      </c>
      <c r="B2283" s="2" t="s">
        <v>6514</v>
      </c>
      <c r="C2283" s="2" t="s">
        <v>7</v>
      </c>
      <c r="D2283" s="2" t="s">
        <v>6515</v>
      </c>
      <c r="F2283" s="3">
        <v>46022.625</v>
      </c>
      <c r="G2283" s="2">
        <v>51501.0</v>
      </c>
      <c r="H2283" s="2">
        <v>51501.0</v>
      </c>
      <c r="I2283" s="2">
        <v>42079.0</v>
      </c>
      <c r="J2283" s="2">
        <v>144.0</v>
      </c>
      <c r="K2283" s="2">
        <v>142.0</v>
      </c>
      <c r="L2283" s="2">
        <v>1.0</v>
      </c>
      <c r="M2283" s="4">
        <v>1570.0</v>
      </c>
      <c r="N2283" s="2" t="s">
        <v>36</v>
      </c>
      <c r="O2283" s="2">
        <v>71.0</v>
      </c>
      <c r="P2283" s="2" t="s">
        <v>189</v>
      </c>
      <c r="Q2283" s="2" t="s">
        <v>32</v>
      </c>
      <c r="R2283" s="2">
        <v>31.0</v>
      </c>
      <c r="U2283" s="2" t="b">
        <v>0</v>
      </c>
      <c r="V2283" s="5">
        <v>0.0034</v>
      </c>
      <c r="W2283" s="5">
        <v>0.007</v>
      </c>
      <c r="X2283" s="5">
        <v>2.4E-5</v>
      </c>
      <c r="Y2283" s="2">
        <v>11.05633803</v>
      </c>
      <c r="AA2283" s="2" t="s">
        <v>33</v>
      </c>
    </row>
    <row r="2284">
      <c r="A2284" s="2">
        <v>4214.0</v>
      </c>
      <c r="B2284" s="2" t="s">
        <v>6516</v>
      </c>
      <c r="C2284" s="2" t="s">
        <v>7</v>
      </c>
      <c r="D2284" s="2" t="s">
        <v>6517</v>
      </c>
      <c r="F2284" s="3">
        <v>46022.625</v>
      </c>
      <c r="G2284" s="2">
        <v>75340.0</v>
      </c>
      <c r="H2284" s="2">
        <v>75340.0</v>
      </c>
      <c r="I2284" s="2">
        <v>62453.0</v>
      </c>
      <c r="J2284" s="2">
        <v>227.0</v>
      </c>
      <c r="K2284" s="2">
        <v>215.0</v>
      </c>
      <c r="L2284" s="2">
        <v>3.0</v>
      </c>
      <c r="M2284" s="4">
        <v>8006.0</v>
      </c>
      <c r="N2284" s="2" t="s">
        <v>30</v>
      </c>
      <c r="O2284" s="2">
        <v>70.0</v>
      </c>
      <c r="P2284" s="2" t="s">
        <v>189</v>
      </c>
      <c r="Q2284" s="2" t="s">
        <v>32</v>
      </c>
      <c r="R2284" s="2">
        <v>30.0</v>
      </c>
      <c r="U2284" s="2" t="b">
        <v>0</v>
      </c>
      <c r="V2284" s="5">
        <v>0.0034</v>
      </c>
      <c r="W2284" s="5">
        <v>0.014</v>
      </c>
      <c r="X2284" s="5">
        <v>4.8E-5</v>
      </c>
      <c r="Y2284" s="2">
        <v>37.2372093</v>
      </c>
      <c r="Z2284" s="2" t="s">
        <v>122</v>
      </c>
      <c r="AA2284" s="2" t="s">
        <v>33</v>
      </c>
    </row>
    <row r="2285">
      <c r="A2285" s="2">
        <v>4217.0</v>
      </c>
      <c r="B2285" s="2" t="s">
        <v>6518</v>
      </c>
      <c r="C2285" s="2" t="s">
        <v>7</v>
      </c>
      <c r="D2285" s="2" t="s">
        <v>6519</v>
      </c>
      <c r="F2285" s="6">
        <v>46023.0</v>
      </c>
      <c r="G2285" s="2">
        <v>56441.0</v>
      </c>
      <c r="H2285" s="2">
        <v>56441.0</v>
      </c>
      <c r="I2285" s="2">
        <v>44745.0</v>
      </c>
      <c r="J2285" s="2">
        <v>144.0</v>
      </c>
      <c r="K2285" s="2">
        <v>137.0</v>
      </c>
      <c r="L2285" s="2">
        <v>0.0</v>
      </c>
      <c r="M2285" s="2">
        <v>0.0</v>
      </c>
      <c r="N2285" s="2" t="s">
        <v>36</v>
      </c>
      <c r="O2285" s="2">
        <v>71.0</v>
      </c>
      <c r="P2285" s="2" t="s">
        <v>189</v>
      </c>
      <c r="Q2285" s="2" t="s">
        <v>32</v>
      </c>
      <c r="R2285" s="2">
        <v>25.0</v>
      </c>
      <c r="U2285" s="2" t="b">
        <v>0</v>
      </c>
      <c r="V2285" s="5">
        <v>0.0031</v>
      </c>
      <c r="W2285" s="5">
        <v>0.0</v>
      </c>
      <c r="X2285" s="5">
        <v>0.0</v>
      </c>
      <c r="Y2285" s="2">
        <v>0.0</v>
      </c>
      <c r="AA2285" s="2" t="s">
        <v>33</v>
      </c>
    </row>
    <row r="2286">
      <c r="A2286" s="2">
        <v>4216.0</v>
      </c>
      <c r="B2286" s="2" t="s">
        <v>6520</v>
      </c>
      <c r="C2286" s="2" t="s">
        <v>7</v>
      </c>
      <c r="D2286" s="2" t="s">
        <v>6521</v>
      </c>
      <c r="F2286" s="6">
        <v>46023.0</v>
      </c>
      <c r="G2286" s="2">
        <v>76034.0</v>
      </c>
      <c r="H2286" s="2">
        <v>76034.0</v>
      </c>
      <c r="I2286" s="2">
        <v>61377.0</v>
      </c>
      <c r="J2286" s="2">
        <v>197.0</v>
      </c>
      <c r="K2286" s="2">
        <v>191.0</v>
      </c>
      <c r="L2286" s="2">
        <v>2.0</v>
      </c>
      <c r="M2286" s="4">
        <v>10900.0</v>
      </c>
      <c r="N2286" s="2" t="s">
        <v>30</v>
      </c>
      <c r="O2286" s="2">
        <v>70.0</v>
      </c>
      <c r="P2286" s="2" t="s">
        <v>189</v>
      </c>
      <c r="Q2286" s="2" t="s">
        <v>32</v>
      </c>
      <c r="R2286" s="2">
        <v>23.0</v>
      </c>
      <c r="U2286" s="2" t="b">
        <v>0</v>
      </c>
      <c r="V2286" s="5">
        <v>0.0031</v>
      </c>
      <c r="W2286" s="5">
        <v>0.0105</v>
      </c>
      <c r="X2286" s="5">
        <v>3.3E-5</v>
      </c>
      <c r="Y2286" s="2">
        <v>57.06806283</v>
      </c>
      <c r="AA2286" s="2" t="s">
        <v>33</v>
      </c>
    </row>
    <row r="2287">
      <c r="A2287" s="2">
        <v>4218.0</v>
      </c>
      <c r="B2287" s="2" t="s">
        <v>6522</v>
      </c>
      <c r="C2287" s="2" t="s">
        <v>7</v>
      </c>
      <c r="D2287" s="2" t="s">
        <v>6523</v>
      </c>
      <c r="F2287" s="6">
        <v>46023.458333333336</v>
      </c>
      <c r="G2287" s="2">
        <v>75578.0</v>
      </c>
      <c r="H2287" s="2">
        <v>75578.0</v>
      </c>
      <c r="I2287" s="2">
        <v>62228.0</v>
      </c>
      <c r="J2287" s="2">
        <v>187.0</v>
      </c>
      <c r="K2287" s="2">
        <v>180.0</v>
      </c>
      <c r="L2287" s="2">
        <v>3.0</v>
      </c>
      <c r="M2287" s="4">
        <v>18686.0</v>
      </c>
      <c r="N2287" s="2" t="s">
        <v>30</v>
      </c>
      <c r="O2287" s="2">
        <v>70.0</v>
      </c>
      <c r="P2287" s="2" t="s">
        <v>31</v>
      </c>
      <c r="Q2287" s="2" t="s">
        <v>32</v>
      </c>
      <c r="R2287" s="2">
        <v>49.0</v>
      </c>
      <c r="U2287" s="2" t="b">
        <v>0</v>
      </c>
      <c r="V2287" s="5">
        <v>0.0029</v>
      </c>
      <c r="W2287" s="5">
        <v>0.0167</v>
      </c>
      <c r="X2287" s="5">
        <v>4.8E-5</v>
      </c>
      <c r="Y2287" s="2">
        <v>103.8111111</v>
      </c>
      <c r="AA2287" s="2" t="s">
        <v>33</v>
      </c>
    </row>
    <row r="2288">
      <c r="A2288" s="2">
        <v>4219.0</v>
      </c>
      <c r="B2288" s="2" t="s">
        <v>6524</v>
      </c>
      <c r="C2288" s="2" t="s">
        <v>7</v>
      </c>
      <c r="D2288" s="2" t="s">
        <v>6525</v>
      </c>
      <c r="F2288" s="6">
        <v>46023.458333333336</v>
      </c>
      <c r="G2288" s="2">
        <v>51419.0</v>
      </c>
      <c r="H2288" s="2">
        <v>51419.0</v>
      </c>
      <c r="I2288" s="2">
        <v>41575.0</v>
      </c>
      <c r="J2288" s="2">
        <v>152.0</v>
      </c>
      <c r="K2288" s="2">
        <v>143.0</v>
      </c>
      <c r="L2288" s="2">
        <v>4.0</v>
      </c>
      <c r="M2288" s="4">
        <v>15184.0</v>
      </c>
      <c r="N2288" s="2" t="s">
        <v>36</v>
      </c>
      <c r="O2288" s="2">
        <v>71.0</v>
      </c>
      <c r="P2288" s="2" t="s">
        <v>189</v>
      </c>
      <c r="Q2288" s="2" t="s">
        <v>32</v>
      </c>
      <c r="R2288" s="2">
        <v>51.0</v>
      </c>
      <c r="U2288" s="2" t="b">
        <v>0</v>
      </c>
      <c r="V2288" s="5">
        <v>0.0034</v>
      </c>
      <c r="W2288" s="5">
        <v>0.028</v>
      </c>
      <c r="X2288" s="5">
        <v>9.6E-5</v>
      </c>
      <c r="Y2288" s="2">
        <v>106.1818182</v>
      </c>
      <c r="AA2288" s="2" t="s">
        <v>33</v>
      </c>
    </row>
    <row r="2289">
      <c r="A2289" s="2">
        <v>4221.0</v>
      </c>
      <c r="B2289" s="2" t="s">
        <v>6526</v>
      </c>
      <c r="C2289" s="2" t="s">
        <v>7</v>
      </c>
      <c r="D2289" s="2" t="s">
        <v>6527</v>
      </c>
      <c r="F2289" s="6">
        <v>46023.625</v>
      </c>
      <c r="G2289" s="2">
        <v>51471.0</v>
      </c>
      <c r="H2289" s="2">
        <v>51471.0</v>
      </c>
      <c r="I2289" s="2">
        <v>41902.0</v>
      </c>
      <c r="J2289" s="2">
        <v>163.0</v>
      </c>
      <c r="K2289" s="2">
        <v>154.0</v>
      </c>
      <c r="L2289" s="2">
        <v>5.0</v>
      </c>
      <c r="M2289" s="4">
        <v>19552.0</v>
      </c>
      <c r="N2289" s="2" t="s">
        <v>36</v>
      </c>
      <c r="O2289" s="2">
        <v>71.0</v>
      </c>
      <c r="P2289" s="2" t="s">
        <v>189</v>
      </c>
      <c r="Q2289" s="2" t="s">
        <v>32</v>
      </c>
      <c r="R2289" s="2">
        <v>46.0</v>
      </c>
      <c r="U2289" s="2" t="b">
        <v>0</v>
      </c>
      <c r="V2289" s="5">
        <v>0.0037</v>
      </c>
      <c r="W2289" s="5">
        <v>0.0325</v>
      </c>
      <c r="X2289" s="5">
        <v>1.19E-4</v>
      </c>
      <c r="Y2289" s="2">
        <v>126.961039</v>
      </c>
      <c r="AA2289" s="2" t="s">
        <v>33</v>
      </c>
    </row>
    <row r="2290">
      <c r="A2290" s="2">
        <v>4220.0</v>
      </c>
      <c r="B2290" s="2" t="s">
        <v>6528</v>
      </c>
      <c r="C2290" s="2" t="s">
        <v>7</v>
      </c>
      <c r="D2290" s="2" t="s">
        <v>6529</v>
      </c>
      <c r="F2290" s="6">
        <v>46023.625</v>
      </c>
      <c r="G2290" s="2">
        <v>75734.0</v>
      </c>
      <c r="H2290" s="2">
        <v>75734.0</v>
      </c>
      <c r="I2290" s="2">
        <v>62589.0</v>
      </c>
      <c r="J2290" s="2">
        <v>226.0</v>
      </c>
      <c r="K2290" s="2">
        <v>219.0</v>
      </c>
      <c r="L2290" s="2">
        <v>5.0</v>
      </c>
      <c r="M2290" s="4">
        <v>13652.0</v>
      </c>
      <c r="N2290" s="2" t="s">
        <v>30</v>
      </c>
      <c r="O2290" s="2">
        <v>70.0</v>
      </c>
      <c r="P2290" s="2" t="s">
        <v>189</v>
      </c>
      <c r="Q2290" s="2" t="s">
        <v>32</v>
      </c>
      <c r="R2290" s="2">
        <v>46.0</v>
      </c>
      <c r="U2290" s="2" t="b">
        <v>0</v>
      </c>
      <c r="V2290" s="5">
        <v>0.0035</v>
      </c>
      <c r="W2290" s="5">
        <v>0.0228</v>
      </c>
      <c r="X2290" s="5">
        <v>8.0E-5</v>
      </c>
      <c r="Y2290" s="2">
        <v>62.33789954</v>
      </c>
      <c r="AA2290" s="2" t="s">
        <v>33</v>
      </c>
    </row>
    <row r="2291">
      <c r="A2291" s="2">
        <v>4226.0</v>
      </c>
      <c r="B2291" s="2" t="s">
        <v>6530</v>
      </c>
      <c r="C2291" s="2" t="s">
        <v>7</v>
      </c>
      <c r="D2291" s="2" t="s">
        <v>6531</v>
      </c>
      <c r="F2291" s="6">
        <v>46024.49652777778</v>
      </c>
      <c r="G2291" s="2">
        <v>76141.0</v>
      </c>
      <c r="H2291" s="2">
        <v>76141.0</v>
      </c>
      <c r="I2291" s="2">
        <v>62895.0</v>
      </c>
      <c r="J2291" s="2">
        <v>192.0</v>
      </c>
      <c r="K2291" s="2">
        <v>188.0</v>
      </c>
      <c r="L2291" s="2">
        <v>3.0</v>
      </c>
      <c r="M2291" s="4">
        <v>8277.0</v>
      </c>
      <c r="N2291" s="2" t="s">
        <v>30</v>
      </c>
      <c r="O2291" s="2">
        <v>70.0</v>
      </c>
      <c r="P2291" s="2" t="s">
        <v>189</v>
      </c>
      <c r="Q2291" s="2" t="s">
        <v>32</v>
      </c>
      <c r="R2291" s="2">
        <v>52.0</v>
      </c>
      <c r="U2291" s="2" t="b">
        <v>0</v>
      </c>
      <c r="V2291" s="5">
        <v>0.003</v>
      </c>
      <c r="W2291" s="5">
        <v>0.016</v>
      </c>
      <c r="X2291" s="5">
        <v>4.8E-5</v>
      </c>
      <c r="Y2291" s="2">
        <v>44.02659574</v>
      </c>
      <c r="Z2291" s="2">
        <v>4413.0</v>
      </c>
      <c r="AA2291" s="2" t="s">
        <v>33</v>
      </c>
    </row>
    <row r="2292">
      <c r="A2292" s="2">
        <v>4227.0</v>
      </c>
      <c r="B2292" s="2" t="s">
        <v>6532</v>
      </c>
      <c r="C2292" s="2" t="s">
        <v>7</v>
      </c>
      <c r="D2292" s="2" t="s">
        <v>6533</v>
      </c>
      <c r="F2292" s="6">
        <v>46024.51736111111</v>
      </c>
      <c r="G2292" s="2">
        <v>51611.0</v>
      </c>
      <c r="H2292" s="2">
        <v>51611.0</v>
      </c>
      <c r="I2292" s="2">
        <v>0.0</v>
      </c>
      <c r="J2292" s="2">
        <v>0.0</v>
      </c>
      <c r="K2292" s="2">
        <v>0.0</v>
      </c>
      <c r="L2292" s="2">
        <v>0.0</v>
      </c>
      <c r="M2292" s="2">
        <v>0.0</v>
      </c>
      <c r="N2292" s="2" t="s">
        <v>36</v>
      </c>
      <c r="O2292" s="2">
        <v>71.0</v>
      </c>
      <c r="P2292" s="2" t="s">
        <v>189</v>
      </c>
      <c r="Q2292" s="2" t="s">
        <v>32</v>
      </c>
      <c r="R2292" s="2">
        <v>49.0</v>
      </c>
      <c r="U2292" s="2" t="b">
        <v>0</v>
      </c>
      <c r="AA2292" s="2" t="s">
        <v>33</v>
      </c>
    </row>
    <row r="2293">
      <c r="A2293" s="2">
        <v>4228.0</v>
      </c>
      <c r="B2293" s="2" t="s">
        <v>6534</v>
      </c>
      <c r="C2293" s="2" t="s">
        <v>7</v>
      </c>
      <c r="D2293" s="2" t="s">
        <v>6535</v>
      </c>
      <c r="F2293" s="6">
        <v>46024.62847222222</v>
      </c>
      <c r="G2293" s="2">
        <v>76050.0</v>
      </c>
      <c r="H2293" s="2">
        <v>76050.0</v>
      </c>
      <c r="I2293" s="2">
        <v>63109.0</v>
      </c>
      <c r="J2293" s="2">
        <v>326.0</v>
      </c>
      <c r="K2293" s="2">
        <v>314.0</v>
      </c>
      <c r="L2293" s="2">
        <v>5.0</v>
      </c>
      <c r="M2293" s="4">
        <v>9303.0</v>
      </c>
      <c r="N2293" s="2" t="s">
        <v>30</v>
      </c>
      <c r="O2293" s="2">
        <v>70.0</v>
      </c>
      <c r="P2293" s="2" t="s">
        <v>189</v>
      </c>
      <c r="Q2293" s="2" t="s">
        <v>32</v>
      </c>
      <c r="R2293" s="2">
        <v>29.0</v>
      </c>
      <c r="U2293" s="2" t="b">
        <v>0</v>
      </c>
      <c r="V2293" s="5">
        <v>0.005</v>
      </c>
      <c r="W2293" s="5">
        <v>0.0159</v>
      </c>
      <c r="X2293" s="5">
        <v>7.9E-5</v>
      </c>
      <c r="Y2293" s="2">
        <v>29.62738854</v>
      </c>
      <c r="Z2293" s="2">
        <v>3166.0</v>
      </c>
      <c r="AA2293" s="2" t="s">
        <v>33</v>
      </c>
    </row>
    <row r="2294">
      <c r="A2294" s="2">
        <v>4229.0</v>
      </c>
      <c r="B2294" s="2" t="s">
        <v>6536</v>
      </c>
      <c r="C2294" s="2" t="s">
        <v>7</v>
      </c>
      <c r="D2294" s="2" t="s">
        <v>6537</v>
      </c>
      <c r="F2294" s="6">
        <v>46024.62847222222</v>
      </c>
      <c r="G2294" s="2">
        <v>51687.0</v>
      </c>
      <c r="H2294" s="2">
        <v>51687.0</v>
      </c>
      <c r="I2294" s="2">
        <v>42120.0</v>
      </c>
      <c r="J2294" s="2">
        <v>198.0</v>
      </c>
      <c r="K2294" s="2">
        <v>193.0</v>
      </c>
      <c r="L2294" s="2">
        <v>1.0</v>
      </c>
      <c r="M2294" s="4">
        <v>13860.0</v>
      </c>
      <c r="N2294" s="2" t="s">
        <v>36</v>
      </c>
      <c r="O2294" s="2">
        <v>71.0</v>
      </c>
      <c r="P2294" s="2" t="s">
        <v>31</v>
      </c>
      <c r="Q2294" s="2" t="s">
        <v>32</v>
      </c>
      <c r="R2294" s="2">
        <v>36.0</v>
      </c>
      <c r="U2294" s="2" t="b">
        <v>0</v>
      </c>
      <c r="V2294" s="5">
        <v>0.0046</v>
      </c>
      <c r="W2294" s="5">
        <v>0.0052</v>
      </c>
      <c r="X2294" s="5">
        <v>2.4E-5</v>
      </c>
      <c r="Y2294" s="2">
        <v>71.8134715</v>
      </c>
      <c r="AA2294" s="2" t="s">
        <v>33</v>
      </c>
    </row>
    <row r="2295">
      <c r="A2295" s="2">
        <v>4231.0</v>
      </c>
      <c r="B2295" s="2" t="s">
        <v>6538</v>
      </c>
      <c r="C2295" s="2" t="s">
        <v>7</v>
      </c>
      <c r="D2295" s="2" t="s">
        <v>6539</v>
      </c>
      <c r="F2295" s="6">
        <v>46024.708333333336</v>
      </c>
      <c r="G2295" s="2">
        <v>51527.0</v>
      </c>
      <c r="H2295" s="2">
        <v>51527.0</v>
      </c>
      <c r="I2295" s="2">
        <v>42014.0</v>
      </c>
      <c r="J2295" s="2">
        <v>214.0</v>
      </c>
      <c r="K2295" s="2">
        <v>197.0</v>
      </c>
      <c r="L2295" s="2">
        <v>2.0</v>
      </c>
      <c r="M2295" s="4">
        <v>5618.0</v>
      </c>
      <c r="N2295" s="2" t="s">
        <v>36</v>
      </c>
      <c r="O2295" s="2">
        <v>71.0</v>
      </c>
      <c r="P2295" s="2" t="s">
        <v>189</v>
      </c>
      <c r="Q2295" s="2" t="s">
        <v>32</v>
      </c>
      <c r="R2295" s="2">
        <v>22.0</v>
      </c>
      <c r="U2295" s="2" t="b">
        <v>0</v>
      </c>
      <c r="V2295" s="5">
        <v>0.0047</v>
      </c>
      <c r="W2295" s="5">
        <v>0.0102</v>
      </c>
      <c r="X2295" s="5">
        <v>4.8E-5</v>
      </c>
      <c r="Y2295" s="2">
        <v>28.5177665</v>
      </c>
      <c r="AA2295" s="2" t="s">
        <v>33</v>
      </c>
    </row>
    <row r="2296">
      <c r="A2296" s="2">
        <v>4230.0</v>
      </c>
      <c r="B2296" s="2" t="s">
        <v>6540</v>
      </c>
      <c r="C2296" s="2" t="s">
        <v>7</v>
      </c>
      <c r="D2296" s="2" t="s">
        <v>6541</v>
      </c>
      <c r="F2296" s="6">
        <v>46024.708333333336</v>
      </c>
      <c r="G2296" s="2">
        <v>75993.0</v>
      </c>
      <c r="H2296" s="2">
        <v>75993.0</v>
      </c>
      <c r="I2296" s="2">
        <v>62760.0</v>
      </c>
      <c r="J2296" s="2">
        <v>268.0</v>
      </c>
      <c r="K2296" s="2">
        <v>255.0</v>
      </c>
      <c r="L2296" s="2">
        <v>4.0</v>
      </c>
      <c r="M2296" s="4">
        <v>11898.0</v>
      </c>
      <c r="N2296" s="2" t="s">
        <v>30</v>
      </c>
      <c r="O2296" s="2">
        <v>70.0</v>
      </c>
      <c r="P2296" s="2" t="s">
        <v>189</v>
      </c>
      <c r="Q2296" s="2" t="s">
        <v>32</v>
      </c>
      <c r="R2296" s="2">
        <v>21.0</v>
      </c>
      <c r="U2296" s="2" t="b">
        <v>0</v>
      </c>
      <c r="V2296" s="5">
        <v>0.0041</v>
      </c>
      <c r="W2296" s="5">
        <v>0.0157</v>
      </c>
      <c r="X2296" s="5">
        <v>6.4E-5</v>
      </c>
      <c r="Y2296" s="2">
        <v>46.65882353</v>
      </c>
      <c r="Z2296" s="2">
        <v>570.0</v>
      </c>
      <c r="AA2296" s="2" t="s">
        <v>33</v>
      </c>
    </row>
    <row r="2297">
      <c r="A2297" s="2">
        <v>4235.0</v>
      </c>
      <c r="B2297" s="2" t="s">
        <v>6542</v>
      </c>
      <c r="C2297" s="2" t="s">
        <v>7</v>
      </c>
      <c r="D2297" s="2" t="s">
        <v>6543</v>
      </c>
      <c r="F2297" s="6">
        <v>46025.458333333336</v>
      </c>
      <c r="G2297" s="2">
        <v>51601.0</v>
      </c>
      <c r="H2297" s="2">
        <v>51601.0</v>
      </c>
      <c r="I2297" s="2">
        <v>41673.0</v>
      </c>
      <c r="J2297" s="2">
        <v>158.0</v>
      </c>
      <c r="K2297" s="2">
        <v>150.0</v>
      </c>
      <c r="L2297" s="2">
        <v>1.0</v>
      </c>
      <c r="M2297" s="4">
        <v>3597.0</v>
      </c>
      <c r="N2297" s="2" t="s">
        <v>36</v>
      </c>
      <c r="O2297" s="2">
        <v>71.0</v>
      </c>
      <c r="P2297" s="2" t="s">
        <v>189</v>
      </c>
      <c r="Q2297" s="2" t="s">
        <v>32</v>
      </c>
      <c r="R2297" s="2">
        <v>31.0</v>
      </c>
      <c r="U2297" s="2" t="b">
        <v>0</v>
      </c>
      <c r="V2297" s="5">
        <v>0.0036</v>
      </c>
      <c r="W2297" s="5">
        <v>0.0067</v>
      </c>
      <c r="X2297" s="5">
        <v>2.4E-5</v>
      </c>
      <c r="Y2297" s="2">
        <v>23.98</v>
      </c>
      <c r="AA2297" s="2" t="s">
        <v>33</v>
      </c>
    </row>
    <row r="2298">
      <c r="A2298" s="2">
        <v>4234.0</v>
      </c>
      <c r="B2298" s="2" t="s">
        <v>6544</v>
      </c>
      <c r="C2298" s="2" t="s">
        <v>7</v>
      </c>
      <c r="D2298" s="2" t="s">
        <v>6545</v>
      </c>
      <c r="F2298" s="6">
        <v>46025.458333333336</v>
      </c>
      <c r="G2298" s="2">
        <v>76346.0</v>
      </c>
      <c r="H2298" s="2">
        <v>76346.0</v>
      </c>
      <c r="I2298" s="2">
        <v>62454.0</v>
      </c>
      <c r="J2298" s="2">
        <v>211.0</v>
      </c>
      <c r="K2298" s="2">
        <v>199.0</v>
      </c>
      <c r="L2298" s="2">
        <v>4.0</v>
      </c>
      <c r="M2298" s="4">
        <v>15597.0</v>
      </c>
      <c r="N2298" s="2" t="s">
        <v>30</v>
      </c>
      <c r="O2298" s="2">
        <v>70.0</v>
      </c>
      <c r="P2298" s="2" t="s">
        <v>189</v>
      </c>
      <c r="Q2298" s="2" t="s">
        <v>32</v>
      </c>
      <c r="R2298" s="2">
        <v>30.0</v>
      </c>
      <c r="U2298" s="2" t="b">
        <v>0</v>
      </c>
      <c r="V2298" s="5">
        <v>0.0032</v>
      </c>
      <c r="W2298" s="5">
        <v>0.0201</v>
      </c>
      <c r="X2298" s="5">
        <v>6.4E-5</v>
      </c>
      <c r="Y2298" s="2">
        <v>78.37688442</v>
      </c>
      <c r="Z2298" s="2">
        <v>6281.0</v>
      </c>
      <c r="AA2298" s="2" t="s">
        <v>33</v>
      </c>
    </row>
    <row r="2299">
      <c r="A2299" s="2">
        <v>4236.0</v>
      </c>
      <c r="B2299" s="2" t="s">
        <v>6546</v>
      </c>
      <c r="C2299" s="2" t="s">
        <v>7</v>
      </c>
      <c r="D2299" s="2" t="s">
        <v>6547</v>
      </c>
      <c r="F2299" s="6">
        <v>46025.625</v>
      </c>
      <c r="G2299" s="2">
        <v>76339.0</v>
      </c>
      <c r="H2299" s="2">
        <v>76339.0</v>
      </c>
      <c r="I2299" s="2">
        <v>62805.0</v>
      </c>
      <c r="J2299" s="2">
        <v>266.0</v>
      </c>
      <c r="K2299" s="2">
        <v>256.0</v>
      </c>
      <c r="L2299" s="2">
        <v>4.0</v>
      </c>
      <c r="M2299" s="4">
        <v>8831.0</v>
      </c>
      <c r="N2299" s="2" t="s">
        <v>30</v>
      </c>
      <c r="O2299" s="2">
        <v>70.0</v>
      </c>
      <c r="P2299" s="2" t="s">
        <v>31</v>
      </c>
      <c r="Q2299" s="2" t="s">
        <v>32</v>
      </c>
      <c r="R2299" s="2">
        <v>40.0</v>
      </c>
      <c r="U2299" s="2" t="b">
        <v>0</v>
      </c>
      <c r="V2299" s="5">
        <v>0.0041</v>
      </c>
      <c r="W2299" s="5">
        <v>0.0156</v>
      </c>
      <c r="X2299" s="5">
        <v>6.4E-5</v>
      </c>
      <c r="Y2299" s="2">
        <v>34.49609375</v>
      </c>
      <c r="Z2299" s="2">
        <v>2675.0</v>
      </c>
      <c r="AA2299" s="2" t="s">
        <v>33</v>
      </c>
    </row>
    <row r="2300">
      <c r="A2300" s="2">
        <v>4237.0</v>
      </c>
      <c r="B2300" s="2" t="s">
        <v>6548</v>
      </c>
      <c r="C2300" s="2" t="s">
        <v>7</v>
      </c>
      <c r="D2300" s="2" t="s">
        <v>6549</v>
      </c>
      <c r="F2300" s="6">
        <v>46025.625</v>
      </c>
      <c r="G2300" s="2">
        <v>51576.0</v>
      </c>
      <c r="H2300" s="2">
        <v>51576.0</v>
      </c>
      <c r="I2300" s="2">
        <v>41930.0</v>
      </c>
      <c r="J2300" s="2">
        <v>230.0</v>
      </c>
      <c r="K2300" s="2">
        <v>218.0</v>
      </c>
      <c r="L2300" s="2">
        <v>6.0</v>
      </c>
      <c r="M2300" s="4">
        <v>6507.0</v>
      </c>
      <c r="N2300" s="2" t="s">
        <v>36</v>
      </c>
      <c r="O2300" s="2">
        <v>71.0</v>
      </c>
      <c r="P2300" s="2" t="s">
        <v>31</v>
      </c>
      <c r="Q2300" s="2" t="s">
        <v>32</v>
      </c>
      <c r="R2300" s="2">
        <v>45.0</v>
      </c>
      <c r="U2300" s="2" t="b">
        <v>0</v>
      </c>
      <c r="V2300" s="5">
        <v>0.0052</v>
      </c>
      <c r="W2300" s="5">
        <v>0.0275</v>
      </c>
      <c r="X2300" s="5">
        <v>1.43E-4</v>
      </c>
      <c r="Y2300" s="2">
        <v>29.84862385</v>
      </c>
      <c r="AA2300" s="2" t="s">
        <v>33</v>
      </c>
    </row>
    <row r="2301">
      <c r="A2301" s="2">
        <v>4239.0</v>
      </c>
      <c r="B2301" s="2" t="s">
        <v>6550</v>
      </c>
      <c r="C2301" s="2" t="s">
        <v>7</v>
      </c>
      <c r="D2301" s="2" t="s">
        <v>6551</v>
      </c>
      <c r="F2301" s="6">
        <v>46025.708333333336</v>
      </c>
      <c r="G2301" s="2">
        <v>51576.0</v>
      </c>
      <c r="H2301" s="2">
        <v>51576.0</v>
      </c>
      <c r="I2301" s="2">
        <v>41939.0</v>
      </c>
      <c r="J2301" s="2">
        <v>160.0</v>
      </c>
      <c r="K2301" s="2">
        <v>154.0</v>
      </c>
      <c r="L2301" s="2">
        <v>2.0</v>
      </c>
      <c r="M2301" s="4">
        <v>4449.0</v>
      </c>
      <c r="N2301" s="2" t="s">
        <v>36</v>
      </c>
      <c r="O2301" s="2">
        <v>71.0</v>
      </c>
      <c r="P2301" s="2" t="s">
        <v>189</v>
      </c>
      <c r="Q2301" s="2" t="s">
        <v>32</v>
      </c>
      <c r="R2301" s="2">
        <v>30.0</v>
      </c>
      <c r="U2301" s="2" t="b">
        <v>0</v>
      </c>
      <c r="V2301" s="5">
        <v>0.0037</v>
      </c>
      <c r="W2301" s="5">
        <v>0.013</v>
      </c>
      <c r="X2301" s="5">
        <v>4.8E-5</v>
      </c>
      <c r="Y2301" s="2">
        <v>28.88961039</v>
      </c>
      <c r="AA2301" s="2" t="s">
        <v>33</v>
      </c>
    </row>
    <row r="2302">
      <c r="A2302" s="2">
        <v>4238.0</v>
      </c>
      <c r="B2302" s="2" t="s">
        <v>6552</v>
      </c>
      <c r="C2302" s="2" t="s">
        <v>7</v>
      </c>
      <c r="D2302" s="2" t="s">
        <v>6553</v>
      </c>
      <c r="F2302" s="6">
        <v>46025.708333333336</v>
      </c>
      <c r="G2302" s="2">
        <v>76412.0</v>
      </c>
      <c r="H2302" s="2">
        <v>76412.0</v>
      </c>
      <c r="I2302" s="2">
        <v>62958.0</v>
      </c>
      <c r="J2302" s="2">
        <v>252.0</v>
      </c>
      <c r="K2302" s="2">
        <v>235.0</v>
      </c>
      <c r="L2302" s="2">
        <v>0.0</v>
      </c>
      <c r="M2302" s="2">
        <v>0.0</v>
      </c>
      <c r="N2302" s="2" t="s">
        <v>30</v>
      </c>
      <c r="O2302" s="2">
        <v>70.0</v>
      </c>
      <c r="P2302" s="2" t="s">
        <v>189</v>
      </c>
      <c r="Q2302" s="2" t="s">
        <v>32</v>
      </c>
      <c r="R2302" s="2">
        <v>29.0</v>
      </c>
      <c r="U2302" s="2" t="b">
        <v>0</v>
      </c>
      <c r="V2302" s="5">
        <v>0.0037</v>
      </c>
      <c r="W2302" s="5">
        <v>0.0</v>
      </c>
      <c r="X2302" s="5">
        <v>0.0</v>
      </c>
      <c r="Y2302" s="2">
        <v>0.0</v>
      </c>
      <c r="Z2302" s="2">
        <v>6815.0</v>
      </c>
      <c r="AA2302" s="2" t="s">
        <v>33</v>
      </c>
    </row>
    <row r="2303">
      <c r="A2303" s="2">
        <v>4241.0</v>
      </c>
      <c r="B2303" s="2" t="s">
        <v>6554</v>
      </c>
      <c r="C2303" s="2" t="s">
        <v>7</v>
      </c>
      <c r="D2303" s="2" t="s">
        <v>6555</v>
      </c>
      <c r="F2303" s="6">
        <v>46026.458333333336</v>
      </c>
      <c r="G2303" s="2">
        <v>51624.0</v>
      </c>
      <c r="H2303" s="2">
        <v>51624.0</v>
      </c>
      <c r="I2303" s="2">
        <v>41773.0</v>
      </c>
      <c r="J2303" s="2">
        <v>137.0</v>
      </c>
      <c r="K2303" s="2">
        <v>133.0</v>
      </c>
      <c r="L2303" s="2">
        <v>2.0</v>
      </c>
      <c r="M2303" s="4">
        <v>6940.0</v>
      </c>
      <c r="N2303" s="2" t="s">
        <v>36</v>
      </c>
      <c r="O2303" s="2">
        <v>71.0</v>
      </c>
      <c r="P2303" s="2" t="s">
        <v>189</v>
      </c>
      <c r="Q2303" s="2" t="s">
        <v>32</v>
      </c>
      <c r="R2303" s="2">
        <v>39.0</v>
      </c>
      <c r="U2303" s="2" t="b">
        <v>0</v>
      </c>
      <c r="V2303" s="5">
        <v>0.0032</v>
      </c>
      <c r="W2303" s="5">
        <v>0.015</v>
      </c>
      <c r="X2303" s="5">
        <v>4.8E-5</v>
      </c>
      <c r="Y2303" s="2">
        <v>52.18045113</v>
      </c>
      <c r="AA2303" s="2" t="s">
        <v>33</v>
      </c>
    </row>
    <row r="2304">
      <c r="A2304" s="2">
        <v>4240.0</v>
      </c>
      <c r="B2304" s="2" t="s">
        <v>6556</v>
      </c>
      <c r="C2304" s="2" t="s">
        <v>7</v>
      </c>
      <c r="D2304" s="2" t="s">
        <v>6557</v>
      </c>
      <c r="F2304" s="6">
        <v>46026.458333333336</v>
      </c>
      <c r="G2304" s="2">
        <v>76579.0</v>
      </c>
      <c r="H2304" s="2">
        <v>76579.0</v>
      </c>
      <c r="I2304" s="2">
        <v>63026.0</v>
      </c>
      <c r="J2304" s="2">
        <v>220.0</v>
      </c>
      <c r="K2304" s="2">
        <v>208.0</v>
      </c>
      <c r="L2304" s="2">
        <v>0.0</v>
      </c>
      <c r="M2304" s="2">
        <v>0.0</v>
      </c>
      <c r="N2304" s="2" t="s">
        <v>30</v>
      </c>
      <c r="O2304" s="2">
        <v>70.0</v>
      </c>
      <c r="P2304" s="2" t="s">
        <v>189</v>
      </c>
      <c r="Q2304" s="2" t="s">
        <v>32</v>
      </c>
      <c r="R2304" s="2">
        <v>40.0</v>
      </c>
      <c r="U2304" s="2" t="b">
        <v>0</v>
      </c>
      <c r="V2304" s="5">
        <v>0.0033</v>
      </c>
      <c r="W2304" s="5">
        <v>0.0</v>
      </c>
      <c r="X2304" s="5">
        <v>0.0</v>
      </c>
      <c r="Y2304" s="2">
        <v>0.0</v>
      </c>
      <c r="Z2304" s="2">
        <v>1483.0</v>
      </c>
      <c r="AA2304" s="2" t="s">
        <v>33</v>
      </c>
    </row>
    <row r="2305">
      <c r="A2305" s="2">
        <v>4242.0</v>
      </c>
      <c r="B2305" s="2" t="s">
        <v>6558</v>
      </c>
      <c r="C2305" s="2" t="s">
        <v>7</v>
      </c>
      <c r="D2305" s="2" t="s">
        <v>6559</v>
      </c>
      <c r="F2305" s="6">
        <v>46026.625</v>
      </c>
      <c r="G2305" s="2">
        <v>76629.0</v>
      </c>
      <c r="H2305" s="2">
        <v>76629.0</v>
      </c>
      <c r="I2305" s="2">
        <v>63480.0</v>
      </c>
      <c r="J2305" s="2">
        <v>225.0</v>
      </c>
      <c r="K2305" s="2">
        <v>217.0</v>
      </c>
      <c r="L2305" s="2">
        <v>5.0</v>
      </c>
      <c r="M2305" s="4">
        <v>34280.0</v>
      </c>
      <c r="N2305" s="2" t="s">
        <v>30</v>
      </c>
      <c r="O2305" s="2">
        <v>70.0</v>
      </c>
      <c r="P2305" s="2" t="s">
        <v>189</v>
      </c>
      <c r="Q2305" s="2" t="s">
        <v>32</v>
      </c>
      <c r="R2305" s="2">
        <v>49.0</v>
      </c>
      <c r="U2305" s="2" t="b">
        <v>0</v>
      </c>
      <c r="V2305" s="5">
        <v>0.0034</v>
      </c>
      <c r="W2305" s="5">
        <v>0.023</v>
      </c>
      <c r="X2305" s="5">
        <v>7.9E-5</v>
      </c>
      <c r="Y2305" s="2">
        <v>157.9723502</v>
      </c>
      <c r="Z2305" s="2">
        <v>928.0</v>
      </c>
      <c r="AA2305" s="2" t="s">
        <v>33</v>
      </c>
    </row>
    <row r="2306">
      <c r="A2306" s="2">
        <v>4243.0</v>
      </c>
      <c r="B2306" s="2" t="s">
        <v>6560</v>
      </c>
      <c r="C2306" s="2" t="s">
        <v>7</v>
      </c>
      <c r="D2306" s="2" t="s">
        <v>6561</v>
      </c>
      <c r="F2306" s="6">
        <v>46026.625</v>
      </c>
      <c r="G2306" s="2">
        <v>51642.0</v>
      </c>
      <c r="H2306" s="2">
        <v>51642.0</v>
      </c>
      <c r="I2306" s="2">
        <v>42034.0</v>
      </c>
      <c r="J2306" s="2">
        <v>171.0</v>
      </c>
      <c r="K2306" s="2">
        <v>161.0</v>
      </c>
      <c r="L2306" s="2">
        <v>2.0</v>
      </c>
      <c r="M2306" s="4">
        <v>22785.0</v>
      </c>
      <c r="N2306" s="2" t="s">
        <v>36</v>
      </c>
      <c r="O2306" s="2">
        <v>71.0</v>
      </c>
      <c r="P2306" s="2" t="s">
        <v>31</v>
      </c>
      <c r="Q2306" s="2" t="s">
        <v>32</v>
      </c>
      <c r="R2306" s="2">
        <v>52.0</v>
      </c>
      <c r="U2306" s="2" t="b">
        <v>0</v>
      </c>
      <c r="V2306" s="5">
        <v>0.0038</v>
      </c>
      <c r="W2306" s="5">
        <v>0.0124</v>
      </c>
      <c r="X2306" s="5">
        <v>4.8E-5</v>
      </c>
      <c r="Y2306" s="2">
        <v>141.5217391</v>
      </c>
      <c r="AA2306" s="2" t="s">
        <v>33</v>
      </c>
    </row>
    <row r="2307">
      <c r="A2307" s="2">
        <v>4245.0</v>
      </c>
      <c r="B2307" s="2" t="s">
        <v>6562</v>
      </c>
      <c r="C2307" s="2" t="s">
        <v>7</v>
      </c>
      <c r="D2307" s="2" t="s">
        <v>6563</v>
      </c>
      <c r="F2307" s="6">
        <v>46026.708333333336</v>
      </c>
      <c r="G2307" s="2">
        <v>51664.0</v>
      </c>
      <c r="H2307" s="2">
        <v>51664.0</v>
      </c>
      <c r="I2307" s="2">
        <v>41947.0</v>
      </c>
      <c r="J2307" s="2">
        <v>155.0</v>
      </c>
      <c r="K2307" s="2">
        <v>149.0</v>
      </c>
      <c r="L2307" s="2">
        <v>1.0</v>
      </c>
      <c r="M2307" s="4">
        <v>6600.0</v>
      </c>
      <c r="N2307" s="2" t="s">
        <v>36</v>
      </c>
      <c r="O2307" s="2">
        <v>71.0</v>
      </c>
      <c r="P2307" s="2" t="s">
        <v>189</v>
      </c>
      <c r="Q2307" s="2" t="s">
        <v>32</v>
      </c>
      <c r="R2307" s="2">
        <v>51.0</v>
      </c>
      <c r="U2307" s="2" t="b">
        <v>0</v>
      </c>
      <c r="V2307" s="5">
        <v>0.0036</v>
      </c>
      <c r="W2307" s="5">
        <v>0.0067</v>
      </c>
      <c r="X2307" s="5">
        <v>2.4E-5</v>
      </c>
      <c r="Y2307" s="2">
        <v>44.29530201</v>
      </c>
      <c r="AA2307" s="2" t="s">
        <v>33</v>
      </c>
    </row>
    <row r="2308">
      <c r="A2308" s="2">
        <v>4244.0</v>
      </c>
      <c r="B2308" s="2" t="s">
        <v>6564</v>
      </c>
      <c r="C2308" s="2" t="s">
        <v>7</v>
      </c>
      <c r="D2308" s="2" t="s">
        <v>6565</v>
      </c>
      <c r="F2308" s="6">
        <v>46026.708333333336</v>
      </c>
      <c r="G2308" s="2">
        <v>76629.0</v>
      </c>
      <c r="H2308" s="2">
        <v>76629.0</v>
      </c>
      <c r="I2308" s="2">
        <v>63201.0</v>
      </c>
      <c r="J2308" s="2">
        <v>273.0</v>
      </c>
      <c r="K2308" s="2">
        <v>263.0</v>
      </c>
      <c r="L2308" s="2">
        <v>3.0</v>
      </c>
      <c r="M2308" s="4">
        <v>9148.0</v>
      </c>
      <c r="N2308" s="2" t="s">
        <v>30</v>
      </c>
      <c r="O2308" s="2">
        <v>70.0</v>
      </c>
      <c r="P2308" s="2" t="s">
        <v>189</v>
      </c>
      <c r="Q2308" s="2" t="s">
        <v>32</v>
      </c>
      <c r="R2308" s="2">
        <v>46.0</v>
      </c>
      <c r="U2308" s="2" t="b">
        <v>0</v>
      </c>
      <c r="V2308" s="5">
        <v>0.0042</v>
      </c>
      <c r="W2308" s="5">
        <v>0.0114</v>
      </c>
      <c r="X2308" s="5">
        <v>4.7E-5</v>
      </c>
      <c r="Y2308" s="2">
        <v>34.78326996</v>
      </c>
      <c r="Z2308" s="2">
        <v>6483.0</v>
      </c>
      <c r="AA2308" s="2" t="s">
        <v>33</v>
      </c>
    </row>
    <row r="2309">
      <c r="A2309" s="2">
        <v>4246.0</v>
      </c>
      <c r="B2309" s="2" t="s">
        <v>6566</v>
      </c>
      <c r="C2309" s="2" t="s">
        <v>7</v>
      </c>
      <c r="D2309" s="2" t="s">
        <v>6567</v>
      </c>
      <c r="F2309" s="6">
        <v>46027.4875</v>
      </c>
      <c r="G2309" s="2">
        <v>76797.0</v>
      </c>
      <c r="H2309" s="2">
        <v>76797.0</v>
      </c>
      <c r="I2309" s="2">
        <v>63425.0</v>
      </c>
      <c r="J2309" s="2">
        <v>203.0</v>
      </c>
      <c r="K2309" s="2">
        <v>192.0</v>
      </c>
      <c r="L2309" s="2">
        <v>0.0</v>
      </c>
      <c r="M2309" s="2">
        <v>0.0</v>
      </c>
      <c r="N2309" s="2" t="s">
        <v>30</v>
      </c>
      <c r="O2309" s="2">
        <v>70.0</v>
      </c>
      <c r="P2309" s="2" t="s">
        <v>189</v>
      </c>
      <c r="Q2309" s="2" t="s">
        <v>32</v>
      </c>
      <c r="R2309" s="2">
        <v>42.0</v>
      </c>
      <c r="U2309" s="2" t="b">
        <v>0</v>
      </c>
      <c r="V2309" s="5">
        <v>0.003</v>
      </c>
      <c r="W2309" s="5">
        <v>0.0</v>
      </c>
      <c r="X2309" s="5">
        <v>0.0</v>
      </c>
      <c r="Y2309" s="2">
        <v>0.0</v>
      </c>
      <c r="Z2309" s="2" t="s">
        <v>6568</v>
      </c>
      <c r="AA2309" s="2" t="s">
        <v>33</v>
      </c>
    </row>
    <row r="2310">
      <c r="A2310" s="2">
        <v>4247.0</v>
      </c>
      <c r="B2310" s="2" t="s">
        <v>6569</v>
      </c>
      <c r="C2310" s="2" t="s">
        <v>7</v>
      </c>
      <c r="D2310" s="2" t="s">
        <v>6570</v>
      </c>
      <c r="F2310" s="6">
        <v>46027.48888888889</v>
      </c>
      <c r="G2310" s="2">
        <v>51620.0</v>
      </c>
      <c r="H2310" s="2">
        <v>51620.0</v>
      </c>
      <c r="I2310" s="2">
        <v>41964.0</v>
      </c>
      <c r="J2310" s="2">
        <v>155.0</v>
      </c>
      <c r="K2310" s="2">
        <v>152.0</v>
      </c>
      <c r="L2310" s="2">
        <v>0.0</v>
      </c>
      <c r="M2310" s="2">
        <v>0.0</v>
      </c>
      <c r="N2310" s="2" t="s">
        <v>36</v>
      </c>
      <c r="O2310" s="2">
        <v>71.0</v>
      </c>
      <c r="P2310" s="2" t="s">
        <v>31</v>
      </c>
      <c r="Q2310" s="2" t="s">
        <v>32</v>
      </c>
      <c r="R2310" s="2">
        <v>42.0</v>
      </c>
      <c r="U2310" s="2" t="b">
        <v>0</v>
      </c>
      <c r="V2310" s="5">
        <v>0.0036</v>
      </c>
      <c r="W2310" s="5">
        <v>0.0</v>
      </c>
      <c r="X2310" s="5">
        <v>0.0</v>
      </c>
      <c r="Y2310" s="2">
        <v>0.0</v>
      </c>
      <c r="AA2310" s="2" t="s">
        <v>33</v>
      </c>
    </row>
    <row r="2311">
      <c r="A2311" s="2">
        <v>4251.0</v>
      </c>
      <c r="B2311" s="2" t="s">
        <v>6571</v>
      </c>
      <c r="C2311" s="2" t="s">
        <v>7</v>
      </c>
      <c r="D2311" s="2" t="s">
        <v>6572</v>
      </c>
      <c r="F2311" s="6">
        <v>46027.625</v>
      </c>
      <c r="G2311" s="2">
        <v>51632.0</v>
      </c>
      <c r="H2311" s="2">
        <v>51632.0</v>
      </c>
      <c r="I2311" s="2">
        <v>42207.0</v>
      </c>
      <c r="J2311" s="2">
        <v>198.0</v>
      </c>
      <c r="K2311" s="2">
        <v>191.0</v>
      </c>
      <c r="L2311" s="2">
        <v>5.0</v>
      </c>
      <c r="M2311" s="4">
        <v>15726.0</v>
      </c>
      <c r="N2311" s="2" t="s">
        <v>36</v>
      </c>
      <c r="O2311" s="2">
        <v>71.0</v>
      </c>
      <c r="P2311" s="2" t="s">
        <v>189</v>
      </c>
      <c r="Q2311" s="2" t="s">
        <v>32</v>
      </c>
      <c r="R2311" s="2">
        <v>33.0</v>
      </c>
      <c r="U2311" s="2" t="b">
        <v>0</v>
      </c>
      <c r="V2311" s="5">
        <v>0.0045</v>
      </c>
      <c r="W2311" s="5">
        <v>0.0262</v>
      </c>
      <c r="X2311" s="5">
        <v>1.18E-4</v>
      </c>
      <c r="Y2311" s="2">
        <v>82.33507853</v>
      </c>
      <c r="AA2311" s="2" t="s">
        <v>33</v>
      </c>
    </row>
    <row r="2312">
      <c r="A2312" s="2">
        <v>4248.0</v>
      </c>
      <c r="B2312" s="2" t="s">
        <v>6573</v>
      </c>
      <c r="C2312" s="2" t="s">
        <v>7</v>
      </c>
      <c r="D2312" s="2" t="s">
        <v>6574</v>
      </c>
      <c r="F2312" s="6">
        <v>46027.625</v>
      </c>
      <c r="G2312" s="2">
        <v>76717.0</v>
      </c>
      <c r="H2312" s="2">
        <v>76717.0</v>
      </c>
      <c r="I2312" s="2">
        <v>63489.0</v>
      </c>
      <c r="J2312" s="2">
        <v>253.0</v>
      </c>
      <c r="K2312" s="2">
        <v>246.0</v>
      </c>
      <c r="L2312" s="2">
        <v>2.0</v>
      </c>
      <c r="M2312" s="4">
        <v>2499.0</v>
      </c>
      <c r="N2312" s="2" t="s">
        <v>30</v>
      </c>
      <c r="O2312" s="2">
        <v>70.0</v>
      </c>
      <c r="P2312" s="2" t="s">
        <v>189</v>
      </c>
      <c r="Q2312" s="2" t="s">
        <v>32</v>
      </c>
      <c r="R2312" s="2">
        <v>29.0</v>
      </c>
      <c r="U2312" s="2" t="b">
        <v>0</v>
      </c>
      <c r="V2312" s="5">
        <v>0.0039</v>
      </c>
      <c r="W2312" s="5">
        <v>0.0081</v>
      </c>
      <c r="X2312" s="5">
        <v>3.2E-5</v>
      </c>
      <c r="Y2312" s="2">
        <v>10.15853659</v>
      </c>
      <c r="Z2312" s="2">
        <v>5623.0</v>
      </c>
      <c r="AA2312" s="2" t="s">
        <v>33</v>
      </c>
    </row>
    <row r="2313">
      <c r="A2313" s="2">
        <v>4255.0</v>
      </c>
      <c r="B2313" s="2" t="s">
        <v>6575</v>
      </c>
      <c r="C2313" s="2" t="s">
        <v>7</v>
      </c>
      <c r="D2313" s="2" t="s">
        <v>6576</v>
      </c>
      <c r="F2313" s="6">
        <v>46027.708333333336</v>
      </c>
      <c r="G2313" s="2">
        <v>51570.0</v>
      </c>
      <c r="H2313" s="2">
        <v>51570.0</v>
      </c>
      <c r="I2313" s="2">
        <v>42140.0</v>
      </c>
      <c r="J2313" s="2">
        <v>254.0</v>
      </c>
      <c r="K2313" s="2">
        <v>237.0</v>
      </c>
      <c r="L2313" s="2">
        <v>4.0</v>
      </c>
      <c r="M2313" s="4">
        <v>12966.0</v>
      </c>
      <c r="N2313" s="2" t="s">
        <v>36</v>
      </c>
      <c r="O2313" s="2">
        <v>71.0</v>
      </c>
      <c r="P2313" s="2" t="s">
        <v>189</v>
      </c>
      <c r="Q2313" s="2" t="s">
        <v>32</v>
      </c>
      <c r="R2313" s="2">
        <v>47.0</v>
      </c>
      <c r="U2313" s="2" t="b">
        <v>0</v>
      </c>
      <c r="V2313" s="5">
        <v>0.0056</v>
      </c>
      <c r="W2313" s="5">
        <v>0.0169</v>
      </c>
      <c r="X2313" s="5">
        <v>9.5E-5</v>
      </c>
      <c r="Y2313" s="2">
        <v>54.70886076</v>
      </c>
      <c r="AA2313" s="2" t="s">
        <v>33</v>
      </c>
    </row>
    <row r="2314">
      <c r="A2314" s="2">
        <v>4254.0</v>
      </c>
      <c r="B2314" s="2" t="s">
        <v>6577</v>
      </c>
      <c r="C2314" s="2" t="s">
        <v>7</v>
      </c>
      <c r="D2314" s="2" t="s">
        <v>6578</v>
      </c>
      <c r="F2314" s="6">
        <v>46027.708333333336</v>
      </c>
      <c r="G2314" s="2">
        <v>76729.0</v>
      </c>
      <c r="H2314" s="2">
        <v>76729.0</v>
      </c>
      <c r="I2314" s="2">
        <v>63329.0</v>
      </c>
      <c r="J2314" s="2">
        <v>273.0</v>
      </c>
      <c r="K2314" s="2">
        <v>258.0</v>
      </c>
      <c r="L2314" s="2">
        <v>4.0</v>
      </c>
      <c r="M2314" s="4">
        <v>10127.0</v>
      </c>
      <c r="N2314" s="2" t="s">
        <v>30</v>
      </c>
      <c r="O2314" s="2">
        <v>70.0</v>
      </c>
      <c r="P2314" s="2" t="s">
        <v>189</v>
      </c>
      <c r="Q2314" s="2" t="s">
        <v>32</v>
      </c>
      <c r="R2314" s="2">
        <v>41.0</v>
      </c>
      <c r="U2314" s="2" t="b">
        <v>0</v>
      </c>
      <c r="V2314" s="5">
        <v>0.0041</v>
      </c>
      <c r="W2314" s="5">
        <v>0.0155</v>
      </c>
      <c r="X2314" s="5">
        <v>6.3E-5</v>
      </c>
      <c r="Y2314" s="2">
        <v>39.25193798</v>
      </c>
      <c r="Z2314" s="2">
        <v>1594.0</v>
      </c>
      <c r="AA2314" s="2" t="s">
        <v>33</v>
      </c>
    </row>
    <row r="2315">
      <c r="A2315" s="2">
        <v>4256.0</v>
      </c>
      <c r="B2315" s="2" t="s">
        <v>6579</v>
      </c>
      <c r="C2315" s="2" t="s">
        <v>7</v>
      </c>
      <c r="D2315" s="2" t="s">
        <v>6580</v>
      </c>
      <c r="F2315" s="6">
        <v>46028.5125</v>
      </c>
      <c r="G2315" s="2">
        <v>76908.0</v>
      </c>
      <c r="H2315" s="2">
        <v>76908.0</v>
      </c>
      <c r="I2315" s="2">
        <v>63402.0</v>
      </c>
      <c r="J2315" s="2">
        <v>216.0</v>
      </c>
      <c r="K2315" s="2">
        <v>208.0</v>
      </c>
      <c r="L2315" s="2">
        <v>4.0</v>
      </c>
      <c r="M2315" s="4">
        <v>6565.0</v>
      </c>
      <c r="N2315" s="2" t="s">
        <v>30</v>
      </c>
      <c r="O2315" s="2">
        <v>70.0</v>
      </c>
      <c r="P2315" s="2" t="s">
        <v>189</v>
      </c>
      <c r="Q2315" s="2" t="s">
        <v>32</v>
      </c>
      <c r="R2315" s="2">
        <v>38.0</v>
      </c>
      <c r="U2315" s="2" t="b">
        <v>0</v>
      </c>
      <c r="V2315" s="5">
        <v>0.0033</v>
      </c>
      <c r="W2315" s="5">
        <v>0.0192</v>
      </c>
      <c r="X2315" s="5">
        <v>6.3E-5</v>
      </c>
      <c r="Y2315" s="2">
        <v>31.5625</v>
      </c>
      <c r="AA2315" s="2" t="s">
        <v>33</v>
      </c>
    </row>
    <row r="2316">
      <c r="A2316" s="2">
        <v>4257.0</v>
      </c>
      <c r="B2316" s="2" t="s">
        <v>6581</v>
      </c>
      <c r="C2316" s="2" t="s">
        <v>7</v>
      </c>
      <c r="D2316" s="2" t="s">
        <v>6582</v>
      </c>
      <c r="F2316" s="6">
        <v>46028.58611111111</v>
      </c>
      <c r="G2316" s="2">
        <v>51622.0</v>
      </c>
      <c r="H2316" s="2">
        <v>51622.0</v>
      </c>
      <c r="I2316" s="2">
        <v>0.0</v>
      </c>
      <c r="J2316" s="2">
        <v>0.0</v>
      </c>
      <c r="K2316" s="2">
        <v>0.0</v>
      </c>
      <c r="L2316" s="2">
        <v>0.0</v>
      </c>
      <c r="M2316" s="2">
        <v>0.0</v>
      </c>
      <c r="N2316" s="2" t="s">
        <v>36</v>
      </c>
      <c r="O2316" s="2">
        <v>71.0</v>
      </c>
      <c r="P2316" s="2" t="s">
        <v>31</v>
      </c>
      <c r="Q2316" s="2" t="s">
        <v>32</v>
      </c>
      <c r="R2316" s="2">
        <v>45.0</v>
      </c>
      <c r="U2316" s="2" t="b">
        <v>0</v>
      </c>
      <c r="AA2316" s="2" t="s">
        <v>33</v>
      </c>
    </row>
    <row r="2317">
      <c r="A2317" s="2">
        <v>4259.0</v>
      </c>
      <c r="B2317" s="2" t="s">
        <v>6583</v>
      </c>
      <c r="C2317" s="2" t="s">
        <v>7</v>
      </c>
      <c r="D2317" s="2" t="s">
        <v>6584</v>
      </c>
      <c r="F2317" s="6">
        <v>46028.625</v>
      </c>
      <c r="G2317" s="2">
        <v>51631.0</v>
      </c>
      <c r="H2317" s="2">
        <v>51631.0</v>
      </c>
      <c r="I2317" s="2">
        <v>42137.0</v>
      </c>
      <c r="J2317" s="2">
        <v>175.0</v>
      </c>
      <c r="K2317" s="2">
        <v>160.0</v>
      </c>
      <c r="L2317" s="2">
        <v>1.0</v>
      </c>
      <c r="M2317" s="4">
        <v>13350.0</v>
      </c>
      <c r="N2317" s="2" t="s">
        <v>36</v>
      </c>
      <c r="O2317" s="2">
        <v>71.0</v>
      </c>
      <c r="P2317" s="2" t="s">
        <v>189</v>
      </c>
      <c r="Q2317" s="2" t="s">
        <v>32</v>
      </c>
      <c r="R2317" s="2">
        <v>45.0</v>
      </c>
      <c r="U2317" s="2" t="b">
        <v>1</v>
      </c>
      <c r="V2317" s="5">
        <v>0.0038</v>
      </c>
      <c r="W2317" s="5">
        <v>0.0063</v>
      </c>
      <c r="X2317" s="5">
        <v>2.4E-5</v>
      </c>
      <c r="Y2317" s="2">
        <v>83.4375</v>
      </c>
      <c r="AA2317" s="2" t="s">
        <v>33</v>
      </c>
    </row>
    <row r="2318">
      <c r="A2318" s="2">
        <v>4258.0</v>
      </c>
      <c r="B2318" s="2" t="s">
        <v>6585</v>
      </c>
      <c r="C2318" s="2" t="s">
        <v>7</v>
      </c>
      <c r="D2318" s="2" t="s">
        <v>6586</v>
      </c>
      <c r="F2318" s="6">
        <v>46028.625</v>
      </c>
      <c r="G2318" s="2">
        <v>76755.0</v>
      </c>
      <c r="H2318" s="2">
        <v>76755.0</v>
      </c>
      <c r="I2318" s="2">
        <v>63552.0</v>
      </c>
      <c r="J2318" s="2">
        <v>178.0</v>
      </c>
      <c r="K2318" s="2">
        <v>169.0</v>
      </c>
      <c r="L2318" s="2">
        <v>6.0</v>
      </c>
      <c r="M2318" s="4">
        <v>14157.0</v>
      </c>
      <c r="N2318" s="2" t="s">
        <v>30</v>
      </c>
      <c r="O2318" s="2">
        <v>70.0</v>
      </c>
      <c r="P2318" s="2" t="s">
        <v>189</v>
      </c>
      <c r="Q2318" s="2" t="s">
        <v>32</v>
      </c>
      <c r="R2318" s="2">
        <v>45.0</v>
      </c>
      <c r="U2318" s="2" t="b">
        <v>0</v>
      </c>
      <c r="V2318" s="5">
        <v>0.0027</v>
      </c>
      <c r="W2318" s="5">
        <v>0.0355</v>
      </c>
      <c r="X2318" s="5">
        <v>9.4E-5</v>
      </c>
      <c r="Y2318" s="2">
        <v>83.76923077</v>
      </c>
      <c r="Z2318" s="2">
        <v>5799.0</v>
      </c>
      <c r="AA2318" s="2" t="s">
        <v>33</v>
      </c>
    </row>
    <row r="2319">
      <c r="A2319" s="2">
        <v>4261.0</v>
      </c>
      <c r="B2319" s="2" t="s">
        <v>6587</v>
      </c>
      <c r="C2319" s="2" t="s">
        <v>7</v>
      </c>
      <c r="D2319" s="2" t="s">
        <v>6588</v>
      </c>
      <c r="F2319" s="6">
        <v>46028.708333333336</v>
      </c>
      <c r="G2319" s="2">
        <v>51498.0</v>
      </c>
      <c r="H2319" s="2">
        <v>51498.0</v>
      </c>
      <c r="I2319" s="2">
        <v>42145.0</v>
      </c>
      <c r="J2319" s="2">
        <v>153.0</v>
      </c>
      <c r="K2319" s="2">
        <v>143.0</v>
      </c>
      <c r="L2319" s="2">
        <v>5.0</v>
      </c>
      <c r="M2319" s="4">
        <v>16615.0</v>
      </c>
      <c r="N2319" s="2" t="s">
        <v>36</v>
      </c>
      <c r="O2319" s="2">
        <v>71.0</v>
      </c>
      <c r="P2319" s="2" t="s">
        <v>189</v>
      </c>
      <c r="Q2319" s="2" t="s">
        <v>32</v>
      </c>
      <c r="R2319" s="2">
        <v>37.0</v>
      </c>
      <c r="U2319" s="2" t="b">
        <v>0</v>
      </c>
      <c r="V2319" s="5">
        <v>0.0034</v>
      </c>
      <c r="W2319" s="5">
        <v>0.035</v>
      </c>
      <c r="X2319" s="5">
        <v>1.19E-4</v>
      </c>
      <c r="Y2319" s="2">
        <v>116.1888112</v>
      </c>
      <c r="AA2319" s="2" t="s">
        <v>33</v>
      </c>
    </row>
    <row r="2320">
      <c r="A2320" s="2">
        <v>4260.0</v>
      </c>
      <c r="B2320" s="2" t="s">
        <v>6589</v>
      </c>
      <c r="C2320" s="2" t="s">
        <v>7</v>
      </c>
      <c r="D2320" s="2" t="s">
        <v>6590</v>
      </c>
      <c r="F2320" s="6">
        <v>46028.708333333336</v>
      </c>
      <c r="G2320" s="2">
        <v>76777.0</v>
      </c>
      <c r="H2320" s="2">
        <v>76777.0</v>
      </c>
      <c r="I2320" s="2">
        <v>63535.0</v>
      </c>
      <c r="J2320" s="2">
        <v>189.0</v>
      </c>
      <c r="K2320" s="2">
        <v>178.0</v>
      </c>
      <c r="L2320" s="2">
        <v>3.0</v>
      </c>
      <c r="M2320" s="4">
        <v>10549.0</v>
      </c>
      <c r="N2320" s="2" t="s">
        <v>30</v>
      </c>
      <c r="O2320" s="2">
        <v>70.0</v>
      </c>
      <c r="P2320" s="2" t="s">
        <v>189</v>
      </c>
      <c r="Q2320" s="2" t="s">
        <v>32</v>
      </c>
      <c r="R2320" s="2">
        <v>35.0</v>
      </c>
      <c r="U2320" s="2" t="b">
        <v>0</v>
      </c>
      <c r="V2320" s="5">
        <v>0.0028</v>
      </c>
      <c r="W2320" s="5">
        <v>0.0169</v>
      </c>
      <c r="X2320" s="5">
        <v>4.7E-5</v>
      </c>
      <c r="Y2320" s="2">
        <v>59.26404494</v>
      </c>
      <c r="AA2320" s="2" t="s">
        <v>33</v>
      </c>
    </row>
    <row r="2321">
      <c r="A2321" s="2">
        <v>4262.0</v>
      </c>
      <c r="B2321" s="2" t="s">
        <v>6591</v>
      </c>
      <c r="C2321" s="2" t="s">
        <v>7</v>
      </c>
      <c r="D2321" s="2" t="s">
        <v>6592</v>
      </c>
      <c r="F2321" s="6">
        <v>46029.458333333336</v>
      </c>
      <c r="G2321" s="2">
        <v>76904.0</v>
      </c>
      <c r="H2321" s="2">
        <v>76904.0</v>
      </c>
      <c r="I2321" s="2">
        <v>63471.0</v>
      </c>
      <c r="J2321" s="2">
        <v>178.0</v>
      </c>
      <c r="K2321" s="2">
        <v>172.0</v>
      </c>
      <c r="L2321" s="2">
        <v>2.0</v>
      </c>
      <c r="M2321" s="4">
        <v>3964.0</v>
      </c>
      <c r="N2321" s="2" t="s">
        <v>30</v>
      </c>
      <c r="O2321" s="2">
        <v>70.0</v>
      </c>
      <c r="P2321" s="2" t="s">
        <v>189</v>
      </c>
      <c r="Q2321" s="2" t="s">
        <v>32</v>
      </c>
      <c r="R2321" s="2">
        <v>37.0</v>
      </c>
      <c r="U2321" s="2" t="b">
        <v>0</v>
      </c>
      <c r="V2321" s="5">
        <v>0.0027</v>
      </c>
      <c r="W2321" s="5">
        <v>0.0116</v>
      </c>
      <c r="X2321" s="5">
        <v>3.2E-5</v>
      </c>
      <c r="Y2321" s="2">
        <v>23.04651163</v>
      </c>
      <c r="AA2321" s="2" t="s">
        <v>33</v>
      </c>
    </row>
    <row r="2322">
      <c r="A2322" s="2">
        <v>4263.0</v>
      </c>
      <c r="B2322" s="2" t="s">
        <v>6593</v>
      </c>
      <c r="C2322" s="2" t="s">
        <v>7</v>
      </c>
      <c r="D2322" s="2" t="s">
        <v>6594</v>
      </c>
      <c r="F2322" s="6">
        <v>46029.458333333336</v>
      </c>
      <c r="G2322" s="2">
        <v>51489.0</v>
      </c>
      <c r="H2322" s="2">
        <v>51489.0</v>
      </c>
      <c r="I2322" s="2">
        <v>41928.0</v>
      </c>
      <c r="J2322" s="2">
        <v>175.0</v>
      </c>
      <c r="K2322" s="2">
        <v>170.0</v>
      </c>
      <c r="L2322" s="2">
        <v>1.0</v>
      </c>
      <c r="M2322" s="2">
        <v>0.0</v>
      </c>
      <c r="N2322" s="2" t="s">
        <v>36</v>
      </c>
      <c r="O2322" s="2">
        <v>71.0</v>
      </c>
      <c r="P2322" s="2" t="s">
        <v>189</v>
      </c>
      <c r="Q2322" s="2" t="s">
        <v>32</v>
      </c>
      <c r="R2322" s="2">
        <v>42.0</v>
      </c>
      <c r="U2322" s="2" t="b">
        <v>1</v>
      </c>
      <c r="V2322" s="5">
        <v>0.0041</v>
      </c>
      <c r="W2322" s="5">
        <v>0.0059</v>
      </c>
      <c r="X2322" s="5">
        <v>2.4E-5</v>
      </c>
      <c r="Y2322" s="2">
        <v>0.0</v>
      </c>
      <c r="AA2322" s="2" t="s">
        <v>33</v>
      </c>
    </row>
    <row r="2323">
      <c r="A2323" s="2">
        <v>4266.0</v>
      </c>
      <c r="B2323" s="2" t="s">
        <v>6595</v>
      </c>
      <c r="C2323" s="2" t="s">
        <v>7</v>
      </c>
      <c r="D2323" s="2" t="s">
        <v>6596</v>
      </c>
      <c r="F2323" s="6">
        <v>46029.625</v>
      </c>
      <c r="G2323" s="2">
        <v>51470.0</v>
      </c>
      <c r="H2323" s="2">
        <v>51470.0</v>
      </c>
      <c r="I2323" s="2">
        <v>42185.0</v>
      </c>
      <c r="J2323" s="2">
        <v>166.0</v>
      </c>
      <c r="K2323" s="2">
        <v>158.0</v>
      </c>
      <c r="L2323" s="2">
        <v>1.0</v>
      </c>
      <c r="M2323" s="4">
        <v>1908.0</v>
      </c>
      <c r="N2323" s="2" t="s">
        <v>36</v>
      </c>
      <c r="O2323" s="2">
        <v>71.0</v>
      </c>
      <c r="P2323" s="2" t="s">
        <v>189</v>
      </c>
      <c r="Q2323" s="2" t="s">
        <v>32</v>
      </c>
      <c r="R2323" s="2">
        <v>34.0</v>
      </c>
      <c r="U2323" s="2" t="b">
        <v>1</v>
      </c>
      <c r="V2323" s="5">
        <v>0.0037</v>
      </c>
      <c r="W2323" s="5">
        <v>0.0063</v>
      </c>
      <c r="X2323" s="5">
        <v>2.4E-5</v>
      </c>
      <c r="Y2323" s="2">
        <v>12.07594937</v>
      </c>
      <c r="AA2323" s="2" t="s">
        <v>33</v>
      </c>
    </row>
    <row r="2324">
      <c r="A2324" s="2">
        <v>4264.0</v>
      </c>
      <c r="B2324" s="2" t="s">
        <v>6597</v>
      </c>
      <c r="C2324" s="2" t="s">
        <v>7</v>
      </c>
      <c r="D2324" s="2" t="s">
        <v>6598</v>
      </c>
      <c r="F2324" s="6">
        <v>46029.625</v>
      </c>
      <c r="G2324" s="2">
        <v>76881.0</v>
      </c>
      <c r="H2324" s="2">
        <v>76881.0</v>
      </c>
      <c r="I2324" s="2">
        <v>63603.0</v>
      </c>
      <c r="J2324" s="2">
        <v>259.0</v>
      </c>
      <c r="K2324" s="2">
        <v>248.0</v>
      </c>
      <c r="L2324" s="2">
        <v>2.0</v>
      </c>
      <c r="M2324" s="4">
        <v>6458.0</v>
      </c>
      <c r="N2324" s="2" t="s">
        <v>30</v>
      </c>
      <c r="O2324" s="2">
        <v>70.0</v>
      </c>
      <c r="P2324" s="2" t="s">
        <v>189</v>
      </c>
      <c r="Q2324" s="2" t="s">
        <v>32</v>
      </c>
      <c r="R2324" s="2">
        <v>33.0</v>
      </c>
      <c r="U2324" s="2" t="b">
        <v>0</v>
      </c>
      <c r="V2324" s="5">
        <v>0.0039</v>
      </c>
      <c r="W2324" s="5">
        <v>0.0081</v>
      </c>
      <c r="X2324" s="5">
        <v>3.1E-5</v>
      </c>
      <c r="Y2324" s="2">
        <v>26.04032258</v>
      </c>
      <c r="Z2324" s="2">
        <v>2733.0</v>
      </c>
      <c r="AA2324" s="2" t="s">
        <v>33</v>
      </c>
    </row>
    <row r="2325">
      <c r="A2325" s="2">
        <v>4268.0</v>
      </c>
      <c r="B2325" s="2" t="s">
        <v>6599</v>
      </c>
      <c r="C2325" s="2" t="s">
        <v>7</v>
      </c>
      <c r="D2325" s="2" t="s">
        <v>6594</v>
      </c>
      <c r="F2325" s="6">
        <v>46029.708333333336</v>
      </c>
      <c r="G2325" s="2">
        <v>51446.0</v>
      </c>
      <c r="H2325" s="2">
        <v>51446.0</v>
      </c>
      <c r="I2325" s="2">
        <v>42133.0</v>
      </c>
      <c r="J2325" s="2">
        <v>209.0</v>
      </c>
      <c r="K2325" s="2">
        <v>200.0</v>
      </c>
      <c r="L2325" s="2">
        <v>2.0</v>
      </c>
      <c r="M2325" s="4">
        <v>4176.0</v>
      </c>
      <c r="N2325" s="2" t="s">
        <v>36</v>
      </c>
      <c r="O2325" s="2">
        <v>71.0</v>
      </c>
      <c r="P2325" s="2" t="s">
        <v>189</v>
      </c>
      <c r="Q2325" s="2" t="s">
        <v>32</v>
      </c>
      <c r="R2325" s="2">
        <v>42.0</v>
      </c>
      <c r="U2325" s="2" t="b">
        <v>1</v>
      </c>
      <c r="V2325" s="5">
        <v>0.0047</v>
      </c>
      <c r="W2325" s="5">
        <v>0.01</v>
      </c>
      <c r="X2325" s="5">
        <v>4.7E-5</v>
      </c>
      <c r="Y2325" s="2">
        <v>20.88</v>
      </c>
      <c r="AA2325" s="2" t="s">
        <v>33</v>
      </c>
    </row>
    <row r="2326">
      <c r="A2326" s="2">
        <v>4267.0</v>
      </c>
      <c r="B2326" s="2" t="s">
        <v>6600</v>
      </c>
      <c r="C2326" s="2" t="s">
        <v>7</v>
      </c>
      <c r="D2326" s="2" t="s">
        <v>6601</v>
      </c>
      <c r="F2326" s="6">
        <v>46029.708333333336</v>
      </c>
      <c r="G2326" s="2">
        <v>76857.0</v>
      </c>
      <c r="H2326" s="2">
        <v>76857.0</v>
      </c>
      <c r="I2326" s="2">
        <v>63363.0</v>
      </c>
      <c r="J2326" s="2">
        <v>236.0</v>
      </c>
      <c r="K2326" s="2">
        <v>225.0</v>
      </c>
      <c r="L2326" s="2">
        <v>4.0</v>
      </c>
      <c r="M2326" s="4">
        <v>12450.0</v>
      </c>
      <c r="N2326" s="2" t="s">
        <v>30</v>
      </c>
      <c r="O2326" s="2">
        <v>70.0</v>
      </c>
      <c r="P2326" s="2" t="s">
        <v>189</v>
      </c>
      <c r="Q2326" s="2" t="s">
        <v>32</v>
      </c>
      <c r="R2326" s="2">
        <v>42.0</v>
      </c>
      <c r="U2326" s="2" t="b">
        <v>0</v>
      </c>
      <c r="V2326" s="5">
        <v>0.0036</v>
      </c>
      <c r="W2326" s="5">
        <v>0.0178</v>
      </c>
      <c r="X2326" s="5">
        <v>6.3E-5</v>
      </c>
      <c r="Y2326" s="2">
        <v>55.33333333</v>
      </c>
      <c r="AA2326" s="2" t="s">
        <v>33</v>
      </c>
    </row>
    <row r="2327">
      <c r="A2327" s="2">
        <v>4270.0</v>
      </c>
      <c r="B2327" s="2" t="s">
        <v>6602</v>
      </c>
      <c r="C2327" s="2" t="s">
        <v>7</v>
      </c>
      <c r="D2327" s="2" t="s">
        <v>6603</v>
      </c>
      <c r="F2327" s="6">
        <v>46030.458333333336</v>
      </c>
      <c r="G2327" s="2">
        <v>51451.0</v>
      </c>
      <c r="H2327" s="2">
        <v>51451.0</v>
      </c>
      <c r="I2327" s="2">
        <v>41906.0</v>
      </c>
      <c r="J2327" s="2">
        <v>198.0</v>
      </c>
      <c r="K2327" s="2">
        <v>191.0</v>
      </c>
      <c r="L2327" s="2">
        <v>4.0</v>
      </c>
      <c r="M2327" s="4">
        <v>7740.0</v>
      </c>
      <c r="N2327" s="2" t="s">
        <v>36</v>
      </c>
      <c r="O2327" s="2">
        <v>71.0</v>
      </c>
      <c r="P2327" s="2" t="s">
        <v>31</v>
      </c>
      <c r="Q2327" s="2" t="s">
        <v>32</v>
      </c>
      <c r="R2327" s="2">
        <v>49.0</v>
      </c>
      <c r="U2327" s="2" t="b">
        <v>0</v>
      </c>
      <c r="V2327" s="5">
        <v>0.0046</v>
      </c>
      <c r="W2327" s="5">
        <v>0.0209</v>
      </c>
      <c r="X2327" s="5">
        <v>9.5E-5</v>
      </c>
      <c r="Y2327" s="2">
        <v>40.52356021</v>
      </c>
      <c r="AA2327" s="2" t="s">
        <v>33</v>
      </c>
    </row>
    <row r="2328">
      <c r="A2328" s="2">
        <v>4269.0</v>
      </c>
      <c r="B2328" s="2" t="s">
        <v>6604</v>
      </c>
      <c r="C2328" s="2" t="s">
        <v>7</v>
      </c>
      <c r="D2328" s="2" t="s">
        <v>6605</v>
      </c>
      <c r="F2328" s="6">
        <v>46030.458333333336</v>
      </c>
      <c r="G2328" s="2">
        <v>76932.0</v>
      </c>
      <c r="H2328" s="2">
        <v>76932.0</v>
      </c>
      <c r="I2328" s="2">
        <v>63340.0</v>
      </c>
      <c r="J2328" s="2">
        <v>246.0</v>
      </c>
      <c r="K2328" s="2">
        <v>239.0</v>
      </c>
      <c r="L2328" s="2">
        <v>3.0</v>
      </c>
      <c r="M2328" s="4">
        <v>6579.0</v>
      </c>
      <c r="N2328" s="2" t="s">
        <v>30</v>
      </c>
      <c r="O2328" s="2">
        <v>70.0</v>
      </c>
      <c r="P2328" s="2" t="s">
        <v>31</v>
      </c>
      <c r="Q2328" s="2" t="s">
        <v>32</v>
      </c>
      <c r="R2328" s="2">
        <v>47.0</v>
      </c>
      <c r="U2328" s="2" t="b">
        <v>0</v>
      </c>
      <c r="V2328" s="5">
        <v>0.0038</v>
      </c>
      <c r="W2328" s="5">
        <v>0.0126</v>
      </c>
      <c r="X2328" s="5">
        <v>4.7E-5</v>
      </c>
      <c r="Y2328" s="2">
        <v>27.52719665</v>
      </c>
      <c r="Z2328" s="2">
        <v>1192.0</v>
      </c>
      <c r="AA2328" s="2" t="s">
        <v>33</v>
      </c>
    </row>
    <row r="2329">
      <c r="A2329" s="2">
        <v>4272.0</v>
      </c>
      <c r="B2329" s="2" t="s">
        <v>6606</v>
      </c>
      <c r="C2329" s="2" t="s">
        <v>7</v>
      </c>
      <c r="D2329" s="2" t="s">
        <v>6607</v>
      </c>
      <c r="F2329" s="6">
        <v>46030.625</v>
      </c>
      <c r="G2329" s="2">
        <v>51425.0</v>
      </c>
      <c r="H2329" s="2">
        <v>51425.0</v>
      </c>
      <c r="I2329" s="2">
        <v>42113.0</v>
      </c>
      <c r="J2329" s="2">
        <v>189.0</v>
      </c>
      <c r="K2329" s="2">
        <v>180.0</v>
      </c>
      <c r="L2329" s="2">
        <v>4.0</v>
      </c>
      <c r="M2329" s="4">
        <v>9499.0</v>
      </c>
      <c r="N2329" s="2" t="s">
        <v>36</v>
      </c>
      <c r="O2329" s="2">
        <v>71.0</v>
      </c>
      <c r="P2329" s="2" t="s">
        <v>189</v>
      </c>
      <c r="Q2329" s="2" t="s">
        <v>32</v>
      </c>
      <c r="R2329" s="2">
        <v>51.0</v>
      </c>
      <c r="U2329" s="2" t="b">
        <v>0</v>
      </c>
      <c r="V2329" s="5">
        <v>0.0043</v>
      </c>
      <c r="W2329" s="5">
        <v>0.0222</v>
      </c>
      <c r="X2329" s="5">
        <v>9.5E-5</v>
      </c>
      <c r="Y2329" s="2">
        <v>52.77222222</v>
      </c>
      <c r="AA2329" s="2" t="s">
        <v>33</v>
      </c>
    </row>
    <row r="2330">
      <c r="A2330" s="2">
        <v>4271.0</v>
      </c>
      <c r="B2330" s="2" t="s">
        <v>6608</v>
      </c>
      <c r="C2330" s="2" t="s">
        <v>7</v>
      </c>
      <c r="D2330" s="2" t="s">
        <v>6609</v>
      </c>
      <c r="F2330" s="6">
        <v>46030.625</v>
      </c>
      <c r="G2330" s="2">
        <v>76893.0</v>
      </c>
      <c r="H2330" s="2">
        <v>76893.0</v>
      </c>
      <c r="I2330" s="2">
        <v>63541.0</v>
      </c>
      <c r="J2330" s="2">
        <v>232.0</v>
      </c>
      <c r="K2330" s="2">
        <v>222.0</v>
      </c>
      <c r="L2330" s="2">
        <v>0.0</v>
      </c>
      <c r="M2330" s="2">
        <v>0.0</v>
      </c>
      <c r="N2330" s="2" t="s">
        <v>30</v>
      </c>
      <c r="O2330" s="2">
        <v>70.0</v>
      </c>
      <c r="P2330" s="2" t="s">
        <v>189</v>
      </c>
      <c r="Q2330" s="2" t="s">
        <v>32</v>
      </c>
      <c r="R2330" s="2">
        <v>45.0</v>
      </c>
      <c r="U2330" s="2" t="b">
        <v>0</v>
      </c>
      <c r="V2330" s="5">
        <v>0.0035</v>
      </c>
      <c r="W2330" s="5">
        <v>0.0</v>
      </c>
      <c r="X2330" s="5">
        <v>0.0</v>
      </c>
      <c r="Y2330" s="2">
        <v>0.0</v>
      </c>
      <c r="Z2330" s="2">
        <v>6017.0</v>
      </c>
      <c r="AA2330" s="2" t="s">
        <v>33</v>
      </c>
    </row>
    <row r="2331">
      <c r="A2331" s="2">
        <v>4274.0</v>
      </c>
      <c r="B2331" s="2" t="s">
        <v>6610</v>
      </c>
      <c r="C2331" s="2" t="s">
        <v>7</v>
      </c>
      <c r="D2331" s="2" t="s">
        <v>6611</v>
      </c>
      <c r="F2331" s="6">
        <v>46030.708333333336</v>
      </c>
      <c r="G2331" s="2">
        <v>51351.0</v>
      </c>
      <c r="H2331" s="2">
        <v>51351.0</v>
      </c>
      <c r="I2331" s="2">
        <v>41993.0</v>
      </c>
      <c r="J2331" s="2">
        <v>217.0</v>
      </c>
      <c r="K2331" s="2">
        <v>211.0</v>
      </c>
      <c r="L2331" s="2">
        <v>1.0</v>
      </c>
      <c r="M2331" s="4">
        <v>1998.0</v>
      </c>
      <c r="N2331" s="2" t="s">
        <v>36</v>
      </c>
      <c r="O2331" s="2">
        <v>71.0</v>
      </c>
      <c r="P2331" s="2" t="s">
        <v>189</v>
      </c>
      <c r="Q2331" s="2" t="s">
        <v>32</v>
      </c>
      <c r="R2331" s="2">
        <v>43.0</v>
      </c>
      <c r="U2331" s="2" t="b">
        <v>0</v>
      </c>
      <c r="V2331" s="5">
        <v>0.005</v>
      </c>
      <c r="W2331" s="5">
        <v>0.0047</v>
      </c>
      <c r="X2331" s="5">
        <v>2.4E-5</v>
      </c>
      <c r="Y2331" s="2">
        <v>9.469194313</v>
      </c>
      <c r="AA2331" s="2" t="s">
        <v>33</v>
      </c>
    </row>
    <row r="2332">
      <c r="A2332" s="2">
        <v>4273.0</v>
      </c>
      <c r="B2332" s="2" t="s">
        <v>6612</v>
      </c>
      <c r="C2332" s="2" t="s">
        <v>7</v>
      </c>
      <c r="D2332" s="2" t="s">
        <v>6613</v>
      </c>
      <c r="F2332" s="6">
        <v>46030.708333333336</v>
      </c>
      <c r="G2332" s="2">
        <v>76792.0</v>
      </c>
      <c r="H2332" s="2">
        <v>76792.0</v>
      </c>
      <c r="I2332" s="2">
        <v>63283.0</v>
      </c>
      <c r="J2332" s="2">
        <v>260.0</v>
      </c>
      <c r="K2332" s="2">
        <v>252.0</v>
      </c>
      <c r="L2332" s="2">
        <v>3.0</v>
      </c>
      <c r="M2332" s="4">
        <v>12716.0</v>
      </c>
      <c r="N2332" s="2" t="s">
        <v>30</v>
      </c>
      <c r="O2332" s="2">
        <v>70.0</v>
      </c>
      <c r="P2332" s="2" t="s">
        <v>189</v>
      </c>
      <c r="Q2332" s="2" t="s">
        <v>32</v>
      </c>
      <c r="R2332" s="2">
        <v>35.0</v>
      </c>
      <c r="U2332" s="2" t="b">
        <v>0</v>
      </c>
      <c r="V2332" s="5">
        <v>0.004</v>
      </c>
      <c r="W2332" s="5">
        <v>0.0119</v>
      </c>
      <c r="X2332" s="5">
        <v>4.7E-5</v>
      </c>
      <c r="Y2332" s="2">
        <v>50.46031746</v>
      </c>
      <c r="Z2332" s="2">
        <v>3564.0</v>
      </c>
      <c r="AA2332" s="2" t="s">
        <v>33</v>
      </c>
    </row>
    <row r="2333">
      <c r="A2333" s="2">
        <v>4275.0</v>
      </c>
      <c r="B2333" s="2" t="s">
        <v>6614</v>
      </c>
      <c r="C2333" s="2" t="s">
        <v>7</v>
      </c>
      <c r="D2333" s="2" t="s">
        <v>6615</v>
      </c>
      <c r="F2333" s="6">
        <v>46031.458333333336</v>
      </c>
      <c r="G2333" s="2">
        <v>76940.0</v>
      </c>
      <c r="H2333" s="2">
        <v>76940.0</v>
      </c>
      <c r="I2333" s="2">
        <v>63351.0</v>
      </c>
      <c r="J2333" s="2">
        <v>248.0</v>
      </c>
      <c r="K2333" s="2">
        <v>234.0</v>
      </c>
      <c r="L2333" s="2">
        <v>3.0</v>
      </c>
      <c r="M2333" s="4">
        <v>5115.0</v>
      </c>
      <c r="N2333" s="2" t="s">
        <v>30</v>
      </c>
      <c r="O2333" s="2">
        <v>70.0</v>
      </c>
      <c r="P2333" s="2" t="s">
        <v>31</v>
      </c>
      <c r="Q2333" s="2" t="s">
        <v>32</v>
      </c>
      <c r="R2333" s="2">
        <v>41.0</v>
      </c>
      <c r="U2333" s="2" t="b">
        <v>0</v>
      </c>
      <c r="V2333" s="5">
        <v>0.0037</v>
      </c>
      <c r="W2333" s="5">
        <v>0.0128</v>
      </c>
      <c r="X2333" s="5">
        <v>4.7E-5</v>
      </c>
      <c r="Y2333" s="2">
        <v>21.85897436</v>
      </c>
      <c r="Z2333" s="2">
        <v>6016.0</v>
      </c>
      <c r="AA2333" s="2" t="s">
        <v>33</v>
      </c>
    </row>
    <row r="2334">
      <c r="A2334" s="2">
        <v>4276.0</v>
      </c>
      <c r="B2334" s="2" t="s">
        <v>6616</v>
      </c>
      <c r="C2334" s="2" t="s">
        <v>7</v>
      </c>
      <c r="D2334" s="2" t="s">
        <v>6617</v>
      </c>
      <c r="F2334" s="6">
        <v>46031.458333333336</v>
      </c>
      <c r="G2334" s="2">
        <v>51394.0</v>
      </c>
      <c r="H2334" s="2">
        <v>51394.0</v>
      </c>
      <c r="I2334" s="2">
        <v>41759.0</v>
      </c>
      <c r="J2334" s="2">
        <v>181.0</v>
      </c>
      <c r="K2334" s="2">
        <v>174.0</v>
      </c>
      <c r="L2334" s="2">
        <v>1.0</v>
      </c>
      <c r="M2334" s="4">
        <v>2970.0</v>
      </c>
      <c r="N2334" s="2" t="s">
        <v>36</v>
      </c>
      <c r="O2334" s="2">
        <v>71.0</v>
      </c>
      <c r="P2334" s="2" t="s">
        <v>189</v>
      </c>
      <c r="Q2334" s="2" t="s">
        <v>32</v>
      </c>
      <c r="R2334" s="2">
        <v>42.0</v>
      </c>
      <c r="U2334" s="2" t="b">
        <v>1</v>
      </c>
      <c r="V2334" s="5">
        <v>0.0042</v>
      </c>
      <c r="W2334" s="5">
        <v>0.0057</v>
      </c>
      <c r="X2334" s="5">
        <v>2.4E-5</v>
      </c>
      <c r="Y2334" s="2">
        <v>17.06896552</v>
      </c>
      <c r="AA2334" s="2" t="s">
        <v>33</v>
      </c>
    </row>
    <row r="2335">
      <c r="A2335" s="2">
        <v>4278.0</v>
      </c>
      <c r="B2335" s="2" t="s">
        <v>6618</v>
      </c>
      <c r="C2335" s="2" t="s">
        <v>7</v>
      </c>
      <c r="D2335" s="2" t="s">
        <v>6619</v>
      </c>
      <c r="F2335" s="6">
        <v>46031.625</v>
      </c>
      <c r="G2335" s="2">
        <v>51409.0</v>
      </c>
      <c r="H2335" s="2">
        <v>51409.0</v>
      </c>
      <c r="I2335" s="2">
        <v>42009.0</v>
      </c>
      <c r="J2335" s="2">
        <v>143.0</v>
      </c>
      <c r="K2335" s="2">
        <v>137.0</v>
      </c>
      <c r="L2335" s="2">
        <v>1.0</v>
      </c>
      <c r="M2335" s="4">
        <v>2352.0</v>
      </c>
      <c r="N2335" s="2" t="s">
        <v>36</v>
      </c>
      <c r="O2335" s="2">
        <v>71.0</v>
      </c>
      <c r="P2335" s="2" t="s">
        <v>189</v>
      </c>
      <c r="Q2335" s="2" t="s">
        <v>32</v>
      </c>
      <c r="R2335" s="2">
        <v>49.0</v>
      </c>
      <c r="U2335" s="2" t="b">
        <v>0</v>
      </c>
      <c r="V2335" s="5">
        <v>0.0033</v>
      </c>
      <c r="W2335" s="5">
        <v>0.0073</v>
      </c>
      <c r="X2335" s="5">
        <v>2.4E-5</v>
      </c>
      <c r="Y2335" s="2">
        <v>17.16788321</v>
      </c>
      <c r="AA2335" s="2" t="s">
        <v>33</v>
      </c>
    </row>
    <row r="2336">
      <c r="A2336" s="2">
        <v>4277.0</v>
      </c>
      <c r="B2336" s="2" t="s">
        <v>6620</v>
      </c>
      <c r="C2336" s="2" t="s">
        <v>7</v>
      </c>
      <c r="D2336" s="2" t="s">
        <v>6621</v>
      </c>
      <c r="F2336" s="6">
        <v>46031.625</v>
      </c>
      <c r="G2336" s="2">
        <v>76984.0</v>
      </c>
      <c r="H2336" s="2">
        <v>76984.0</v>
      </c>
      <c r="I2336" s="2">
        <v>63642.0</v>
      </c>
      <c r="J2336" s="2">
        <v>180.0</v>
      </c>
      <c r="K2336" s="2">
        <v>174.0</v>
      </c>
      <c r="L2336" s="2">
        <v>1.0</v>
      </c>
      <c r="M2336" s="4">
        <v>1816.0</v>
      </c>
      <c r="N2336" s="2" t="s">
        <v>30</v>
      </c>
      <c r="O2336" s="2">
        <v>70.0</v>
      </c>
      <c r="P2336" s="2" t="s">
        <v>189</v>
      </c>
      <c r="Q2336" s="2" t="s">
        <v>32</v>
      </c>
      <c r="R2336" s="2">
        <v>49.0</v>
      </c>
      <c r="U2336" s="2" t="b">
        <v>0</v>
      </c>
      <c r="V2336" s="5">
        <v>0.0027</v>
      </c>
      <c r="W2336" s="5">
        <v>0.0057</v>
      </c>
      <c r="X2336" s="5">
        <v>1.6E-5</v>
      </c>
      <c r="Y2336" s="2">
        <v>10.43678161</v>
      </c>
      <c r="AA2336" s="2" t="s">
        <v>33</v>
      </c>
    </row>
    <row r="2337">
      <c r="A2337" s="2">
        <v>4280.0</v>
      </c>
      <c r="B2337" s="2" t="s">
        <v>6622</v>
      </c>
      <c r="C2337" s="2" t="s">
        <v>7</v>
      </c>
      <c r="D2337" s="2" t="s">
        <v>6623</v>
      </c>
      <c r="F2337" s="6">
        <v>46031.708333333336</v>
      </c>
      <c r="G2337" s="2">
        <v>51411.0</v>
      </c>
      <c r="H2337" s="2">
        <v>51411.0</v>
      </c>
      <c r="I2337" s="2">
        <v>41774.0</v>
      </c>
      <c r="J2337" s="2">
        <v>146.0</v>
      </c>
      <c r="K2337" s="2">
        <v>139.0</v>
      </c>
      <c r="L2337" s="2">
        <v>3.0</v>
      </c>
      <c r="M2337" s="4">
        <v>5660.0</v>
      </c>
      <c r="N2337" s="2" t="s">
        <v>36</v>
      </c>
      <c r="O2337" s="2">
        <v>71.0</v>
      </c>
      <c r="P2337" s="2" t="s">
        <v>189</v>
      </c>
      <c r="Q2337" s="2" t="s">
        <v>32</v>
      </c>
      <c r="R2337" s="2">
        <v>44.0</v>
      </c>
      <c r="U2337" s="2" t="b">
        <v>0</v>
      </c>
      <c r="V2337" s="5">
        <v>0.0033</v>
      </c>
      <c r="W2337" s="5">
        <v>0.0216</v>
      </c>
      <c r="X2337" s="5">
        <v>7.2E-5</v>
      </c>
      <c r="Y2337" s="2">
        <v>40.71942446</v>
      </c>
      <c r="AA2337" s="2" t="s">
        <v>33</v>
      </c>
    </row>
    <row r="2338">
      <c r="A2338" s="2">
        <v>4279.0</v>
      </c>
      <c r="B2338" s="2" t="s">
        <v>6624</v>
      </c>
      <c r="C2338" s="2" t="s">
        <v>7</v>
      </c>
      <c r="D2338" s="2" t="s">
        <v>6625</v>
      </c>
      <c r="F2338" s="6">
        <v>46031.708333333336</v>
      </c>
      <c r="G2338" s="2">
        <v>76945.0</v>
      </c>
      <c r="H2338" s="2">
        <v>76945.0</v>
      </c>
      <c r="I2338" s="2">
        <v>63417.0</v>
      </c>
      <c r="J2338" s="2">
        <v>205.0</v>
      </c>
      <c r="K2338" s="2">
        <v>200.0</v>
      </c>
      <c r="L2338" s="2">
        <v>3.0</v>
      </c>
      <c r="M2338" s="4">
        <v>4278.0</v>
      </c>
      <c r="N2338" s="2" t="s">
        <v>30</v>
      </c>
      <c r="O2338" s="2">
        <v>70.0</v>
      </c>
      <c r="P2338" s="2" t="s">
        <v>189</v>
      </c>
      <c r="Q2338" s="2" t="s">
        <v>32</v>
      </c>
      <c r="R2338" s="2">
        <v>43.0</v>
      </c>
      <c r="U2338" s="2" t="b">
        <v>0</v>
      </c>
      <c r="V2338" s="5">
        <v>0.0032</v>
      </c>
      <c r="W2338" s="5">
        <v>0.015</v>
      </c>
      <c r="X2338" s="5">
        <v>4.7E-5</v>
      </c>
      <c r="Y2338" s="2">
        <v>21.39</v>
      </c>
      <c r="Z2338" s="2">
        <v>1560.0</v>
      </c>
      <c r="AA2338" s="2" t="s">
        <v>33</v>
      </c>
    </row>
    <row r="2339">
      <c r="A2339" s="2">
        <v>4281.0</v>
      </c>
      <c r="B2339" s="2" t="s">
        <v>6626</v>
      </c>
      <c r="C2339" s="2" t="s">
        <v>7</v>
      </c>
      <c r="D2339" s="2" t="s">
        <v>6627</v>
      </c>
      <c r="F2339" s="6">
        <v>46032.458333333336</v>
      </c>
      <c r="G2339" s="2">
        <v>77094.0</v>
      </c>
      <c r="H2339" s="2">
        <v>77094.0</v>
      </c>
      <c r="I2339" s="2">
        <v>63145.0</v>
      </c>
      <c r="J2339" s="2">
        <v>211.0</v>
      </c>
      <c r="K2339" s="2">
        <v>202.0</v>
      </c>
      <c r="L2339" s="2">
        <v>2.0</v>
      </c>
      <c r="M2339" s="4">
        <v>5087.0</v>
      </c>
      <c r="N2339" s="2" t="s">
        <v>30</v>
      </c>
      <c r="O2339" s="2">
        <v>70.0</v>
      </c>
      <c r="P2339" s="2" t="s">
        <v>189</v>
      </c>
      <c r="Q2339" s="2" t="s">
        <v>32</v>
      </c>
      <c r="R2339" s="2">
        <v>26.0</v>
      </c>
      <c r="U2339" s="2" t="b">
        <v>0</v>
      </c>
      <c r="V2339" s="5">
        <v>0.0032</v>
      </c>
      <c r="W2339" s="5">
        <v>0.0099</v>
      </c>
      <c r="X2339" s="5">
        <v>3.2E-5</v>
      </c>
      <c r="Y2339" s="2">
        <v>25.18316832</v>
      </c>
      <c r="AA2339" s="2" t="s">
        <v>33</v>
      </c>
    </row>
    <row r="2340">
      <c r="A2340" s="2">
        <v>4282.0</v>
      </c>
      <c r="B2340" s="2" t="s">
        <v>6628</v>
      </c>
      <c r="C2340" s="2" t="s">
        <v>7</v>
      </c>
      <c r="D2340" s="2" t="s">
        <v>6629</v>
      </c>
      <c r="F2340" s="6">
        <v>46032.458333333336</v>
      </c>
      <c r="G2340" s="2">
        <v>51460.0</v>
      </c>
      <c r="H2340" s="2">
        <v>51460.0</v>
      </c>
      <c r="I2340" s="2">
        <v>41579.0</v>
      </c>
      <c r="J2340" s="2">
        <v>159.0</v>
      </c>
      <c r="K2340" s="2">
        <v>156.0</v>
      </c>
      <c r="L2340" s="2">
        <v>2.0</v>
      </c>
      <c r="M2340" s="4">
        <v>7188.0</v>
      </c>
      <c r="N2340" s="2" t="s">
        <v>36</v>
      </c>
      <c r="O2340" s="2">
        <v>71.0</v>
      </c>
      <c r="P2340" s="2" t="s">
        <v>31</v>
      </c>
      <c r="Q2340" s="2" t="s">
        <v>32</v>
      </c>
      <c r="R2340" s="2">
        <v>32.0</v>
      </c>
      <c r="U2340" s="2" t="b">
        <v>0</v>
      </c>
      <c r="V2340" s="5">
        <v>0.0038</v>
      </c>
      <c r="W2340" s="5">
        <v>0.0128</v>
      </c>
      <c r="X2340" s="5">
        <v>4.8E-5</v>
      </c>
      <c r="Y2340" s="2">
        <v>46.07692308</v>
      </c>
      <c r="AA2340" s="2" t="s">
        <v>33</v>
      </c>
    </row>
    <row r="2341">
      <c r="A2341" s="2">
        <v>4284.0</v>
      </c>
      <c r="B2341" s="2" t="s">
        <v>6630</v>
      </c>
      <c r="C2341" s="2" t="s">
        <v>7</v>
      </c>
      <c r="D2341" s="2" t="s">
        <v>6631</v>
      </c>
      <c r="F2341" s="6">
        <v>46032.625</v>
      </c>
      <c r="G2341" s="2">
        <v>51452.0</v>
      </c>
      <c r="H2341" s="2">
        <v>51452.0</v>
      </c>
      <c r="I2341" s="2">
        <v>41990.0</v>
      </c>
      <c r="J2341" s="2">
        <v>153.0</v>
      </c>
      <c r="K2341" s="2">
        <v>147.0</v>
      </c>
      <c r="L2341" s="2">
        <v>2.0</v>
      </c>
      <c r="M2341" s="4">
        <v>11810.0</v>
      </c>
      <c r="N2341" s="2" t="s">
        <v>36</v>
      </c>
      <c r="O2341" s="2">
        <v>71.0</v>
      </c>
      <c r="P2341" s="2" t="s">
        <v>189</v>
      </c>
      <c r="Q2341" s="2" t="s">
        <v>32</v>
      </c>
      <c r="R2341" s="2">
        <v>41.0</v>
      </c>
      <c r="U2341" s="2" t="b">
        <v>0</v>
      </c>
      <c r="V2341" s="5">
        <v>0.0035</v>
      </c>
      <c r="W2341" s="5">
        <v>0.0136</v>
      </c>
      <c r="X2341" s="5">
        <v>4.8E-5</v>
      </c>
      <c r="Y2341" s="2">
        <v>80.34013605</v>
      </c>
      <c r="AA2341" s="2" t="s">
        <v>33</v>
      </c>
    </row>
    <row r="2342">
      <c r="A2342" s="2">
        <v>4283.0</v>
      </c>
      <c r="B2342" s="2" t="s">
        <v>6632</v>
      </c>
      <c r="C2342" s="2" t="s">
        <v>7</v>
      </c>
      <c r="D2342" s="2" t="s">
        <v>6633</v>
      </c>
      <c r="F2342" s="6">
        <v>46032.625</v>
      </c>
      <c r="G2342" s="2">
        <v>77154.0</v>
      </c>
      <c r="H2342" s="2">
        <v>77154.0</v>
      </c>
      <c r="I2342" s="2">
        <v>63717.0</v>
      </c>
      <c r="J2342" s="2">
        <v>235.0</v>
      </c>
      <c r="K2342" s="2">
        <v>225.0</v>
      </c>
      <c r="L2342" s="2">
        <v>6.0</v>
      </c>
      <c r="M2342" s="4">
        <v>12834.0</v>
      </c>
      <c r="N2342" s="2" t="s">
        <v>30</v>
      </c>
      <c r="O2342" s="2">
        <v>70.0</v>
      </c>
      <c r="P2342" s="2" t="s">
        <v>189</v>
      </c>
      <c r="Q2342" s="2" t="s">
        <v>32</v>
      </c>
      <c r="R2342" s="2">
        <v>37.0</v>
      </c>
      <c r="U2342" s="2" t="b">
        <v>0</v>
      </c>
      <c r="V2342" s="5">
        <v>0.0035</v>
      </c>
      <c r="W2342" s="5">
        <v>0.0267</v>
      </c>
      <c r="X2342" s="5">
        <v>9.4E-5</v>
      </c>
      <c r="Y2342" s="2">
        <v>57.04</v>
      </c>
      <c r="AA2342" s="2" t="s">
        <v>33</v>
      </c>
    </row>
    <row r="2343">
      <c r="A2343" s="2">
        <v>4286.0</v>
      </c>
      <c r="B2343" s="2" t="s">
        <v>6634</v>
      </c>
      <c r="C2343" s="2" t="s">
        <v>7</v>
      </c>
      <c r="D2343" s="2" t="s">
        <v>6635</v>
      </c>
      <c r="F2343" s="6">
        <v>46032.708333333336</v>
      </c>
      <c r="G2343" s="2">
        <v>51443.0</v>
      </c>
      <c r="H2343" s="2">
        <v>51443.0</v>
      </c>
      <c r="I2343" s="2">
        <v>42037.0</v>
      </c>
      <c r="J2343" s="2">
        <v>167.0</v>
      </c>
      <c r="K2343" s="2">
        <v>160.0</v>
      </c>
      <c r="L2343" s="2">
        <v>4.0</v>
      </c>
      <c r="M2343" s="4">
        <v>4777.0</v>
      </c>
      <c r="N2343" s="2" t="s">
        <v>36</v>
      </c>
      <c r="O2343" s="2">
        <v>71.0</v>
      </c>
      <c r="P2343" s="2" t="s">
        <v>189</v>
      </c>
      <c r="Q2343" s="2" t="s">
        <v>32</v>
      </c>
      <c r="R2343" s="2">
        <v>43.0</v>
      </c>
      <c r="U2343" s="2" t="b">
        <v>1</v>
      </c>
      <c r="V2343" s="5">
        <v>0.0038</v>
      </c>
      <c r="W2343" s="5">
        <v>0.025</v>
      </c>
      <c r="X2343" s="5">
        <v>9.5E-5</v>
      </c>
      <c r="Y2343" s="2">
        <v>29.85625</v>
      </c>
      <c r="AA2343" s="2" t="s">
        <v>33</v>
      </c>
    </row>
    <row r="2344">
      <c r="A2344" s="2">
        <v>4285.0</v>
      </c>
      <c r="B2344" s="2" t="s">
        <v>6636</v>
      </c>
      <c r="C2344" s="2" t="s">
        <v>7</v>
      </c>
      <c r="D2344" s="2" t="s">
        <v>6637</v>
      </c>
      <c r="F2344" s="6">
        <v>46032.708333333336</v>
      </c>
      <c r="G2344" s="2">
        <v>77098.0</v>
      </c>
      <c r="H2344" s="2">
        <v>77098.0</v>
      </c>
      <c r="I2344" s="2">
        <v>63734.0</v>
      </c>
      <c r="J2344" s="2">
        <v>214.0</v>
      </c>
      <c r="K2344" s="2">
        <v>207.0</v>
      </c>
      <c r="L2344" s="2">
        <v>3.0</v>
      </c>
      <c r="M2344" s="4">
        <v>16670.0</v>
      </c>
      <c r="N2344" s="2" t="s">
        <v>30</v>
      </c>
      <c r="O2344" s="2">
        <v>70.0</v>
      </c>
      <c r="P2344" s="2" t="s">
        <v>189</v>
      </c>
      <c r="Q2344" s="2" t="s">
        <v>32</v>
      </c>
      <c r="R2344" s="2">
        <v>41.0</v>
      </c>
      <c r="U2344" s="2" t="b">
        <v>0</v>
      </c>
      <c r="V2344" s="5">
        <v>0.0032</v>
      </c>
      <c r="W2344" s="5">
        <v>0.0145</v>
      </c>
      <c r="X2344" s="5">
        <v>4.7E-5</v>
      </c>
      <c r="Y2344" s="2">
        <v>80.53140097</v>
      </c>
      <c r="AA2344" s="2" t="s">
        <v>33</v>
      </c>
    </row>
    <row r="2345">
      <c r="A2345" s="2">
        <v>4289.0</v>
      </c>
      <c r="B2345" s="2" t="s">
        <v>6638</v>
      </c>
      <c r="C2345" s="2" t="s">
        <v>7</v>
      </c>
      <c r="D2345" s="2" t="s">
        <v>6639</v>
      </c>
      <c r="F2345" s="6">
        <v>46033.458333333336</v>
      </c>
      <c r="G2345" s="2">
        <v>77176.0</v>
      </c>
      <c r="H2345" s="2">
        <v>77176.0</v>
      </c>
      <c r="I2345" s="2">
        <v>63323.0</v>
      </c>
      <c r="J2345" s="2">
        <v>209.0</v>
      </c>
      <c r="K2345" s="2">
        <v>202.0</v>
      </c>
      <c r="L2345" s="2">
        <v>0.0</v>
      </c>
      <c r="M2345" s="2">
        <v>0.0</v>
      </c>
      <c r="N2345" s="2" t="s">
        <v>30</v>
      </c>
      <c r="O2345" s="2">
        <v>70.0</v>
      </c>
      <c r="P2345" s="2" t="s">
        <v>31</v>
      </c>
      <c r="Q2345" s="2" t="s">
        <v>32</v>
      </c>
      <c r="R2345" s="2">
        <v>57.0</v>
      </c>
      <c r="U2345" s="2" t="b">
        <v>0</v>
      </c>
      <c r="V2345" s="5">
        <v>0.0032</v>
      </c>
      <c r="W2345" s="5">
        <v>0.0</v>
      </c>
      <c r="X2345" s="5">
        <v>0.0</v>
      </c>
      <c r="Y2345" s="2">
        <v>0.0</v>
      </c>
      <c r="AA2345" s="2" t="s">
        <v>33</v>
      </c>
    </row>
    <row r="2346">
      <c r="A2346" s="2">
        <v>4290.0</v>
      </c>
      <c r="B2346" s="2" t="s">
        <v>6640</v>
      </c>
      <c r="C2346" s="2" t="s">
        <v>7</v>
      </c>
      <c r="D2346" s="2" t="s">
        <v>6641</v>
      </c>
      <c r="F2346" s="6">
        <v>46033.458333333336</v>
      </c>
      <c r="G2346" s="2">
        <v>51459.0</v>
      </c>
      <c r="H2346" s="2">
        <v>51459.0</v>
      </c>
      <c r="I2346" s="2">
        <v>41530.0</v>
      </c>
      <c r="J2346" s="2">
        <v>193.0</v>
      </c>
      <c r="K2346" s="2">
        <v>187.0</v>
      </c>
      <c r="L2346" s="2">
        <v>2.0</v>
      </c>
      <c r="M2346" s="4">
        <v>3100.0</v>
      </c>
      <c r="N2346" s="2" t="s">
        <v>36</v>
      </c>
      <c r="O2346" s="2">
        <v>71.0</v>
      </c>
      <c r="P2346" s="2" t="s">
        <v>31</v>
      </c>
      <c r="Q2346" s="2" t="s">
        <v>32</v>
      </c>
      <c r="R2346" s="2">
        <v>43.0</v>
      </c>
      <c r="U2346" s="2" t="b">
        <v>0</v>
      </c>
      <c r="V2346" s="5">
        <v>0.0045</v>
      </c>
      <c r="W2346" s="5">
        <v>0.0107</v>
      </c>
      <c r="X2346" s="5">
        <v>4.8E-5</v>
      </c>
      <c r="Y2346" s="2">
        <v>16.57754011</v>
      </c>
      <c r="AA2346" s="2" t="s">
        <v>33</v>
      </c>
    </row>
    <row r="2347">
      <c r="A2347" s="2">
        <v>4287.0</v>
      </c>
      <c r="B2347" s="2" t="s">
        <v>6642</v>
      </c>
      <c r="C2347" s="2" t="s">
        <v>7</v>
      </c>
      <c r="D2347" s="2" t="s">
        <v>6643</v>
      </c>
      <c r="F2347" s="6">
        <v>46033.625</v>
      </c>
      <c r="G2347" s="2">
        <v>77253.0</v>
      </c>
      <c r="H2347" s="2">
        <v>77253.0</v>
      </c>
      <c r="I2347" s="2">
        <v>63788.0</v>
      </c>
      <c r="J2347" s="2">
        <v>231.0</v>
      </c>
      <c r="K2347" s="2">
        <v>221.0</v>
      </c>
      <c r="L2347" s="2">
        <v>6.0</v>
      </c>
      <c r="M2347" s="4">
        <v>15018.0</v>
      </c>
      <c r="N2347" s="2" t="s">
        <v>30</v>
      </c>
      <c r="O2347" s="2">
        <v>70.0</v>
      </c>
      <c r="P2347" s="2" t="s">
        <v>31</v>
      </c>
      <c r="Q2347" s="2" t="s">
        <v>32</v>
      </c>
      <c r="R2347" s="2">
        <v>34.0</v>
      </c>
      <c r="U2347" s="2" t="b">
        <v>0</v>
      </c>
      <c r="V2347" s="5">
        <v>0.0035</v>
      </c>
      <c r="W2347" s="5">
        <v>0.0271</v>
      </c>
      <c r="X2347" s="5">
        <v>9.4E-5</v>
      </c>
      <c r="Y2347" s="2">
        <v>67.95475113</v>
      </c>
      <c r="AA2347" s="2" t="s">
        <v>33</v>
      </c>
    </row>
    <row r="2348">
      <c r="A2348" s="2">
        <v>4288.0</v>
      </c>
      <c r="B2348" s="2" t="s">
        <v>6644</v>
      </c>
      <c r="C2348" s="2" t="s">
        <v>7</v>
      </c>
      <c r="D2348" s="2" t="s">
        <v>6645</v>
      </c>
      <c r="F2348" s="6">
        <v>46033.625</v>
      </c>
      <c r="G2348" s="2">
        <v>51452.0</v>
      </c>
      <c r="H2348" s="2">
        <v>51452.0</v>
      </c>
      <c r="I2348" s="2">
        <v>41918.0</v>
      </c>
      <c r="J2348" s="2">
        <v>167.0</v>
      </c>
      <c r="K2348" s="2">
        <v>160.0</v>
      </c>
      <c r="L2348" s="2">
        <v>1.0</v>
      </c>
      <c r="M2348" s="4">
        <v>2499.0</v>
      </c>
      <c r="N2348" s="2" t="s">
        <v>36</v>
      </c>
      <c r="O2348" s="2">
        <v>71.0</v>
      </c>
      <c r="P2348" s="2" t="s">
        <v>31</v>
      </c>
      <c r="Q2348" s="2" t="s">
        <v>32</v>
      </c>
      <c r="R2348" s="2">
        <v>35.0</v>
      </c>
      <c r="U2348" s="2" t="b">
        <v>1</v>
      </c>
      <c r="V2348" s="5">
        <v>0.0038</v>
      </c>
      <c r="W2348" s="5">
        <v>0.0063</v>
      </c>
      <c r="X2348" s="5">
        <v>2.4E-5</v>
      </c>
      <c r="Y2348" s="2">
        <v>15.61875</v>
      </c>
      <c r="AA2348" s="2" t="s">
        <v>33</v>
      </c>
    </row>
    <row r="2349">
      <c r="A2349" s="2">
        <v>4292.0</v>
      </c>
      <c r="B2349" s="2" t="s">
        <v>6646</v>
      </c>
      <c r="C2349" s="2" t="s">
        <v>7</v>
      </c>
      <c r="D2349" s="2" t="s">
        <v>6647</v>
      </c>
      <c r="F2349" s="6">
        <v>46033.708333333336</v>
      </c>
      <c r="G2349" s="2">
        <v>51440.0</v>
      </c>
      <c r="H2349" s="2">
        <v>51440.0</v>
      </c>
      <c r="I2349" s="2">
        <v>41895.0</v>
      </c>
      <c r="J2349" s="2">
        <v>196.0</v>
      </c>
      <c r="K2349" s="2">
        <v>190.0</v>
      </c>
      <c r="L2349" s="2">
        <v>3.0</v>
      </c>
      <c r="M2349" s="4">
        <v>12060.0</v>
      </c>
      <c r="N2349" s="2" t="s">
        <v>36</v>
      </c>
      <c r="O2349" s="2">
        <v>71.0</v>
      </c>
      <c r="P2349" s="2" t="s">
        <v>189</v>
      </c>
      <c r="Q2349" s="2" t="s">
        <v>32</v>
      </c>
      <c r="R2349" s="2">
        <v>35.0</v>
      </c>
      <c r="U2349" s="2" t="b">
        <v>0</v>
      </c>
      <c r="V2349" s="5">
        <v>0.0045</v>
      </c>
      <c r="W2349" s="5">
        <v>0.0158</v>
      </c>
      <c r="X2349" s="5">
        <v>7.2E-5</v>
      </c>
      <c r="Y2349" s="2">
        <v>63.47368421</v>
      </c>
      <c r="AA2349" s="2" t="s">
        <v>33</v>
      </c>
    </row>
    <row r="2350">
      <c r="A2350" s="2">
        <v>4291.0</v>
      </c>
      <c r="B2350" s="2" t="s">
        <v>6648</v>
      </c>
      <c r="C2350" s="2" t="s">
        <v>7</v>
      </c>
      <c r="D2350" s="2" t="s">
        <v>6649</v>
      </c>
      <c r="F2350" s="6">
        <v>46033.708333333336</v>
      </c>
      <c r="G2350" s="2">
        <v>77150.0</v>
      </c>
      <c r="H2350" s="2">
        <v>77150.0</v>
      </c>
      <c r="I2350" s="2">
        <v>63496.0</v>
      </c>
      <c r="J2350" s="2">
        <v>222.0</v>
      </c>
      <c r="K2350" s="2">
        <v>213.0</v>
      </c>
      <c r="L2350" s="2">
        <v>2.0</v>
      </c>
      <c r="M2350" s="4">
        <v>3300.0</v>
      </c>
      <c r="N2350" s="2" t="s">
        <v>30</v>
      </c>
      <c r="O2350" s="2">
        <v>70.0</v>
      </c>
      <c r="P2350" s="2" t="s">
        <v>31</v>
      </c>
      <c r="Q2350" s="2" t="s">
        <v>32</v>
      </c>
      <c r="R2350" s="2">
        <v>33.0</v>
      </c>
      <c r="U2350" s="2" t="b">
        <v>0</v>
      </c>
      <c r="V2350" s="5">
        <v>0.0034</v>
      </c>
      <c r="W2350" s="5">
        <v>0.0094</v>
      </c>
      <c r="X2350" s="5">
        <v>3.1E-5</v>
      </c>
      <c r="Y2350" s="2">
        <v>15.49295775</v>
      </c>
      <c r="AA2350" s="2" t="s">
        <v>33</v>
      </c>
    </row>
    <row r="2351">
      <c r="A2351" s="2">
        <v>4293.0</v>
      </c>
      <c r="B2351" s="2" t="s">
        <v>6650</v>
      </c>
      <c r="C2351" s="2" t="s">
        <v>7</v>
      </c>
      <c r="D2351" s="2" t="s">
        <v>6651</v>
      </c>
      <c r="F2351" s="6">
        <v>46034.646527777775</v>
      </c>
      <c r="G2351" s="2">
        <v>77434.0</v>
      </c>
      <c r="H2351" s="2">
        <v>77434.0</v>
      </c>
      <c r="I2351" s="2">
        <v>63910.0</v>
      </c>
      <c r="J2351" s="2">
        <v>209.0</v>
      </c>
      <c r="K2351" s="2">
        <v>205.0</v>
      </c>
      <c r="L2351" s="2">
        <v>4.0</v>
      </c>
      <c r="M2351" s="4">
        <v>6642.0</v>
      </c>
      <c r="N2351" s="2" t="s">
        <v>30</v>
      </c>
      <c r="O2351" s="2">
        <v>70.0</v>
      </c>
      <c r="P2351" s="2" t="s">
        <v>189</v>
      </c>
      <c r="Q2351" s="2" t="s">
        <v>32</v>
      </c>
      <c r="R2351" s="2">
        <v>39.0</v>
      </c>
      <c r="U2351" s="2" t="b">
        <v>0</v>
      </c>
      <c r="V2351" s="5">
        <v>0.0032</v>
      </c>
      <c r="W2351" s="5">
        <v>0.0195</v>
      </c>
      <c r="X2351" s="5">
        <v>6.3E-5</v>
      </c>
      <c r="Y2351" s="2">
        <v>32.4</v>
      </c>
      <c r="AA2351" s="2" t="s">
        <v>33</v>
      </c>
    </row>
    <row r="2352">
      <c r="A2352" s="2">
        <v>4294.0</v>
      </c>
      <c r="B2352" s="2" t="s">
        <v>6652</v>
      </c>
      <c r="C2352" s="2" t="s">
        <v>7</v>
      </c>
      <c r="D2352" s="2" t="s">
        <v>6653</v>
      </c>
      <c r="F2352" s="6">
        <v>46034.64861111111</v>
      </c>
      <c r="G2352" s="2">
        <v>51469.0</v>
      </c>
      <c r="H2352" s="2">
        <v>51469.0</v>
      </c>
      <c r="I2352" s="2">
        <v>42007.0</v>
      </c>
      <c r="J2352" s="2">
        <v>154.0</v>
      </c>
      <c r="K2352" s="2">
        <v>145.0</v>
      </c>
      <c r="L2352" s="2">
        <v>1.0</v>
      </c>
      <c r="M2352" s="4">
        <v>4464.0</v>
      </c>
      <c r="N2352" s="2" t="s">
        <v>36</v>
      </c>
      <c r="O2352" s="2">
        <v>71.0</v>
      </c>
      <c r="P2352" s="2" t="s">
        <v>189</v>
      </c>
      <c r="Q2352" s="2" t="s">
        <v>32</v>
      </c>
      <c r="R2352" s="2">
        <v>39.0</v>
      </c>
      <c r="U2352" s="2" t="b">
        <v>1</v>
      </c>
      <c r="V2352" s="5">
        <v>0.0035</v>
      </c>
      <c r="W2352" s="5">
        <v>0.0069</v>
      </c>
      <c r="X2352" s="5">
        <v>2.4E-5</v>
      </c>
      <c r="Y2352" s="2">
        <v>30.7862069</v>
      </c>
      <c r="AA2352" s="2" t="s">
        <v>33</v>
      </c>
    </row>
    <row r="2353">
      <c r="A2353" s="2">
        <v>4295.0</v>
      </c>
      <c r="B2353" s="2" t="s">
        <v>6654</v>
      </c>
      <c r="C2353" s="2" t="s">
        <v>4871</v>
      </c>
      <c r="D2353" s="2" t="s">
        <v>6655</v>
      </c>
      <c r="F2353" s="6">
        <v>46034.71527777778</v>
      </c>
      <c r="G2353" s="2">
        <v>0.0</v>
      </c>
      <c r="H2353" s="2">
        <v>0.0</v>
      </c>
      <c r="I2353" s="2">
        <v>0.0</v>
      </c>
      <c r="J2353" s="2">
        <v>0.0</v>
      </c>
      <c r="K2353" s="2">
        <v>0.0</v>
      </c>
      <c r="L2353" s="2">
        <v>0.0</v>
      </c>
      <c r="M2353" s="2">
        <v>0.0</v>
      </c>
      <c r="N2353" s="2" t="s">
        <v>30</v>
      </c>
      <c r="O2353" s="2">
        <v>70.0</v>
      </c>
      <c r="P2353" s="2" t="s">
        <v>189</v>
      </c>
      <c r="Q2353" s="2" t="s">
        <v>32</v>
      </c>
      <c r="R2353" s="2">
        <v>35.0</v>
      </c>
      <c r="U2353" s="2" t="b">
        <v>0</v>
      </c>
      <c r="AA2353" s="2" t="s">
        <v>33</v>
      </c>
    </row>
    <row r="2354">
      <c r="A2354" s="2">
        <v>4296.0</v>
      </c>
      <c r="B2354" s="2" t="s">
        <v>6656</v>
      </c>
      <c r="C2354" s="2" t="s">
        <v>7</v>
      </c>
      <c r="D2354" s="2" t="s">
        <v>6657</v>
      </c>
      <c r="F2354" s="6">
        <v>46034.71875</v>
      </c>
      <c r="G2354" s="2">
        <v>51378.0</v>
      </c>
      <c r="H2354" s="2">
        <v>51378.0</v>
      </c>
      <c r="I2354" s="2">
        <v>42175.0</v>
      </c>
      <c r="J2354" s="2">
        <v>123.0</v>
      </c>
      <c r="K2354" s="2">
        <v>116.0</v>
      </c>
      <c r="L2354" s="2">
        <v>0.0</v>
      </c>
      <c r="M2354" s="2">
        <v>0.0</v>
      </c>
      <c r="N2354" s="2" t="s">
        <v>36</v>
      </c>
      <c r="O2354" s="2">
        <v>71.0</v>
      </c>
      <c r="P2354" s="2" t="s">
        <v>189</v>
      </c>
      <c r="Q2354" s="2" t="s">
        <v>32</v>
      </c>
      <c r="R2354" s="2">
        <v>24.0</v>
      </c>
      <c r="U2354" s="2" t="b">
        <v>0</v>
      </c>
      <c r="V2354" s="5">
        <v>0.0028</v>
      </c>
      <c r="W2354" s="5">
        <v>0.0</v>
      </c>
      <c r="X2354" s="5">
        <v>0.0</v>
      </c>
      <c r="Y2354" s="2">
        <v>0.0</v>
      </c>
      <c r="AA2354" s="2" t="s">
        <v>33</v>
      </c>
    </row>
    <row r="2355">
      <c r="A2355" s="2">
        <v>4297.0</v>
      </c>
      <c r="B2355" s="2" t="s">
        <v>6658</v>
      </c>
      <c r="C2355" s="2" t="s">
        <v>7</v>
      </c>
      <c r="D2355" s="2" t="s">
        <v>6659</v>
      </c>
      <c r="F2355" s="6">
        <v>46034.791666666664</v>
      </c>
      <c r="G2355" s="2">
        <v>77256.0</v>
      </c>
      <c r="H2355" s="2">
        <v>77256.0</v>
      </c>
      <c r="I2355" s="2">
        <v>63907.0</v>
      </c>
      <c r="J2355" s="2">
        <v>178.0</v>
      </c>
      <c r="K2355" s="2">
        <v>170.0</v>
      </c>
      <c r="L2355" s="2">
        <v>3.0</v>
      </c>
      <c r="M2355" s="4">
        <v>5780.0</v>
      </c>
      <c r="N2355" s="2" t="s">
        <v>30</v>
      </c>
      <c r="O2355" s="2">
        <v>70.0</v>
      </c>
      <c r="P2355" s="2" t="s">
        <v>189</v>
      </c>
      <c r="Q2355" s="2" t="s">
        <v>32</v>
      </c>
      <c r="R2355" s="2">
        <v>43.0</v>
      </c>
      <c r="U2355" s="2" t="b">
        <v>0</v>
      </c>
      <c r="V2355" s="5">
        <v>0.0027</v>
      </c>
      <c r="W2355" s="5">
        <v>0.0176</v>
      </c>
      <c r="X2355" s="5">
        <v>4.7E-5</v>
      </c>
      <c r="Y2355" s="2">
        <v>34.0</v>
      </c>
      <c r="AA2355" s="2" t="s">
        <v>33</v>
      </c>
    </row>
    <row r="2356">
      <c r="A2356" s="2">
        <v>4298.0</v>
      </c>
      <c r="B2356" s="2" t="s">
        <v>6660</v>
      </c>
      <c r="C2356" s="2" t="s">
        <v>7</v>
      </c>
      <c r="D2356" s="2" t="s">
        <v>6661</v>
      </c>
      <c r="F2356" s="6">
        <v>46034.791666666664</v>
      </c>
      <c r="G2356" s="2">
        <v>51359.0</v>
      </c>
      <c r="H2356" s="2">
        <v>51359.0</v>
      </c>
      <c r="I2356" s="2">
        <v>41947.0</v>
      </c>
      <c r="J2356" s="2">
        <v>155.0</v>
      </c>
      <c r="K2356" s="2">
        <v>150.0</v>
      </c>
      <c r="L2356" s="2">
        <v>2.0</v>
      </c>
      <c r="M2356" s="4">
        <v>1352.0</v>
      </c>
      <c r="N2356" s="2" t="s">
        <v>36</v>
      </c>
      <c r="O2356" s="2">
        <v>71.0</v>
      </c>
      <c r="P2356" s="2" t="s">
        <v>31</v>
      </c>
      <c r="Q2356" s="2" t="s">
        <v>32</v>
      </c>
      <c r="R2356" s="2">
        <v>42.0</v>
      </c>
      <c r="U2356" s="2" t="b">
        <v>0</v>
      </c>
      <c r="V2356" s="5">
        <v>0.0036</v>
      </c>
      <c r="W2356" s="5">
        <v>0.0133</v>
      </c>
      <c r="X2356" s="5">
        <v>4.8E-5</v>
      </c>
      <c r="Y2356" s="2">
        <v>9.013333333</v>
      </c>
      <c r="AA2356" s="2" t="s">
        <v>33</v>
      </c>
    </row>
    <row r="2357">
      <c r="R2357" s="2">
        <v>0.0</v>
      </c>
      <c r="U2357" s="2" t="b">
        <v>0</v>
      </c>
    </row>
  </sheetData>
  <drawing r:id="rId1"/>
</worksheet>
</file>